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ifbpofs01v.ifbpo.com.br\Operacional\Cartoes\OPTIN\1. EQUIPE\0 - Controle\"/>
    </mc:Choice>
  </mc:AlternateContent>
  <bookViews>
    <workbookView xWindow="0" yWindow="0" windowWidth="20490" windowHeight="7620" firstSheet="1" activeTab="2"/>
  </bookViews>
  <sheets>
    <sheet name="Matrix" sheetId="1" state="hidden" r:id="rId1"/>
    <sheet name="Inclusão" sheetId="3" r:id="rId2"/>
    <sheet name="Base de dados" sheetId="2" r:id="rId3"/>
  </sheets>
  <definedNames>
    <definedName name="_xlnm._FilterDatabase" localSheetId="2" hidden="1">'Base de dados'!$A$2:$O$2074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75" i="2" l="1"/>
  <c r="M2075" i="2"/>
  <c r="N2075" i="2"/>
  <c r="O2075" i="2"/>
  <c r="L2076" i="2"/>
  <c r="M2076" i="2"/>
  <c r="N2076" i="2"/>
  <c r="O2076" i="2"/>
  <c r="L2077" i="2"/>
  <c r="M2077" i="2"/>
  <c r="N2077" i="2"/>
  <c r="O2077" i="2"/>
  <c r="L2078" i="2"/>
  <c r="M2078" i="2"/>
  <c r="N2078" i="2"/>
  <c r="O2078" i="2"/>
  <c r="L2079" i="2"/>
  <c r="M2079" i="2"/>
  <c r="N2079" i="2"/>
  <c r="O2079" i="2"/>
  <c r="L2080" i="2"/>
  <c r="M2080" i="2"/>
  <c r="N2080" i="2"/>
  <c r="O2080" i="2"/>
  <c r="L2081" i="2"/>
  <c r="M2081" i="2"/>
  <c r="N2081" i="2"/>
  <c r="O2081" i="2"/>
  <c r="L2082" i="2"/>
  <c r="M2082" i="2"/>
  <c r="N2082" i="2"/>
  <c r="O2082" i="2"/>
  <c r="L2083" i="2"/>
  <c r="M2083" i="2"/>
  <c r="N2083" i="2"/>
  <c r="O2083" i="2"/>
  <c r="L2084" i="2"/>
  <c r="M2084" i="2"/>
  <c r="N2084" i="2"/>
  <c r="O2084" i="2"/>
  <c r="L2085" i="2"/>
  <c r="M2085" i="2"/>
  <c r="N2085" i="2"/>
  <c r="O2085" i="2"/>
  <c r="L2086" i="2"/>
  <c r="M2086" i="2"/>
  <c r="N2086" i="2"/>
  <c r="O2086" i="2"/>
  <c r="L2087" i="2"/>
  <c r="M2087" i="2"/>
  <c r="N2087" i="2"/>
  <c r="O2087" i="2"/>
  <c r="L2088" i="2"/>
  <c r="M2088" i="2"/>
  <c r="N2088" i="2"/>
  <c r="O2088" i="2"/>
  <c r="L2089" i="2"/>
  <c r="M2089" i="2"/>
  <c r="N2089" i="2"/>
  <c r="O2089" i="2"/>
  <c r="L2090" i="2"/>
  <c r="M2090" i="2"/>
  <c r="N2090" i="2"/>
  <c r="O2090" i="2"/>
  <c r="L2091" i="2"/>
  <c r="M2091" i="2"/>
  <c r="N2091" i="2"/>
  <c r="O2091" i="2"/>
  <c r="L2092" i="2"/>
  <c r="M2092" i="2"/>
  <c r="N2092" i="2"/>
  <c r="O2092" i="2"/>
  <c r="L2093" i="2"/>
  <c r="M2093" i="2"/>
  <c r="N2093" i="2"/>
  <c r="O2093" i="2"/>
  <c r="L2094" i="2"/>
  <c r="M2094" i="2"/>
  <c r="N2094" i="2"/>
  <c r="O2094" i="2"/>
  <c r="L2095" i="2"/>
  <c r="M2095" i="2"/>
  <c r="N2095" i="2"/>
  <c r="O2095" i="2"/>
  <c r="L2096" i="2"/>
  <c r="M2096" i="2"/>
  <c r="N2096" i="2"/>
  <c r="O2096" i="2"/>
  <c r="L2097" i="2"/>
  <c r="M2097" i="2"/>
  <c r="N2097" i="2"/>
  <c r="O2097" i="2"/>
  <c r="L2098" i="2"/>
  <c r="M2098" i="2"/>
  <c r="N2098" i="2"/>
  <c r="O2098" i="2"/>
  <c r="L2099" i="2"/>
  <c r="M2099" i="2"/>
  <c r="N2099" i="2"/>
  <c r="O2099" i="2"/>
  <c r="L2100" i="2"/>
  <c r="M2100" i="2"/>
  <c r="N2100" i="2"/>
  <c r="O2100" i="2"/>
  <c r="L2101" i="2"/>
  <c r="M2101" i="2"/>
  <c r="N2101" i="2"/>
  <c r="O2101" i="2"/>
  <c r="L2102" i="2"/>
  <c r="M2102" i="2"/>
  <c r="N2102" i="2"/>
  <c r="O2102" i="2"/>
  <c r="L2103" i="2"/>
  <c r="M2103" i="2"/>
  <c r="N2103" i="2"/>
  <c r="O2103" i="2"/>
  <c r="L2104" i="2"/>
  <c r="M2104" i="2"/>
  <c r="N2104" i="2"/>
  <c r="O2104" i="2"/>
  <c r="L2105" i="2"/>
  <c r="M2105" i="2"/>
  <c r="N2105" i="2"/>
  <c r="O2105" i="2"/>
  <c r="L2106" i="2"/>
  <c r="M2106" i="2"/>
  <c r="N2106" i="2"/>
  <c r="O2106" i="2"/>
  <c r="L2107" i="2"/>
  <c r="M2107" i="2"/>
  <c r="N2107" i="2"/>
  <c r="O2107" i="2"/>
  <c r="L2108" i="2"/>
  <c r="M2108" i="2"/>
  <c r="N2108" i="2"/>
  <c r="O2108" i="2"/>
  <c r="L2109" i="2"/>
  <c r="M2109" i="2"/>
  <c r="N2109" i="2"/>
  <c r="O2109" i="2"/>
  <c r="L2110" i="2"/>
  <c r="M2110" i="2"/>
  <c r="N2110" i="2"/>
  <c r="O2110" i="2"/>
  <c r="L2111" i="2"/>
  <c r="M2111" i="2"/>
  <c r="N2111" i="2"/>
  <c r="O2111" i="2"/>
  <c r="L2112" i="2"/>
  <c r="M2112" i="2"/>
  <c r="N2112" i="2"/>
  <c r="O2112" i="2"/>
  <c r="L2113" i="2"/>
  <c r="M2113" i="2"/>
  <c r="N2113" i="2"/>
  <c r="O2113" i="2"/>
  <c r="L2114" i="2"/>
  <c r="M2114" i="2"/>
  <c r="N2114" i="2"/>
  <c r="O2114" i="2"/>
  <c r="L2115" i="2"/>
  <c r="M2115" i="2"/>
  <c r="N2115" i="2"/>
  <c r="O2115" i="2"/>
  <c r="L2116" i="2"/>
  <c r="M2116" i="2"/>
  <c r="N2116" i="2"/>
  <c r="O2116" i="2"/>
  <c r="L2117" i="2"/>
  <c r="M2117" i="2"/>
  <c r="N2117" i="2"/>
  <c r="O2117" i="2"/>
  <c r="L2118" i="2"/>
  <c r="M2118" i="2"/>
  <c r="N2118" i="2"/>
  <c r="O2118" i="2"/>
  <c r="L2119" i="2"/>
  <c r="M2119" i="2"/>
  <c r="N2119" i="2"/>
  <c r="O2119" i="2"/>
  <c r="L2120" i="2"/>
  <c r="M2120" i="2"/>
  <c r="N2120" i="2"/>
  <c r="O2120" i="2"/>
  <c r="L2121" i="2"/>
  <c r="M2121" i="2"/>
  <c r="N2121" i="2"/>
  <c r="O2121" i="2"/>
  <c r="L2122" i="2"/>
  <c r="M2122" i="2"/>
  <c r="N2122" i="2"/>
  <c r="O2122" i="2"/>
  <c r="L2123" i="2"/>
  <c r="M2123" i="2"/>
  <c r="N2123" i="2"/>
  <c r="O2123" i="2"/>
  <c r="L2124" i="2"/>
  <c r="M2124" i="2"/>
  <c r="N2124" i="2"/>
  <c r="O2124" i="2"/>
  <c r="L2125" i="2"/>
  <c r="M2125" i="2"/>
  <c r="N2125" i="2"/>
  <c r="O2125" i="2"/>
  <c r="L2126" i="2"/>
  <c r="M2126" i="2"/>
  <c r="N2126" i="2"/>
  <c r="O2126" i="2"/>
  <c r="L2127" i="2"/>
  <c r="M2127" i="2"/>
  <c r="N2127" i="2"/>
  <c r="O2127" i="2"/>
  <c r="L2128" i="2"/>
  <c r="M2128" i="2"/>
  <c r="N2128" i="2"/>
  <c r="O2128" i="2"/>
  <c r="L2129" i="2"/>
  <c r="M2129" i="2"/>
  <c r="N2129" i="2"/>
  <c r="O2129" i="2"/>
  <c r="L2130" i="2"/>
  <c r="M2130" i="2"/>
  <c r="N2130" i="2"/>
  <c r="O2130" i="2"/>
  <c r="L2131" i="2"/>
  <c r="M2131" i="2"/>
  <c r="N2131" i="2"/>
  <c r="O2131" i="2"/>
  <c r="L2132" i="2"/>
  <c r="M2132" i="2"/>
  <c r="N2132" i="2"/>
  <c r="O2132" i="2"/>
  <c r="L2133" i="2"/>
  <c r="M2133" i="2"/>
  <c r="N2133" i="2"/>
  <c r="O2133" i="2"/>
  <c r="L2134" i="2"/>
  <c r="M2134" i="2"/>
  <c r="N2134" i="2"/>
  <c r="O2134" i="2"/>
  <c r="L2135" i="2"/>
  <c r="M2135" i="2"/>
  <c r="N2135" i="2"/>
  <c r="O2135" i="2"/>
  <c r="L2136" i="2"/>
  <c r="M2136" i="2"/>
  <c r="N2136" i="2"/>
  <c r="O2136" i="2"/>
  <c r="L2137" i="2"/>
  <c r="M2137" i="2"/>
  <c r="N2137" i="2"/>
  <c r="O2137" i="2"/>
  <c r="L2138" i="2"/>
  <c r="M2138" i="2"/>
  <c r="N2138" i="2"/>
  <c r="O2138" i="2"/>
  <c r="L2139" i="2"/>
  <c r="M2139" i="2"/>
  <c r="N2139" i="2"/>
  <c r="O2139" i="2"/>
  <c r="L2140" i="2"/>
  <c r="M2140" i="2"/>
  <c r="N2140" i="2"/>
  <c r="O2140" i="2"/>
  <c r="L2141" i="2"/>
  <c r="M2141" i="2"/>
  <c r="N2141" i="2"/>
  <c r="O2141" i="2"/>
  <c r="L2142" i="2"/>
  <c r="M2142" i="2"/>
  <c r="N2142" i="2"/>
  <c r="O2142" i="2"/>
  <c r="L2143" i="2"/>
  <c r="M2143" i="2"/>
  <c r="N2143" i="2"/>
  <c r="O2143" i="2"/>
  <c r="L2144" i="2"/>
  <c r="M2144" i="2"/>
  <c r="N2144" i="2"/>
  <c r="O2144" i="2"/>
  <c r="L2145" i="2"/>
  <c r="M2145" i="2"/>
  <c r="N2145" i="2"/>
  <c r="O2145" i="2"/>
  <c r="L2146" i="2"/>
  <c r="M2146" i="2"/>
  <c r="N2146" i="2"/>
  <c r="O2146" i="2"/>
  <c r="L2147" i="2"/>
  <c r="M2147" i="2"/>
  <c r="N2147" i="2"/>
  <c r="O2147" i="2"/>
  <c r="L2148" i="2"/>
  <c r="M2148" i="2"/>
  <c r="N2148" i="2"/>
  <c r="O2148" i="2"/>
  <c r="L2149" i="2"/>
  <c r="M2149" i="2"/>
  <c r="N2149" i="2"/>
  <c r="O2149" i="2"/>
  <c r="L2150" i="2"/>
  <c r="M2150" i="2"/>
  <c r="N2150" i="2"/>
  <c r="O2150" i="2"/>
  <c r="L2151" i="2"/>
  <c r="M2151" i="2"/>
  <c r="N2151" i="2"/>
  <c r="O2151" i="2"/>
  <c r="L2152" i="2"/>
  <c r="M2152" i="2"/>
  <c r="N2152" i="2"/>
  <c r="O2152" i="2"/>
  <c r="L2153" i="2"/>
  <c r="M2153" i="2"/>
  <c r="N2153" i="2"/>
  <c r="O2153" i="2"/>
  <c r="L2154" i="2"/>
  <c r="M2154" i="2"/>
  <c r="N2154" i="2"/>
  <c r="O2154" i="2"/>
  <c r="L2155" i="2"/>
  <c r="M2155" i="2"/>
  <c r="N2155" i="2"/>
  <c r="O2155" i="2"/>
  <c r="L2156" i="2"/>
  <c r="M2156" i="2"/>
  <c r="N2156" i="2"/>
  <c r="O2156" i="2"/>
  <c r="L2157" i="2"/>
  <c r="M2157" i="2"/>
  <c r="N2157" i="2"/>
  <c r="O2157" i="2"/>
  <c r="L2158" i="2"/>
  <c r="M2158" i="2"/>
  <c r="N2158" i="2"/>
  <c r="O2158" i="2"/>
  <c r="L2159" i="2"/>
  <c r="M2159" i="2"/>
  <c r="N2159" i="2"/>
  <c r="O2159" i="2"/>
  <c r="L2160" i="2"/>
  <c r="M2160" i="2"/>
  <c r="N2160" i="2"/>
  <c r="O2160" i="2"/>
  <c r="L2161" i="2"/>
  <c r="M2161" i="2"/>
  <c r="N2161" i="2"/>
  <c r="O2161" i="2"/>
  <c r="L2162" i="2"/>
  <c r="M2162" i="2"/>
  <c r="N2162" i="2"/>
  <c r="O2162" i="2"/>
  <c r="L2163" i="2"/>
  <c r="M2163" i="2"/>
  <c r="N2163" i="2"/>
  <c r="O2163" i="2"/>
  <c r="L2164" i="2"/>
  <c r="M2164" i="2"/>
  <c r="N2164" i="2"/>
  <c r="O2164" i="2"/>
  <c r="L2165" i="2"/>
  <c r="M2165" i="2"/>
  <c r="N2165" i="2"/>
  <c r="O2165" i="2"/>
  <c r="L2166" i="2"/>
  <c r="M2166" i="2"/>
  <c r="N2166" i="2"/>
  <c r="O2166" i="2"/>
  <c r="L2167" i="2"/>
  <c r="M2167" i="2"/>
  <c r="N2167" i="2"/>
  <c r="O2167" i="2"/>
  <c r="L2168" i="2"/>
  <c r="M2168" i="2"/>
  <c r="N2168" i="2"/>
  <c r="O2168" i="2"/>
  <c r="L2169" i="2"/>
  <c r="M2169" i="2"/>
  <c r="N2169" i="2"/>
  <c r="O2169" i="2"/>
  <c r="L2170" i="2"/>
  <c r="M2170" i="2"/>
  <c r="N2170" i="2"/>
  <c r="O2170" i="2"/>
  <c r="L2171" i="2"/>
  <c r="M2171" i="2"/>
  <c r="N2171" i="2"/>
  <c r="O2171" i="2"/>
  <c r="L2172" i="2"/>
  <c r="M2172" i="2"/>
  <c r="N2172" i="2"/>
  <c r="O2172" i="2"/>
  <c r="L2173" i="2"/>
  <c r="M2173" i="2"/>
  <c r="N2173" i="2"/>
  <c r="O2173" i="2"/>
  <c r="L2174" i="2"/>
  <c r="M2174" i="2"/>
  <c r="N2174" i="2"/>
  <c r="O2174" i="2"/>
  <c r="L2175" i="2"/>
  <c r="M2175" i="2"/>
  <c r="N2175" i="2"/>
  <c r="O2175" i="2"/>
  <c r="L2176" i="2"/>
  <c r="M2176" i="2"/>
  <c r="N2176" i="2"/>
  <c r="O2176" i="2"/>
  <c r="L2177" i="2"/>
  <c r="M2177" i="2"/>
  <c r="N2177" i="2"/>
  <c r="O2177" i="2"/>
  <c r="L2178" i="2"/>
  <c r="M2178" i="2"/>
  <c r="N2178" i="2"/>
  <c r="O2178" i="2"/>
  <c r="L2179" i="2"/>
  <c r="M2179" i="2"/>
  <c r="N2179" i="2"/>
  <c r="O2179" i="2"/>
  <c r="L2180" i="2"/>
  <c r="M2180" i="2"/>
  <c r="N2180" i="2"/>
  <c r="O2180" i="2"/>
  <c r="L2181" i="2"/>
  <c r="M2181" i="2"/>
  <c r="N2181" i="2"/>
  <c r="O2181" i="2"/>
  <c r="L2182" i="2"/>
  <c r="M2182" i="2"/>
  <c r="N2182" i="2"/>
  <c r="O2182" i="2"/>
  <c r="L2183" i="2"/>
  <c r="M2183" i="2"/>
  <c r="N2183" i="2"/>
  <c r="O2183" i="2"/>
  <c r="L2184" i="2"/>
  <c r="M2184" i="2"/>
  <c r="N2184" i="2"/>
  <c r="O2184" i="2"/>
  <c r="L2185" i="2"/>
  <c r="M2185" i="2"/>
  <c r="N2185" i="2"/>
  <c r="O2185" i="2"/>
  <c r="L2186" i="2"/>
  <c r="M2186" i="2"/>
  <c r="N2186" i="2"/>
  <c r="O2186" i="2"/>
  <c r="L2187" i="2"/>
  <c r="M2187" i="2"/>
  <c r="N2187" i="2"/>
  <c r="O2187" i="2"/>
  <c r="L2188" i="2"/>
  <c r="M2188" i="2"/>
  <c r="N2188" i="2"/>
  <c r="O2188" i="2"/>
  <c r="L2189" i="2"/>
  <c r="M2189" i="2"/>
  <c r="N2189" i="2"/>
  <c r="O2189" i="2"/>
  <c r="L2190" i="2"/>
  <c r="M2190" i="2"/>
  <c r="N2190" i="2"/>
  <c r="O2190" i="2"/>
  <c r="L2191" i="2"/>
  <c r="M2191" i="2"/>
  <c r="N2191" i="2"/>
  <c r="O2191" i="2"/>
  <c r="L2192" i="2"/>
  <c r="M2192" i="2"/>
  <c r="N2192" i="2"/>
  <c r="O2192" i="2"/>
  <c r="L2193" i="2"/>
  <c r="M2193" i="2"/>
  <c r="N2193" i="2"/>
  <c r="O2193" i="2"/>
  <c r="L2194" i="2"/>
  <c r="M2194" i="2"/>
  <c r="N2194" i="2"/>
  <c r="O2194" i="2"/>
  <c r="L2195" i="2"/>
  <c r="M2195" i="2"/>
  <c r="N2195" i="2"/>
  <c r="O2195" i="2"/>
  <c r="L2196" i="2"/>
  <c r="M2196" i="2"/>
  <c r="N2196" i="2"/>
  <c r="O2196" i="2"/>
  <c r="L2197" i="2"/>
  <c r="M2197" i="2"/>
  <c r="N2197" i="2"/>
  <c r="O2197" i="2"/>
  <c r="L2198" i="2"/>
  <c r="M2198" i="2"/>
  <c r="N2198" i="2"/>
  <c r="O2198" i="2"/>
  <c r="L2199" i="2"/>
  <c r="M2199" i="2"/>
  <c r="N2199" i="2"/>
  <c r="O2199" i="2"/>
  <c r="L2200" i="2"/>
  <c r="M2200" i="2"/>
  <c r="N2200" i="2"/>
  <c r="O2200" i="2"/>
  <c r="L2201" i="2"/>
  <c r="M2201" i="2"/>
  <c r="N2201" i="2"/>
  <c r="O2201" i="2"/>
  <c r="L2202" i="2"/>
  <c r="M2202" i="2"/>
  <c r="N2202" i="2"/>
  <c r="O2202" i="2"/>
  <c r="L2203" i="2"/>
  <c r="M2203" i="2"/>
  <c r="N2203" i="2"/>
  <c r="O2203" i="2"/>
  <c r="L2204" i="2"/>
  <c r="M2204" i="2"/>
  <c r="N2204" i="2"/>
  <c r="O2204" i="2"/>
  <c r="L2205" i="2"/>
  <c r="M2205" i="2"/>
  <c r="N2205" i="2"/>
  <c r="O2205" i="2"/>
  <c r="L2206" i="2"/>
  <c r="M2206" i="2"/>
  <c r="N2206" i="2"/>
  <c r="O2206" i="2"/>
  <c r="L2207" i="2"/>
  <c r="M2207" i="2"/>
  <c r="N2207" i="2"/>
  <c r="O2207" i="2"/>
  <c r="L2208" i="2"/>
  <c r="M2208" i="2"/>
  <c r="N2208" i="2"/>
  <c r="O2208" i="2"/>
  <c r="L2209" i="2"/>
  <c r="M2209" i="2"/>
  <c r="N2209" i="2"/>
  <c r="O2209" i="2"/>
  <c r="L2210" i="2"/>
  <c r="M2210" i="2"/>
  <c r="N2210" i="2"/>
  <c r="O2210" i="2"/>
  <c r="L2211" i="2"/>
  <c r="M2211" i="2"/>
  <c r="N2211" i="2"/>
  <c r="O2211" i="2"/>
  <c r="L2212" i="2"/>
  <c r="M2212" i="2"/>
  <c r="N2212" i="2"/>
  <c r="O2212" i="2"/>
  <c r="L2213" i="2"/>
  <c r="M2213" i="2"/>
  <c r="N2213" i="2"/>
  <c r="O2213" i="2"/>
  <c r="L2214" i="2"/>
  <c r="M2214" i="2"/>
  <c r="N2214" i="2"/>
  <c r="O2214" i="2"/>
  <c r="L2215" i="2"/>
  <c r="M2215" i="2"/>
  <c r="N2215" i="2"/>
  <c r="O2215" i="2"/>
  <c r="L2216" i="2"/>
  <c r="M2216" i="2"/>
  <c r="N2216" i="2"/>
  <c r="O2216" i="2"/>
  <c r="L2217" i="2"/>
  <c r="M2217" i="2"/>
  <c r="N2217" i="2"/>
  <c r="O2217" i="2"/>
  <c r="L2218" i="2"/>
  <c r="M2218" i="2"/>
  <c r="N2218" i="2"/>
  <c r="O2218" i="2"/>
  <c r="L2219" i="2"/>
  <c r="M2219" i="2"/>
  <c r="N2219" i="2"/>
  <c r="O2219" i="2"/>
  <c r="L2220" i="2"/>
  <c r="M2220" i="2"/>
  <c r="N2220" i="2"/>
  <c r="O2220" i="2"/>
  <c r="L2221" i="2"/>
  <c r="M2221" i="2"/>
  <c r="N2221" i="2"/>
  <c r="O2221" i="2"/>
  <c r="L2222" i="2"/>
  <c r="M2222" i="2"/>
  <c r="N2222" i="2"/>
  <c r="O2222" i="2"/>
  <c r="L2223" i="2"/>
  <c r="M2223" i="2"/>
  <c r="N2223" i="2"/>
  <c r="O2223" i="2"/>
  <c r="L2224" i="2"/>
  <c r="M2224" i="2"/>
  <c r="N2224" i="2"/>
  <c r="O2224" i="2"/>
  <c r="L2225" i="2"/>
  <c r="M2225" i="2"/>
  <c r="N2225" i="2"/>
  <c r="O2225" i="2"/>
  <c r="L2226" i="2"/>
  <c r="M2226" i="2"/>
  <c r="N2226" i="2"/>
  <c r="O2226" i="2"/>
  <c r="L2227" i="2"/>
  <c r="M2227" i="2"/>
  <c r="N2227" i="2"/>
  <c r="O2227" i="2"/>
  <c r="L2228" i="2"/>
  <c r="M2228" i="2"/>
  <c r="N2228" i="2"/>
  <c r="O2228" i="2"/>
  <c r="L2229" i="2"/>
  <c r="M2229" i="2"/>
  <c r="N2229" i="2"/>
  <c r="O2229" i="2"/>
  <c r="L2230" i="2"/>
  <c r="M2230" i="2"/>
  <c r="N2230" i="2"/>
  <c r="O2230" i="2"/>
  <c r="L2231" i="2"/>
  <c r="M2231" i="2"/>
  <c r="N2231" i="2"/>
  <c r="O2231" i="2"/>
  <c r="L2232" i="2"/>
  <c r="M2232" i="2"/>
  <c r="N2232" i="2"/>
  <c r="O2232" i="2"/>
  <c r="L2233" i="2"/>
  <c r="M2233" i="2"/>
  <c r="N2233" i="2"/>
  <c r="O2233" i="2"/>
  <c r="L2234" i="2"/>
  <c r="M2234" i="2"/>
  <c r="N2234" i="2"/>
  <c r="O2234" i="2"/>
  <c r="L2235" i="2"/>
  <c r="M2235" i="2"/>
  <c r="N2235" i="2"/>
  <c r="O2235" i="2"/>
  <c r="L2236" i="2"/>
  <c r="M2236" i="2"/>
  <c r="N2236" i="2"/>
  <c r="O2236" i="2"/>
  <c r="L2237" i="2"/>
  <c r="M2237" i="2"/>
  <c r="N2237" i="2"/>
  <c r="O2237" i="2"/>
  <c r="L2238" i="2"/>
  <c r="M2238" i="2"/>
  <c r="N2238" i="2"/>
  <c r="O2238" i="2"/>
  <c r="L2239" i="2"/>
  <c r="M2239" i="2"/>
  <c r="N2239" i="2"/>
  <c r="O2239" i="2"/>
  <c r="L2240" i="2"/>
  <c r="M2240" i="2"/>
  <c r="N2240" i="2"/>
  <c r="O2240" i="2"/>
  <c r="L2241" i="2"/>
  <c r="M2241" i="2"/>
  <c r="N2241" i="2"/>
  <c r="O2241" i="2"/>
  <c r="L2242" i="2"/>
  <c r="M2242" i="2"/>
  <c r="N2242" i="2"/>
  <c r="O2242" i="2"/>
  <c r="L2243" i="2"/>
  <c r="M2243" i="2"/>
  <c r="N2243" i="2"/>
  <c r="O2243" i="2"/>
  <c r="L2244" i="2"/>
  <c r="M2244" i="2"/>
  <c r="N2244" i="2"/>
  <c r="O2244" i="2"/>
  <c r="L2245" i="2"/>
  <c r="M2245" i="2"/>
  <c r="N2245" i="2"/>
  <c r="O2245" i="2"/>
  <c r="L2246" i="2"/>
  <c r="M2246" i="2"/>
  <c r="N2246" i="2"/>
  <c r="O2246" i="2"/>
  <c r="L2247" i="2"/>
  <c r="M2247" i="2"/>
  <c r="N2247" i="2"/>
  <c r="O2247" i="2"/>
  <c r="L2248" i="2"/>
  <c r="M2248" i="2"/>
  <c r="N2248" i="2"/>
  <c r="O2248" i="2"/>
  <c r="L2249" i="2"/>
  <c r="M2249" i="2"/>
  <c r="N2249" i="2"/>
  <c r="O2249" i="2"/>
  <c r="L2250" i="2"/>
  <c r="M2250" i="2"/>
  <c r="N2250" i="2"/>
  <c r="O2250" i="2"/>
  <c r="L2251" i="2"/>
  <c r="M2251" i="2"/>
  <c r="N2251" i="2"/>
  <c r="O2251" i="2"/>
  <c r="L2252" i="2"/>
  <c r="M2252" i="2"/>
  <c r="N2252" i="2"/>
  <c r="O2252" i="2"/>
  <c r="L2253" i="2"/>
  <c r="M2253" i="2"/>
  <c r="N2253" i="2"/>
  <c r="O2253" i="2"/>
  <c r="L2254" i="2"/>
  <c r="M2254" i="2"/>
  <c r="N2254" i="2"/>
  <c r="O2254" i="2"/>
  <c r="L2255" i="2"/>
  <c r="M2255" i="2"/>
  <c r="N2255" i="2"/>
  <c r="O2255" i="2"/>
  <c r="L2256" i="2"/>
  <c r="M2256" i="2"/>
  <c r="N2256" i="2"/>
  <c r="O2256" i="2"/>
  <c r="L2257" i="2"/>
  <c r="M2257" i="2"/>
  <c r="N2257" i="2"/>
  <c r="O2257" i="2"/>
  <c r="L2258" i="2"/>
  <c r="M2258" i="2"/>
  <c r="N2258" i="2"/>
  <c r="O2258" i="2"/>
  <c r="L2259" i="2"/>
  <c r="M2259" i="2"/>
  <c r="N2259" i="2"/>
  <c r="O2259" i="2"/>
  <c r="L2260" i="2"/>
  <c r="M2260" i="2"/>
  <c r="N2260" i="2"/>
  <c r="O2260" i="2"/>
  <c r="L2261" i="2"/>
  <c r="M2261" i="2"/>
  <c r="N2261" i="2"/>
  <c r="O2261" i="2"/>
  <c r="L2262" i="2"/>
  <c r="M2262" i="2"/>
  <c r="N2262" i="2"/>
  <c r="O2262" i="2"/>
  <c r="L2263" i="2"/>
  <c r="M2263" i="2"/>
  <c r="N2263" i="2"/>
  <c r="O2263" i="2"/>
  <c r="L2264" i="2"/>
  <c r="M2264" i="2"/>
  <c r="N2264" i="2"/>
  <c r="O2264" i="2"/>
  <c r="L2265" i="2"/>
  <c r="M2265" i="2"/>
  <c r="N2265" i="2"/>
  <c r="O2265" i="2"/>
  <c r="L2266" i="2"/>
  <c r="M2266" i="2"/>
  <c r="N2266" i="2"/>
  <c r="O2266" i="2"/>
  <c r="L2267" i="2"/>
  <c r="M2267" i="2"/>
  <c r="N2267" i="2"/>
  <c r="O2267" i="2"/>
  <c r="L2268" i="2"/>
  <c r="M2268" i="2"/>
  <c r="N2268" i="2"/>
  <c r="O2268" i="2"/>
  <c r="L2269" i="2"/>
  <c r="M2269" i="2"/>
  <c r="N2269" i="2"/>
  <c r="O2269" i="2"/>
  <c r="L2270" i="2"/>
  <c r="M2270" i="2"/>
  <c r="N2270" i="2"/>
  <c r="O2270" i="2"/>
  <c r="L2271" i="2"/>
  <c r="M2271" i="2"/>
  <c r="N2271" i="2"/>
  <c r="O2271" i="2"/>
  <c r="L2272" i="2"/>
  <c r="M2272" i="2"/>
  <c r="N2272" i="2"/>
  <c r="O2272" i="2"/>
  <c r="L2273" i="2"/>
  <c r="M2273" i="2"/>
  <c r="N2273" i="2"/>
  <c r="O2273" i="2"/>
  <c r="L2274" i="2"/>
  <c r="M2274" i="2"/>
  <c r="N2274" i="2"/>
  <c r="O2274" i="2"/>
  <c r="L2275" i="2"/>
  <c r="M2275" i="2"/>
  <c r="N2275" i="2"/>
  <c r="O2275" i="2"/>
  <c r="L2276" i="2"/>
  <c r="M2276" i="2"/>
  <c r="N2276" i="2"/>
  <c r="O2276" i="2"/>
  <c r="L2277" i="2"/>
  <c r="M2277" i="2"/>
  <c r="N2277" i="2"/>
  <c r="O2277" i="2"/>
  <c r="L2278" i="2"/>
  <c r="M2278" i="2"/>
  <c r="N2278" i="2"/>
  <c r="O2278" i="2"/>
  <c r="L2279" i="2"/>
  <c r="M2279" i="2"/>
  <c r="N2279" i="2"/>
  <c r="O2279" i="2"/>
  <c r="L2280" i="2"/>
  <c r="M2280" i="2"/>
  <c r="N2280" i="2"/>
  <c r="O2280" i="2"/>
  <c r="L2281" i="2"/>
  <c r="M2281" i="2"/>
  <c r="N2281" i="2"/>
  <c r="O2281" i="2"/>
  <c r="L2282" i="2"/>
  <c r="M2282" i="2"/>
  <c r="N2282" i="2"/>
  <c r="O2282" i="2"/>
  <c r="L2283" i="2"/>
  <c r="M2283" i="2"/>
  <c r="N2283" i="2"/>
  <c r="O2283" i="2"/>
  <c r="L2284" i="2"/>
  <c r="M2284" i="2"/>
  <c r="N2284" i="2"/>
  <c r="O2284" i="2"/>
  <c r="L2285" i="2"/>
  <c r="M2285" i="2"/>
  <c r="N2285" i="2"/>
  <c r="O2285" i="2"/>
  <c r="L2286" i="2"/>
  <c r="M2286" i="2"/>
  <c r="N2286" i="2"/>
  <c r="O2286" i="2"/>
  <c r="L2287" i="2"/>
  <c r="M2287" i="2"/>
  <c r="N2287" i="2"/>
  <c r="O2287" i="2"/>
  <c r="L2288" i="2"/>
  <c r="M2288" i="2"/>
  <c r="N2288" i="2"/>
  <c r="O2288" i="2"/>
  <c r="L2289" i="2"/>
  <c r="M2289" i="2"/>
  <c r="N2289" i="2"/>
  <c r="O2289" i="2"/>
  <c r="L2290" i="2"/>
  <c r="M2290" i="2"/>
  <c r="N2290" i="2"/>
  <c r="O2290" i="2"/>
  <c r="L2291" i="2"/>
  <c r="M2291" i="2"/>
  <c r="N2291" i="2"/>
  <c r="O2291" i="2"/>
  <c r="L2292" i="2"/>
  <c r="M2292" i="2"/>
  <c r="N2292" i="2"/>
  <c r="O2292" i="2"/>
  <c r="L2293" i="2"/>
  <c r="M2293" i="2"/>
  <c r="N2293" i="2"/>
  <c r="O2293" i="2"/>
  <c r="L2294" i="2"/>
  <c r="M2294" i="2"/>
  <c r="N2294" i="2"/>
  <c r="O2294" i="2"/>
  <c r="L2295" i="2"/>
  <c r="M2295" i="2"/>
  <c r="N2295" i="2"/>
  <c r="O2295" i="2"/>
  <c r="L2296" i="2"/>
  <c r="M2296" i="2"/>
  <c r="N2296" i="2"/>
  <c r="O2296" i="2"/>
  <c r="L2297" i="2"/>
  <c r="M2297" i="2"/>
  <c r="N2297" i="2"/>
  <c r="O2297" i="2"/>
  <c r="L2298" i="2"/>
  <c r="M2298" i="2"/>
  <c r="N2298" i="2"/>
  <c r="O2298" i="2"/>
  <c r="L2299" i="2"/>
  <c r="M2299" i="2"/>
  <c r="N2299" i="2"/>
  <c r="O2299" i="2"/>
  <c r="L2300" i="2"/>
  <c r="M2300" i="2"/>
  <c r="N2300" i="2"/>
  <c r="O2300" i="2"/>
  <c r="L2301" i="2"/>
  <c r="M2301" i="2"/>
  <c r="N2301" i="2"/>
  <c r="O2301" i="2"/>
  <c r="L2302" i="2"/>
  <c r="M2302" i="2"/>
  <c r="N2302" i="2"/>
  <c r="O2302" i="2"/>
  <c r="L2303" i="2"/>
  <c r="M2303" i="2"/>
  <c r="N2303" i="2"/>
  <c r="O2303" i="2"/>
  <c r="L2304" i="2"/>
  <c r="M2304" i="2"/>
  <c r="N2304" i="2"/>
  <c r="O2304" i="2"/>
  <c r="L2305" i="2"/>
  <c r="M2305" i="2"/>
  <c r="N2305" i="2"/>
  <c r="O2305" i="2"/>
  <c r="L2306" i="2"/>
  <c r="M2306" i="2"/>
  <c r="N2306" i="2"/>
  <c r="O2306" i="2"/>
  <c r="L2307" i="2"/>
  <c r="M2307" i="2"/>
  <c r="N2307" i="2"/>
  <c r="O2307" i="2"/>
  <c r="L2308" i="2"/>
  <c r="M2308" i="2"/>
  <c r="N2308" i="2"/>
  <c r="O2308" i="2"/>
  <c r="L2309" i="2"/>
  <c r="M2309" i="2"/>
  <c r="N2309" i="2"/>
  <c r="O2309" i="2"/>
  <c r="L2310" i="2"/>
  <c r="M2310" i="2"/>
  <c r="N2310" i="2"/>
  <c r="O2310" i="2"/>
  <c r="L2311" i="2"/>
  <c r="M2311" i="2"/>
  <c r="N2311" i="2"/>
  <c r="O2311" i="2"/>
  <c r="L2312" i="2"/>
  <c r="M2312" i="2"/>
  <c r="N2312" i="2"/>
  <c r="O2312" i="2"/>
  <c r="L2313" i="2"/>
  <c r="M2313" i="2"/>
  <c r="N2313" i="2"/>
  <c r="O2313" i="2"/>
  <c r="L2314" i="2"/>
  <c r="M2314" i="2"/>
  <c r="N2314" i="2"/>
  <c r="O2314" i="2"/>
  <c r="L2315" i="2"/>
  <c r="M2315" i="2"/>
  <c r="N2315" i="2"/>
  <c r="O2315" i="2"/>
  <c r="L2316" i="2"/>
  <c r="M2316" i="2"/>
  <c r="N2316" i="2"/>
  <c r="O2316" i="2"/>
  <c r="L2317" i="2"/>
  <c r="M2317" i="2"/>
  <c r="N2317" i="2"/>
  <c r="O2317" i="2"/>
  <c r="L2318" i="2"/>
  <c r="M2318" i="2"/>
  <c r="N2318" i="2"/>
  <c r="O2318" i="2"/>
  <c r="L2319" i="2"/>
  <c r="M2319" i="2"/>
  <c r="N2319" i="2"/>
  <c r="O2319" i="2"/>
  <c r="L2320" i="2"/>
  <c r="M2320" i="2"/>
  <c r="N2320" i="2"/>
  <c r="O2320" i="2"/>
  <c r="L2321" i="2"/>
  <c r="M2321" i="2"/>
  <c r="N2321" i="2"/>
  <c r="O2321" i="2"/>
  <c r="L2322" i="2"/>
  <c r="M2322" i="2"/>
  <c r="N2322" i="2"/>
  <c r="O2322" i="2"/>
  <c r="L2323" i="2"/>
  <c r="M2323" i="2"/>
  <c r="N2323" i="2"/>
  <c r="O2323" i="2"/>
  <c r="L2324" i="2"/>
  <c r="M2324" i="2"/>
  <c r="N2324" i="2"/>
  <c r="O2324" i="2"/>
  <c r="L2325" i="2"/>
  <c r="M2325" i="2"/>
  <c r="N2325" i="2"/>
  <c r="O2325" i="2"/>
  <c r="L2326" i="2"/>
  <c r="M2326" i="2"/>
  <c r="N2326" i="2"/>
  <c r="O2326" i="2"/>
  <c r="L2327" i="2"/>
  <c r="M2327" i="2"/>
  <c r="N2327" i="2"/>
  <c r="O2327" i="2"/>
  <c r="L2328" i="2"/>
  <c r="M2328" i="2"/>
  <c r="N2328" i="2"/>
  <c r="O2328" i="2"/>
  <c r="L2329" i="2"/>
  <c r="M2329" i="2"/>
  <c r="N2329" i="2"/>
  <c r="O2329" i="2"/>
  <c r="L2330" i="2"/>
  <c r="M2330" i="2"/>
  <c r="N2330" i="2"/>
  <c r="O2330" i="2"/>
  <c r="L2331" i="2"/>
  <c r="M2331" i="2"/>
  <c r="N2331" i="2"/>
  <c r="O2331" i="2"/>
  <c r="L2332" i="2"/>
  <c r="M2332" i="2"/>
  <c r="N2332" i="2"/>
  <c r="O2332" i="2"/>
  <c r="L2333" i="2"/>
  <c r="M2333" i="2"/>
  <c r="N2333" i="2"/>
  <c r="O2333" i="2"/>
  <c r="L2334" i="2"/>
  <c r="M2334" i="2"/>
  <c r="N2334" i="2"/>
  <c r="O2334" i="2"/>
  <c r="L2335" i="2"/>
  <c r="M2335" i="2"/>
  <c r="N2335" i="2"/>
  <c r="O2335" i="2"/>
  <c r="L2336" i="2"/>
  <c r="M2336" i="2"/>
  <c r="N2336" i="2"/>
  <c r="O2336" i="2"/>
  <c r="L2337" i="2"/>
  <c r="M2337" i="2"/>
  <c r="N2337" i="2"/>
  <c r="O2337" i="2"/>
  <c r="L2338" i="2"/>
  <c r="M2338" i="2"/>
  <c r="N2338" i="2"/>
  <c r="O2338" i="2"/>
  <c r="L2339" i="2"/>
  <c r="M2339" i="2"/>
  <c r="N2339" i="2"/>
  <c r="O2339" i="2"/>
  <c r="L2340" i="2"/>
  <c r="M2340" i="2"/>
  <c r="N2340" i="2"/>
  <c r="O2340" i="2"/>
  <c r="L2341" i="2"/>
  <c r="M2341" i="2"/>
  <c r="N2341" i="2"/>
  <c r="O2341" i="2"/>
  <c r="L2342" i="2"/>
  <c r="M2342" i="2"/>
  <c r="N2342" i="2"/>
  <c r="O2342" i="2"/>
  <c r="L2343" i="2"/>
  <c r="M2343" i="2"/>
  <c r="N2343" i="2"/>
  <c r="O2343" i="2"/>
  <c r="L2344" i="2"/>
  <c r="M2344" i="2"/>
  <c r="N2344" i="2"/>
  <c r="O2344" i="2"/>
  <c r="L2345" i="2"/>
  <c r="M2345" i="2"/>
  <c r="N2345" i="2"/>
  <c r="O2345" i="2"/>
  <c r="L2346" i="2"/>
  <c r="M2346" i="2"/>
  <c r="N2346" i="2"/>
  <c r="O2346" i="2"/>
  <c r="L2347" i="2"/>
  <c r="M2347" i="2"/>
  <c r="N2347" i="2"/>
  <c r="O2347" i="2"/>
  <c r="L2348" i="2"/>
  <c r="M2348" i="2"/>
  <c r="N2348" i="2"/>
  <c r="O2348" i="2"/>
  <c r="L2349" i="2"/>
  <c r="M2349" i="2"/>
  <c r="N2349" i="2"/>
  <c r="O2349" i="2"/>
  <c r="L2350" i="2"/>
  <c r="M2350" i="2"/>
  <c r="N2350" i="2"/>
  <c r="O2350" i="2"/>
  <c r="L2351" i="2"/>
  <c r="M2351" i="2"/>
  <c r="N2351" i="2"/>
  <c r="O2351" i="2"/>
  <c r="L2352" i="2"/>
  <c r="M2352" i="2"/>
  <c r="N2352" i="2"/>
  <c r="O2352" i="2"/>
  <c r="L2353" i="2"/>
  <c r="M2353" i="2"/>
  <c r="N2353" i="2"/>
  <c r="O2353" i="2"/>
  <c r="L2354" i="2"/>
  <c r="M2354" i="2"/>
  <c r="N2354" i="2"/>
  <c r="O2354" i="2"/>
  <c r="L2355" i="2"/>
  <c r="M2355" i="2"/>
  <c r="N2355" i="2"/>
  <c r="O2355" i="2"/>
  <c r="L2356" i="2"/>
  <c r="M2356" i="2"/>
  <c r="N2356" i="2"/>
  <c r="O2356" i="2"/>
  <c r="L2357" i="2"/>
  <c r="M2357" i="2"/>
  <c r="N2357" i="2"/>
  <c r="O2357" i="2"/>
  <c r="L2358" i="2"/>
  <c r="M2358" i="2"/>
  <c r="N2358" i="2"/>
  <c r="O2358" i="2"/>
  <c r="L2359" i="2"/>
  <c r="M2359" i="2"/>
  <c r="N2359" i="2"/>
  <c r="O2359" i="2"/>
  <c r="L2360" i="2"/>
  <c r="M2360" i="2"/>
  <c r="N2360" i="2"/>
  <c r="O2360" i="2"/>
  <c r="L2361" i="2"/>
  <c r="M2361" i="2"/>
  <c r="N2361" i="2"/>
  <c r="O2361" i="2"/>
  <c r="L2362" i="2"/>
  <c r="M2362" i="2"/>
  <c r="N2362" i="2"/>
  <c r="O2362" i="2"/>
  <c r="L2363" i="2"/>
  <c r="M2363" i="2"/>
  <c r="N2363" i="2"/>
  <c r="O2363" i="2"/>
  <c r="L2364" i="2"/>
  <c r="M2364" i="2"/>
  <c r="N2364" i="2"/>
  <c r="O2364" i="2"/>
  <c r="L2365" i="2"/>
  <c r="M2365" i="2"/>
  <c r="N2365" i="2"/>
  <c r="O2365" i="2"/>
  <c r="L2366" i="2"/>
  <c r="M2366" i="2"/>
  <c r="N2366" i="2"/>
  <c r="O2366" i="2"/>
  <c r="L2367" i="2"/>
  <c r="M2367" i="2"/>
  <c r="N2367" i="2"/>
  <c r="O2367" i="2"/>
  <c r="L2368" i="2"/>
  <c r="M2368" i="2"/>
  <c r="N2368" i="2"/>
  <c r="O2368" i="2"/>
  <c r="L2369" i="2"/>
  <c r="M2369" i="2"/>
  <c r="N2369" i="2"/>
  <c r="O2369" i="2"/>
  <c r="L2370" i="2"/>
  <c r="M2370" i="2"/>
  <c r="N2370" i="2"/>
  <c r="O2370" i="2"/>
  <c r="L2371" i="2"/>
  <c r="M2371" i="2"/>
  <c r="N2371" i="2"/>
  <c r="O2371" i="2"/>
  <c r="L2372" i="2"/>
  <c r="M2372" i="2"/>
  <c r="N2372" i="2"/>
  <c r="O2372" i="2"/>
  <c r="L2373" i="2"/>
  <c r="M2373" i="2"/>
  <c r="N2373" i="2"/>
  <c r="O2373" i="2"/>
  <c r="L2374" i="2"/>
  <c r="M2374" i="2"/>
  <c r="N2374" i="2"/>
  <c r="O2374" i="2"/>
  <c r="L2375" i="2"/>
  <c r="M2375" i="2"/>
  <c r="N2375" i="2"/>
  <c r="O2375" i="2"/>
  <c r="L2376" i="2"/>
  <c r="M2376" i="2"/>
  <c r="N2376" i="2"/>
  <c r="O2376" i="2"/>
  <c r="L2377" i="2"/>
  <c r="M2377" i="2"/>
  <c r="N2377" i="2"/>
  <c r="O2377" i="2"/>
  <c r="L2378" i="2"/>
  <c r="M2378" i="2"/>
  <c r="N2378" i="2"/>
  <c r="O2378" i="2"/>
  <c r="L2379" i="2"/>
  <c r="M2379" i="2"/>
  <c r="N2379" i="2"/>
  <c r="O2379" i="2"/>
  <c r="L2380" i="2"/>
  <c r="M2380" i="2"/>
  <c r="N2380" i="2"/>
  <c r="O2380" i="2"/>
  <c r="L2381" i="2"/>
  <c r="M2381" i="2"/>
  <c r="N2381" i="2"/>
  <c r="O2381" i="2"/>
  <c r="L2382" i="2"/>
  <c r="M2382" i="2"/>
  <c r="N2382" i="2"/>
  <c r="O2382" i="2"/>
  <c r="L2383" i="2"/>
  <c r="M2383" i="2"/>
  <c r="N2383" i="2"/>
  <c r="O2383" i="2"/>
  <c r="L2384" i="2"/>
  <c r="M2384" i="2"/>
  <c r="N2384" i="2"/>
  <c r="O2384" i="2"/>
  <c r="L2385" i="2"/>
  <c r="M2385" i="2"/>
  <c r="N2385" i="2"/>
  <c r="O2385" i="2"/>
  <c r="L2386" i="2"/>
  <c r="M2386" i="2"/>
  <c r="N2386" i="2"/>
  <c r="O2386" i="2"/>
  <c r="L2387" i="2"/>
  <c r="M2387" i="2"/>
  <c r="N2387" i="2"/>
  <c r="O2387" i="2"/>
  <c r="L2388" i="2"/>
  <c r="M2388" i="2"/>
  <c r="N2388" i="2"/>
  <c r="O2388" i="2"/>
  <c r="L2389" i="2"/>
  <c r="M2389" i="2"/>
  <c r="N2389" i="2"/>
  <c r="O2389" i="2"/>
  <c r="L2390" i="2"/>
  <c r="M2390" i="2"/>
  <c r="N2390" i="2"/>
  <c r="O2390" i="2"/>
  <c r="L2391" i="2"/>
  <c r="M2391" i="2"/>
  <c r="N2391" i="2"/>
  <c r="O2391" i="2"/>
  <c r="L2392" i="2"/>
  <c r="M2392" i="2"/>
  <c r="N2392" i="2"/>
  <c r="O2392" i="2"/>
  <c r="L2393" i="2"/>
  <c r="M2393" i="2"/>
  <c r="N2393" i="2"/>
  <c r="O2393" i="2"/>
  <c r="L2394" i="2"/>
  <c r="M2394" i="2"/>
  <c r="N2394" i="2"/>
  <c r="O2394" i="2"/>
  <c r="L2395" i="2"/>
  <c r="M2395" i="2"/>
  <c r="N2395" i="2"/>
  <c r="O2395" i="2"/>
  <c r="L2396" i="2"/>
  <c r="M2396" i="2"/>
  <c r="N2396" i="2"/>
  <c r="O2396" i="2"/>
  <c r="L2397" i="2"/>
  <c r="M2397" i="2"/>
  <c r="N2397" i="2"/>
  <c r="O2397" i="2"/>
  <c r="L2398" i="2"/>
  <c r="M2398" i="2"/>
  <c r="N2398" i="2"/>
  <c r="O2398" i="2"/>
  <c r="L2399" i="2"/>
  <c r="M2399" i="2"/>
  <c r="N2399" i="2"/>
  <c r="O2399" i="2"/>
  <c r="L2400" i="2"/>
  <c r="M2400" i="2"/>
  <c r="N2400" i="2"/>
  <c r="O2400" i="2"/>
  <c r="L2401" i="2"/>
  <c r="M2401" i="2"/>
  <c r="N2401" i="2"/>
  <c r="O2401" i="2"/>
  <c r="L2402" i="2"/>
  <c r="M2402" i="2"/>
  <c r="N2402" i="2"/>
  <c r="O2402" i="2"/>
  <c r="L2403" i="2"/>
  <c r="M2403" i="2"/>
  <c r="N2403" i="2"/>
  <c r="O2403" i="2"/>
  <c r="L2404" i="2"/>
  <c r="M2404" i="2"/>
  <c r="N2404" i="2"/>
  <c r="O2404" i="2"/>
  <c r="L2405" i="2"/>
  <c r="M2405" i="2"/>
  <c r="N2405" i="2"/>
  <c r="O2405" i="2"/>
  <c r="L2406" i="2"/>
  <c r="M2406" i="2"/>
  <c r="N2406" i="2"/>
  <c r="O2406" i="2"/>
  <c r="L2407" i="2"/>
  <c r="M2407" i="2"/>
  <c r="N2407" i="2"/>
  <c r="O2407" i="2"/>
  <c r="L2408" i="2"/>
  <c r="M2408" i="2"/>
  <c r="N2408" i="2"/>
  <c r="O2408" i="2"/>
  <c r="L2409" i="2"/>
  <c r="M2409" i="2"/>
  <c r="N2409" i="2"/>
  <c r="O2409" i="2"/>
  <c r="L2410" i="2"/>
  <c r="M2410" i="2"/>
  <c r="N2410" i="2"/>
  <c r="O2410" i="2"/>
  <c r="L2411" i="2"/>
  <c r="M2411" i="2"/>
  <c r="N2411" i="2"/>
  <c r="O2411" i="2"/>
  <c r="L2412" i="2"/>
  <c r="M2412" i="2"/>
  <c r="N2412" i="2"/>
  <c r="O2412" i="2"/>
  <c r="L2413" i="2"/>
  <c r="M2413" i="2"/>
  <c r="N2413" i="2"/>
  <c r="O2413" i="2"/>
  <c r="L2414" i="2"/>
  <c r="M2414" i="2"/>
  <c r="N2414" i="2"/>
  <c r="O2414" i="2"/>
  <c r="L2415" i="2"/>
  <c r="M2415" i="2"/>
  <c r="N2415" i="2"/>
  <c r="O2415" i="2"/>
  <c r="L2416" i="2"/>
  <c r="M2416" i="2"/>
  <c r="N2416" i="2"/>
  <c r="O2416" i="2"/>
  <c r="L2417" i="2"/>
  <c r="M2417" i="2"/>
  <c r="N2417" i="2"/>
  <c r="O2417" i="2"/>
  <c r="L2418" i="2"/>
  <c r="M2418" i="2"/>
  <c r="N2418" i="2"/>
  <c r="O2418" i="2"/>
  <c r="L2419" i="2"/>
  <c r="M2419" i="2"/>
  <c r="N2419" i="2"/>
  <c r="O2419" i="2"/>
  <c r="L2420" i="2"/>
  <c r="M2420" i="2"/>
  <c r="N2420" i="2"/>
  <c r="O2420" i="2"/>
  <c r="L2421" i="2"/>
  <c r="M2421" i="2"/>
  <c r="N2421" i="2"/>
  <c r="O2421" i="2"/>
  <c r="L2422" i="2"/>
  <c r="M2422" i="2"/>
  <c r="N2422" i="2"/>
  <c r="O2422" i="2"/>
  <c r="L2423" i="2"/>
  <c r="M2423" i="2"/>
  <c r="N2423" i="2"/>
  <c r="O2423" i="2"/>
  <c r="L2424" i="2"/>
  <c r="M2424" i="2"/>
  <c r="N2424" i="2"/>
  <c r="O2424" i="2"/>
  <c r="L2425" i="2"/>
  <c r="M2425" i="2"/>
  <c r="N2425" i="2"/>
  <c r="O2425" i="2"/>
  <c r="L2426" i="2"/>
  <c r="M2426" i="2"/>
  <c r="N2426" i="2"/>
  <c r="O2426" i="2"/>
  <c r="L2427" i="2"/>
  <c r="M2427" i="2"/>
  <c r="N2427" i="2"/>
  <c r="O2427" i="2"/>
  <c r="L2428" i="2"/>
  <c r="M2428" i="2"/>
  <c r="N2428" i="2"/>
  <c r="O2428" i="2"/>
  <c r="L2429" i="2"/>
  <c r="M2429" i="2"/>
  <c r="N2429" i="2"/>
  <c r="O2429" i="2"/>
  <c r="L2430" i="2"/>
  <c r="M2430" i="2"/>
  <c r="N2430" i="2"/>
  <c r="O2430" i="2"/>
  <c r="L2431" i="2"/>
  <c r="M2431" i="2"/>
  <c r="N2431" i="2"/>
  <c r="O2431" i="2"/>
  <c r="L2432" i="2"/>
  <c r="M2432" i="2"/>
  <c r="N2432" i="2"/>
  <c r="O2432" i="2"/>
  <c r="L2433" i="2"/>
  <c r="M2433" i="2"/>
  <c r="N2433" i="2"/>
  <c r="O2433" i="2"/>
  <c r="L2434" i="2"/>
  <c r="M2434" i="2"/>
  <c r="N2434" i="2"/>
  <c r="O2434" i="2"/>
  <c r="L2435" i="2"/>
  <c r="M2435" i="2"/>
  <c r="N2435" i="2"/>
  <c r="O2435" i="2"/>
  <c r="L2436" i="2"/>
  <c r="M2436" i="2"/>
  <c r="N2436" i="2"/>
  <c r="O2436" i="2"/>
  <c r="L2437" i="2"/>
  <c r="M2437" i="2"/>
  <c r="N2437" i="2"/>
  <c r="O2437" i="2"/>
  <c r="L2438" i="2"/>
  <c r="M2438" i="2"/>
  <c r="N2438" i="2"/>
  <c r="O2438" i="2"/>
  <c r="L2439" i="2"/>
  <c r="M2439" i="2"/>
  <c r="N2439" i="2"/>
  <c r="O2439" i="2"/>
  <c r="L2440" i="2"/>
  <c r="M2440" i="2"/>
  <c r="N2440" i="2"/>
  <c r="O2440" i="2"/>
  <c r="L2441" i="2"/>
  <c r="M2441" i="2"/>
  <c r="N2441" i="2"/>
  <c r="O2441" i="2"/>
  <c r="L2442" i="2"/>
  <c r="M2442" i="2"/>
  <c r="N2442" i="2"/>
  <c r="O2442" i="2"/>
  <c r="L2443" i="2"/>
  <c r="M2443" i="2"/>
  <c r="N2443" i="2"/>
  <c r="O2443" i="2"/>
  <c r="L2444" i="2"/>
  <c r="M2444" i="2"/>
  <c r="N2444" i="2"/>
  <c r="O2444" i="2"/>
  <c r="L2445" i="2"/>
  <c r="M2445" i="2"/>
  <c r="N2445" i="2"/>
  <c r="O2445" i="2"/>
  <c r="L2446" i="2"/>
  <c r="M2446" i="2"/>
  <c r="N2446" i="2"/>
  <c r="O2446" i="2"/>
  <c r="L2447" i="2"/>
  <c r="M2447" i="2"/>
  <c r="N2447" i="2"/>
  <c r="O2447" i="2"/>
  <c r="L2448" i="2"/>
  <c r="M2448" i="2"/>
  <c r="N2448" i="2"/>
  <c r="O2448" i="2"/>
  <c r="L2449" i="2"/>
  <c r="M2449" i="2"/>
  <c r="N2449" i="2"/>
  <c r="O2449" i="2"/>
  <c r="L2450" i="2"/>
  <c r="M2450" i="2"/>
  <c r="N2450" i="2"/>
  <c r="O2450" i="2"/>
  <c r="L2451" i="2"/>
  <c r="M2451" i="2"/>
  <c r="N2451" i="2"/>
  <c r="O2451" i="2"/>
  <c r="L2452" i="2"/>
  <c r="M2452" i="2"/>
  <c r="N2452" i="2"/>
  <c r="O2452" i="2"/>
  <c r="L2453" i="2"/>
  <c r="M2453" i="2"/>
  <c r="N2453" i="2"/>
  <c r="O2453" i="2"/>
  <c r="L2454" i="2"/>
  <c r="M2454" i="2"/>
  <c r="N2454" i="2"/>
  <c r="O2454" i="2"/>
  <c r="L2455" i="2"/>
  <c r="M2455" i="2"/>
  <c r="N2455" i="2"/>
  <c r="O2455" i="2"/>
  <c r="L2456" i="2"/>
  <c r="M2456" i="2"/>
  <c r="N2456" i="2"/>
  <c r="O2456" i="2"/>
  <c r="L2457" i="2"/>
  <c r="M2457" i="2"/>
  <c r="N2457" i="2"/>
  <c r="O2457" i="2"/>
  <c r="L2458" i="2"/>
  <c r="M2458" i="2"/>
  <c r="N2458" i="2"/>
  <c r="O2458" i="2"/>
  <c r="L2459" i="2"/>
  <c r="M2459" i="2"/>
  <c r="N2459" i="2"/>
  <c r="O2459" i="2"/>
  <c r="L2460" i="2"/>
  <c r="M2460" i="2"/>
  <c r="N2460" i="2"/>
  <c r="O2460" i="2"/>
  <c r="L2461" i="2"/>
  <c r="M2461" i="2"/>
  <c r="N2461" i="2"/>
  <c r="O2461" i="2"/>
  <c r="L2462" i="2"/>
  <c r="M2462" i="2"/>
  <c r="N2462" i="2"/>
  <c r="O2462" i="2"/>
  <c r="L2463" i="2"/>
  <c r="M2463" i="2"/>
  <c r="N2463" i="2"/>
  <c r="O2463" i="2"/>
  <c r="L2464" i="2"/>
  <c r="M2464" i="2"/>
  <c r="N2464" i="2"/>
  <c r="O2464" i="2"/>
  <c r="L2465" i="2"/>
  <c r="M2465" i="2"/>
  <c r="N2465" i="2"/>
  <c r="O2465" i="2"/>
  <c r="L2466" i="2"/>
  <c r="M2466" i="2"/>
  <c r="N2466" i="2"/>
  <c r="O2466" i="2"/>
  <c r="L2467" i="2"/>
  <c r="M2467" i="2"/>
  <c r="N2467" i="2"/>
  <c r="O2467" i="2"/>
  <c r="L2468" i="2"/>
  <c r="M2468" i="2"/>
  <c r="N2468" i="2"/>
  <c r="O2468" i="2"/>
  <c r="L2469" i="2"/>
  <c r="M2469" i="2"/>
  <c r="N2469" i="2"/>
  <c r="O2469" i="2"/>
  <c r="L2470" i="2"/>
  <c r="M2470" i="2"/>
  <c r="N2470" i="2"/>
  <c r="O2470" i="2"/>
  <c r="L2471" i="2"/>
  <c r="M2471" i="2"/>
  <c r="N2471" i="2"/>
  <c r="O2471" i="2"/>
  <c r="L2472" i="2"/>
  <c r="M2472" i="2"/>
  <c r="N2472" i="2"/>
  <c r="O2472" i="2"/>
  <c r="L2473" i="2"/>
  <c r="M2473" i="2"/>
  <c r="N2473" i="2"/>
  <c r="O2473" i="2"/>
  <c r="L2474" i="2"/>
  <c r="M2474" i="2"/>
  <c r="N2474" i="2"/>
  <c r="O2474" i="2"/>
  <c r="L2475" i="2"/>
  <c r="M2475" i="2"/>
  <c r="N2475" i="2"/>
  <c r="O2475" i="2"/>
  <c r="L2476" i="2"/>
  <c r="M2476" i="2"/>
  <c r="N2476" i="2"/>
  <c r="O2476" i="2"/>
  <c r="L2477" i="2"/>
  <c r="M2477" i="2"/>
  <c r="N2477" i="2"/>
  <c r="O2477" i="2"/>
  <c r="L2478" i="2"/>
  <c r="M2478" i="2"/>
  <c r="N2478" i="2"/>
  <c r="O2478" i="2"/>
  <c r="L2479" i="2"/>
  <c r="M2479" i="2"/>
  <c r="N2479" i="2"/>
  <c r="O2479" i="2"/>
  <c r="L2480" i="2"/>
  <c r="M2480" i="2"/>
  <c r="N2480" i="2"/>
  <c r="O2480" i="2"/>
  <c r="L2481" i="2"/>
  <c r="M2481" i="2"/>
  <c r="N2481" i="2"/>
  <c r="O2481" i="2"/>
  <c r="L2482" i="2"/>
  <c r="M2482" i="2"/>
  <c r="N2482" i="2"/>
  <c r="O2482" i="2"/>
  <c r="L2483" i="2"/>
  <c r="M2483" i="2"/>
  <c r="N2483" i="2"/>
  <c r="O2483" i="2"/>
  <c r="L2484" i="2"/>
  <c r="M2484" i="2"/>
  <c r="N2484" i="2"/>
  <c r="O2484" i="2"/>
  <c r="L2485" i="2"/>
  <c r="M2485" i="2"/>
  <c r="N2485" i="2"/>
  <c r="O2485" i="2"/>
  <c r="L2486" i="2"/>
  <c r="M2486" i="2"/>
  <c r="N2486" i="2"/>
  <c r="O2486" i="2"/>
  <c r="L2487" i="2"/>
  <c r="M2487" i="2"/>
  <c r="N2487" i="2"/>
  <c r="O2487" i="2"/>
  <c r="L2488" i="2"/>
  <c r="M2488" i="2"/>
  <c r="N2488" i="2"/>
  <c r="O2488" i="2"/>
  <c r="L2489" i="2"/>
  <c r="M2489" i="2"/>
  <c r="N2489" i="2"/>
  <c r="O2489" i="2"/>
  <c r="L2490" i="2"/>
  <c r="M2490" i="2"/>
  <c r="N2490" i="2"/>
  <c r="O2490" i="2"/>
  <c r="L2491" i="2"/>
  <c r="M2491" i="2"/>
  <c r="N2491" i="2"/>
  <c r="O2491" i="2"/>
  <c r="L2492" i="2"/>
  <c r="M2492" i="2"/>
  <c r="N2492" i="2"/>
  <c r="O2492" i="2"/>
  <c r="L2493" i="2"/>
  <c r="M2493" i="2"/>
  <c r="N2493" i="2"/>
  <c r="O2493" i="2"/>
  <c r="L2494" i="2"/>
  <c r="M2494" i="2"/>
  <c r="N2494" i="2"/>
  <c r="O2494" i="2"/>
  <c r="L2495" i="2"/>
  <c r="M2495" i="2"/>
  <c r="N2495" i="2"/>
  <c r="O2495" i="2"/>
  <c r="L2496" i="2"/>
  <c r="M2496" i="2"/>
  <c r="N2496" i="2"/>
  <c r="O2496" i="2"/>
  <c r="L2497" i="2"/>
  <c r="M2497" i="2"/>
  <c r="N2497" i="2"/>
  <c r="O2497" i="2"/>
  <c r="L2498" i="2"/>
  <c r="M2498" i="2"/>
  <c r="N2498" i="2"/>
  <c r="O2498" i="2"/>
  <c r="L2499" i="2"/>
  <c r="M2499" i="2"/>
  <c r="N2499" i="2"/>
  <c r="O2499" i="2"/>
  <c r="L2500" i="2"/>
  <c r="M2500" i="2"/>
  <c r="N2500" i="2"/>
  <c r="O2500" i="2"/>
  <c r="L2501" i="2"/>
  <c r="M2501" i="2"/>
  <c r="N2501" i="2"/>
  <c r="O2501" i="2"/>
  <c r="L2502" i="2"/>
  <c r="M2502" i="2"/>
  <c r="N2502" i="2"/>
  <c r="O2502" i="2"/>
  <c r="L2503" i="2"/>
  <c r="M2503" i="2"/>
  <c r="N2503" i="2"/>
  <c r="O2503" i="2"/>
  <c r="L2504" i="2"/>
  <c r="M2504" i="2"/>
  <c r="N2504" i="2"/>
  <c r="O2504" i="2"/>
  <c r="L2505" i="2"/>
  <c r="M2505" i="2"/>
  <c r="N2505" i="2"/>
  <c r="O2505" i="2"/>
  <c r="L2506" i="2"/>
  <c r="M2506" i="2"/>
  <c r="N2506" i="2"/>
  <c r="O2506" i="2"/>
  <c r="L2507" i="2"/>
  <c r="M2507" i="2"/>
  <c r="N2507" i="2"/>
  <c r="O2507" i="2"/>
  <c r="L2508" i="2"/>
  <c r="M2508" i="2"/>
  <c r="N2508" i="2"/>
  <c r="O2508" i="2"/>
  <c r="L2509" i="2"/>
  <c r="M2509" i="2"/>
  <c r="N2509" i="2"/>
  <c r="O2509" i="2"/>
  <c r="L2510" i="2"/>
  <c r="M2510" i="2"/>
  <c r="N2510" i="2"/>
  <c r="O2510" i="2"/>
  <c r="L2511" i="2"/>
  <c r="M2511" i="2"/>
  <c r="N2511" i="2"/>
  <c r="O2511" i="2"/>
  <c r="L2512" i="2"/>
  <c r="M2512" i="2"/>
  <c r="N2512" i="2"/>
  <c r="O2512" i="2"/>
  <c r="L2513" i="2"/>
  <c r="M2513" i="2"/>
  <c r="N2513" i="2"/>
  <c r="O2513" i="2"/>
  <c r="L2514" i="2"/>
  <c r="M2514" i="2"/>
  <c r="N2514" i="2"/>
  <c r="O2514" i="2"/>
  <c r="L2515" i="2"/>
  <c r="M2515" i="2"/>
  <c r="N2515" i="2"/>
  <c r="O2515" i="2"/>
  <c r="L2516" i="2"/>
  <c r="M2516" i="2"/>
  <c r="N2516" i="2"/>
  <c r="O2516" i="2"/>
  <c r="L2517" i="2"/>
  <c r="M2517" i="2"/>
  <c r="N2517" i="2"/>
  <c r="O2517" i="2"/>
  <c r="L2518" i="2"/>
  <c r="M2518" i="2"/>
  <c r="N2518" i="2"/>
  <c r="O2518" i="2"/>
  <c r="L2519" i="2"/>
  <c r="M2519" i="2"/>
  <c r="N2519" i="2"/>
  <c r="O2519" i="2"/>
  <c r="L2520" i="2"/>
  <c r="M2520" i="2"/>
  <c r="N2520" i="2"/>
  <c r="O2520" i="2"/>
  <c r="L2521" i="2"/>
  <c r="M2521" i="2"/>
  <c r="N2521" i="2"/>
  <c r="O2521" i="2"/>
  <c r="L2522" i="2"/>
  <c r="M2522" i="2"/>
  <c r="N2522" i="2"/>
  <c r="O2522" i="2"/>
  <c r="L2523" i="2"/>
  <c r="M2523" i="2"/>
  <c r="N2523" i="2"/>
  <c r="O2523" i="2"/>
  <c r="L2524" i="2"/>
  <c r="M2524" i="2"/>
  <c r="N2524" i="2"/>
  <c r="O2524" i="2"/>
  <c r="L2525" i="2"/>
  <c r="M2525" i="2"/>
  <c r="N2525" i="2"/>
  <c r="O2525" i="2"/>
  <c r="L2526" i="2"/>
  <c r="M2526" i="2"/>
  <c r="N2526" i="2"/>
  <c r="O2526" i="2"/>
  <c r="L2527" i="2"/>
  <c r="M2527" i="2"/>
  <c r="N2527" i="2"/>
  <c r="O2527" i="2"/>
  <c r="L2528" i="2"/>
  <c r="M2528" i="2"/>
  <c r="N2528" i="2"/>
  <c r="O2528" i="2"/>
  <c r="L2529" i="2"/>
  <c r="M2529" i="2"/>
  <c r="N2529" i="2"/>
  <c r="O2529" i="2"/>
  <c r="L2530" i="2"/>
  <c r="M2530" i="2"/>
  <c r="N2530" i="2"/>
  <c r="O2530" i="2"/>
  <c r="L2531" i="2"/>
  <c r="M2531" i="2"/>
  <c r="N2531" i="2"/>
  <c r="O2531" i="2"/>
  <c r="L2532" i="2"/>
  <c r="M2532" i="2"/>
  <c r="N2532" i="2"/>
  <c r="O2532" i="2"/>
  <c r="L2533" i="2"/>
  <c r="M2533" i="2"/>
  <c r="N2533" i="2"/>
  <c r="O2533" i="2"/>
  <c r="L2534" i="2"/>
  <c r="M2534" i="2"/>
  <c r="N2534" i="2"/>
  <c r="O2534" i="2"/>
  <c r="L2535" i="2"/>
  <c r="M2535" i="2"/>
  <c r="N2535" i="2"/>
  <c r="O2535" i="2"/>
  <c r="L2536" i="2"/>
  <c r="M2536" i="2"/>
  <c r="N2536" i="2"/>
  <c r="O2536" i="2"/>
  <c r="L2537" i="2"/>
  <c r="M2537" i="2"/>
  <c r="N2537" i="2"/>
  <c r="O2537" i="2"/>
  <c r="L2538" i="2"/>
  <c r="M2538" i="2"/>
  <c r="N2538" i="2"/>
  <c r="O2538" i="2"/>
  <c r="L2539" i="2"/>
  <c r="M2539" i="2"/>
  <c r="N2539" i="2"/>
  <c r="O2539" i="2"/>
  <c r="L2540" i="2"/>
  <c r="M2540" i="2"/>
  <c r="N2540" i="2"/>
  <c r="O2540" i="2"/>
  <c r="L2541" i="2"/>
  <c r="M2541" i="2"/>
  <c r="N2541" i="2"/>
  <c r="O2541" i="2"/>
  <c r="L2542" i="2"/>
  <c r="M2542" i="2"/>
  <c r="N2542" i="2"/>
  <c r="O2542" i="2"/>
  <c r="L2543" i="2"/>
  <c r="M2543" i="2"/>
  <c r="N2543" i="2"/>
  <c r="O2543" i="2"/>
  <c r="L2544" i="2"/>
  <c r="M2544" i="2"/>
  <c r="N2544" i="2"/>
  <c r="O2544" i="2"/>
  <c r="L2545" i="2"/>
  <c r="M2545" i="2"/>
  <c r="N2545" i="2"/>
  <c r="O2545" i="2"/>
  <c r="L2546" i="2"/>
  <c r="M2546" i="2"/>
  <c r="N2546" i="2"/>
  <c r="O2546" i="2"/>
  <c r="L2547" i="2"/>
  <c r="M2547" i="2"/>
  <c r="N2547" i="2"/>
  <c r="O2547" i="2"/>
  <c r="L2548" i="2"/>
  <c r="M2548" i="2"/>
  <c r="N2548" i="2"/>
  <c r="O2548" i="2"/>
  <c r="L2549" i="2"/>
  <c r="M2549" i="2"/>
  <c r="N2549" i="2"/>
  <c r="O2549" i="2"/>
  <c r="L2550" i="2"/>
  <c r="M2550" i="2"/>
  <c r="N2550" i="2"/>
  <c r="O2550" i="2"/>
  <c r="L2551" i="2"/>
  <c r="M2551" i="2"/>
  <c r="N2551" i="2"/>
  <c r="O2551" i="2"/>
  <c r="L2552" i="2"/>
  <c r="M2552" i="2"/>
  <c r="N2552" i="2"/>
  <c r="O2552" i="2"/>
  <c r="L2553" i="2"/>
  <c r="M2553" i="2"/>
  <c r="N2553" i="2"/>
  <c r="O2553" i="2"/>
  <c r="L2554" i="2"/>
  <c r="M2554" i="2"/>
  <c r="N2554" i="2"/>
  <c r="O2554" i="2"/>
  <c r="L2555" i="2"/>
  <c r="M2555" i="2"/>
  <c r="N2555" i="2"/>
  <c r="O2555" i="2"/>
  <c r="L2556" i="2"/>
  <c r="M2556" i="2"/>
  <c r="N2556" i="2"/>
  <c r="O2556" i="2"/>
  <c r="L2557" i="2"/>
  <c r="M2557" i="2"/>
  <c r="N2557" i="2"/>
  <c r="O2557" i="2"/>
  <c r="L2558" i="2"/>
  <c r="M2558" i="2"/>
  <c r="N2558" i="2"/>
  <c r="O2558" i="2"/>
  <c r="L2559" i="2"/>
  <c r="M2559" i="2"/>
  <c r="N2559" i="2"/>
  <c r="O2559" i="2"/>
  <c r="L2560" i="2"/>
  <c r="M2560" i="2"/>
  <c r="N2560" i="2"/>
  <c r="O2560" i="2"/>
  <c r="L2561" i="2"/>
  <c r="M2561" i="2"/>
  <c r="N2561" i="2"/>
  <c r="O2561" i="2"/>
  <c r="L2562" i="2"/>
  <c r="M2562" i="2"/>
  <c r="N2562" i="2"/>
  <c r="O2562" i="2"/>
  <c r="L2563" i="2"/>
  <c r="M2563" i="2"/>
  <c r="N2563" i="2"/>
  <c r="O2563" i="2"/>
  <c r="L2564" i="2"/>
  <c r="M2564" i="2"/>
  <c r="N2564" i="2"/>
  <c r="O2564" i="2"/>
  <c r="L2565" i="2"/>
  <c r="M2565" i="2"/>
  <c r="N2565" i="2"/>
  <c r="O2565" i="2"/>
  <c r="L2566" i="2"/>
  <c r="M2566" i="2"/>
  <c r="N2566" i="2"/>
  <c r="O2566" i="2"/>
  <c r="L2567" i="2"/>
  <c r="M2567" i="2"/>
  <c r="N2567" i="2"/>
  <c r="O2567" i="2"/>
  <c r="L2568" i="2"/>
  <c r="M2568" i="2"/>
  <c r="N2568" i="2"/>
  <c r="O2568" i="2"/>
  <c r="L2569" i="2"/>
  <c r="M2569" i="2"/>
  <c r="N2569" i="2"/>
  <c r="O2569" i="2"/>
  <c r="L2570" i="2"/>
  <c r="M2570" i="2"/>
  <c r="N2570" i="2"/>
  <c r="O2570" i="2"/>
  <c r="L2571" i="2"/>
  <c r="M2571" i="2"/>
  <c r="N2571" i="2"/>
  <c r="O2571" i="2"/>
  <c r="L2572" i="2"/>
  <c r="M2572" i="2"/>
  <c r="N2572" i="2"/>
  <c r="O2572" i="2"/>
  <c r="L2573" i="2"/>
  <c r="M2573" i="2"/>
  <c r="N2573" i="2"/>
  <c r="O2573" i="2"/>
  <c r="L2574" i="2"/>
  <c r="M2574" i="2"/>
  <c r="N2574" i="2"/>
  <c r="O2574" i="2"/>
  <c r="L2575" i="2"/>
  <c r="M2575" i="2"/>
  <c r="N2575" i="2"/>
  <c r="O2575" i="2"/>
  <c r="L2576" i="2"/>
  <c r="M2576" i="2"/>
  <c r="N2576" i="2"/>
  <c r="O2576" i="2"/>
  <c r="L2577" i="2"/>
  <c r="M2577" i="2"/>
  <c r="N2577" i="2"/>
  <c r="O2577" i="2"/>
  <c r="L2578" i="2"/>
  <c r="M2578" i="2"/>
  <c r="N2578" i="2"/>
  <c r="O2578" i="2"/>
  <c r="L2579" i="2"/>
  <c r="M2579" i="2"/>
  <c r="N2579" i="2"/>
  <c r="O2579" i="2"/>
  <c r="L2580" i="2"/>
  <c r="M2580" i="2"/>
  <c r="N2580" i="2"/>
  <c r="O2580" i="2"/>
  <c r="L2581" i="2"/>
  <c r="M2581" i="2"/>
  <c r="N2581" i="2"/>
  <c r="O2581" i="2"/>
  <c r="L2582" i="2"/>
  <c r="M2582" i="2"/>
  <c r="N2582" i="2"/>
  <c r="O2582" i="2"/>
  <c r="L2583" i="2"/>
  <c r="M2583" i="2"/>
  <c r="N2583" i="2"/>
  <c r="O2583" i="2"/>
  <c r="L2584" i="2"/>
  <c r="M2584" i="2"/>
  <c r="N2584" i="2"/>
  <c r="O2584" i="2"/>
  <c r="L2585" i="2"/>
  <c r="M2585" i="2"/>
  <c r="N2585" i="2"/>
  <c r="O2585" i="2"/>
  <c r="L2586" i="2"/>
  <c r="M2586" i="2"/>
  <c r="N2586" i="2"/>
  <c r="O2586" i="2"/>
  <c r="L2587" i="2"/>
  <c r="M2587" i="2"/>
  <c r="N2587" i="2"/>
  <c r="O2587" i="2"/>
  <c r="L2588" i="2"/>
  <c r="M2588" i="2"/>
  <c r="N2588" i="2"/>
  <c r="O2588" i="2"/>
  <c r="L2589" i="2"/>
  <c r="M2589" i="2"/>
  <c r="N2589" i="2"/>
  <c r="O2589" i="2"/>
  <c r="L2590" i="2"/>
  <c r="M2590" i="2"/>
  <c r="N2590" i="2"/>
  <c r="O2590" i="2"/>
  <c r="L2591" i="2"/>
  <c r="M2591" i="2"/>
  <c r="N2591" i="2"/>
  <c r="O2591" i="2"/>
  <c r="L2592" i="2"/>
  <c r="M2592" i="2"/>
  <c r="N2592" i="2"/>
  <c r="O2592" i="2"/>
  <c r="L2593" i="2"/>
  <c r="M2593" i="2"/>
  <c r="N2593" i="2"/>
  <c r="O2593" i="2"/>
  <c r="L2594" i="2"/>
  <c r="M2594" i="2"/>
  <c r="N2594" i="2"/>
  <c r="O2594" i="2"/>
  <c r="L2595" i="2"/>
  <c r="M2595" i="2"/>
  <c r="N2595" i="2"/>
  <c r="O2595" i="2"/>
  <c r="L2596" i="2"/>
  <c r="M2596" i="2"/>
  <c r="N2596" i="2"/>
  <c r="O2596" i="2"/>
  <c r="L2597" i="2"/>
  <c r="M2597" i="2"/>
  <c r="N2597" i="2"/>
  <c r="O2597" i="2"/>
  <c r="L2598" i="2"/>
  <c r="M2598" i="2"/>
  <c r="N2598" i="2"/>
  <c r="O2598" i="2"/>
  <c r="L2599" i="2"/>
  <c r="M2599" i="2"/>
  <c r="N2599" i="2"/>
  <c r="O2599" i="2"/>
  <c r="L2600" i="2"/>
  <c r="M2600" i="2"/>
  <c r="N2600" i="2"/>
  <c r="O2600" i="2"/>
  <c r="L2601" i="2"/>
  <c r="M2601" i="2"/>
  <c r="N2601" i="2"/>
  <c r="O2601" i="2"/>
  <c r="L2602" i="2"/>
  <c r="M2602" i="2"/>
  <c r="N2602" i="2"/>
  <c r="O2602" i="2"/>
  <c r="L2603" i="2"/>
  <c r="M2603" i="2"/>
  <c r="N2603" i="2"/>
  <c r="O2603" i="2"/>
  <c r="L2604" i="2"/>
  <c r="M2604" i="2"/>
  <c r="N2604" i="2"/>
  <c r="O2604" i="2"/>
  <c r="L2605" i="2"/>
  <c r="M2605" i="2"/>
  <c r="N2605" i="2"/>
  <c r="O2605" i="2"/>
  <c r="L2606" i="2"/>
  <c r="M2606" i="2"/>
  <c r="N2606" i="2"/>
  <c r="O2606" i="2"/>
  <c r="L2607" i="2"/>
  <c r="M2607" i="2"/>
  <c r="N2607" i="2"/>
  <c r="O2607" i="2"/>
  <c r="L2608" i="2"/>
  <c r="M2608" i="2"/>
  <c r="N2608" i="2"/>
  <c r="O2608" i="2"/>
  <c r="L2609" i="2"/>
  <c r="M2609" i="2"/>
  <c r="N2609" i="2"/>
  <c r="O2609" i="2"/>
  <c r="L2610" i="2"/>
  <c r="M2610" i="2"/>
  <c r="N2610" i="2"/>
  <c r="O2610" i="2"/>
  <c r="L2611" i="2"/>
  <c r="M2611" i="2"/>
  <c r="N2611" i="2"/>
  <c r="O2611" i="2"/>
  <c r="L2612" i="2"/>
  <c r="M2612" i="2"/>
  <c r="N2612" i="2"/>
  <c r="O2612" i="2"/>
  <c r="L2613" i="2"/>
  <c r="M2613" i="2"/>
  <c r="N2613" i="2"/>
  <c r="O2613" i="2"/>
  <c r="L2614" i="2"/>
  <c r="M2614" i="2"/>
  <c r="N2614" i="2"/>
  <c r="O2614" i="2"/>
  <c r="L2615" i="2"/>
  <c r="M2615" i="2"/>
  <c r="N2615" i="2"/>
  <c r="O2615" i="2"/>
  <c r="L2616" i="2"/>
  <c r="M2616" i="2"/>
  <c r="N2616" i="2"/>
  <c r="O2616" i="2"/>
  <c r="L2617" i="2"/>
  <c r="M2617" i="2"/>
  <c r="N2617" i="2"/>
  <c r="O2617" i="2"/>
  <c r="L2618" i="2"/>
  <c r="M2618" i="2"/>
  <c r="N2618" i="2"/>
  <c r="O2618" i="2"/>
  <c r="L2619" i="2"/>
  <c r="M2619" i="2"/>
  <c r="N2619" i="2"/>
  <c r="O2619" i="2"/>
  <c r="L2620" i="2"/>
  <c r="M2620" i="2"/>
  <c r="N2620" i="2"/>
  <c r="O2620" i="2"/>
  <c r="L2621" i="2"/>
  <c r="M2621" i="2"/>
  <c r="N2621" i="2"/>
  <c r="O2621" i="2"/>
  <c r="L2622" i="2"/>
  <c r="M2622" i="2"/>
  <c r="N2622" i="2"/>
  <c r="O2622" i="2"/>
  <c r="L2623" i="2"/>
  <c r="M2623" i="2"/>
  <c r="N2623" i="2"/>
  <c r="O2623" i="2"/>
  <c r="L2624" i="2"/>
  <c r="M2624" i="2"/>
  <c r="N2624" i="2"/>
  <c r="O2624" i="2"/>
  <c r="L2625" i="2"/>
  <c r="M2625" i="2"/>
  <c r="N2625" i="2"/>
  <c r="O2625" i="2"/>
  <c r="L2626" i="2"/>
  <c r="M2626" i="2"/>
  <c r="N2626" i="2"/>
  <c r="O2626" i="2"/>
  <c r="L2627" i="2"/>
  <c r="M2627" i="2"/>
  <c r="N2627" i="2"/>
  <c r="O2627" i="2"/>
  <c r="L2628" i="2"/>
  <c r="M2628" i="2"/>
  <c r="N2628" i="2"/>
  <c r="O2628" i="2"/>
  <c r="L2629" i="2"/>
  <c r="M2629" i="2"/>
  <c r="N2629" i="2"/>
  <c r="O2629" i="2"/>
  <c r="L2630" i="2"/>
  <c r="M2630" i="2"/>
  <c r="N2630" i="2"/>
  <c r="O2630" i="2"/>
  <c r="L2631" i="2"/>
  <c r="M2631" i="2"/>
  <c r="N2631" i="2"/>
  <c r="O2631" i="2"/>
  <c r="L2632" i="2"/>
  <c r="M2632" i="2"/>
  <c r="N2632" i="2"/>
  <c r="O2632" i="2"/>
  <c r="L2633" i="2"/>
  <c r="M2633" i="2"/>
  <c r="N2633" i="2"/>
  <c r="O2633" i="2"/>
  <c r="L2634" i="2"/>
  <c r="M2634" i="2"/>
  <c r="N2634" i="2"/>
  <c r="O2634" i="2"/>
  <c r="L2635" i="2"/>
  <c r="M2635" i="2"/>
  <c r="N2635" i="2"/>
  <c r="O2635" i="2"/>
  <c r="L2636" i="2"/>
  <c r="M2636" i="2"/>
  <c r="N2636" i="2"/>
  <c r="O2636" i="2"/>
  <c r="L2637" i="2"/>
  <c r="M2637" i="2"/>
  <c r="N2637" i="2"/>
  <c r="O2637" i="2"/>
  <c r="L2638" i="2"/>
  <c r="M2638" i="2"/>
  <c r="N2638" i="2"/>
  <c r="O2638" i="2"/>
  <c r="L2639" i="2"/>
  <c r="M2639" i="2"/>
  <c r="N2639" i="2"/>
  <c r="O2639" i="2"/>
  <c r="L2640" i="2"/>
  <c r="M2640" i="2"/>
  <c r="N2640" i="2"/>
  <c r="O2640" i="2"/>
  <c r="L2641" i="2"/>
  <c r="M2641" i="2"/>
  <c r="N2641" i="2"/>
  <c r="O2641" i="2"/>
  <c r="L2642" i="2"/>
  <c r="M2642" i="2"/>
  <c r="N2642" i="2"/>
  <c r="O2642" i="2"/>
  <c r="L2643" i="2"/>
  <c r="M2643" i="2"/>
  <c r="N2643" i="2"/>
  <c r="O2643" i="2"/>
  <c r="L2644" i="2"/>
  <c r="M2644" i="2"/>
  <c r="N2644" i="2"/>
  <c r="O2644" i="2"/>
  <c r="L2645" i="2"/>
  <c r="M2645" i="2"/>
  <c r="N2645" i="2"/>
  <c r="O2645" i="2"/>
  <c r="L2646" i="2"/>
  <c r="M2646" i="2"/>
  <c r="N2646" i="2"/>
  <c r="O2646" i="2"/>
  <c r="L2647" i="2"/>
  <c r="M2647" i="2"/>
  <c r="N2647" i="2"/>
  <c r="O2647" i="2"/>
  <c r="L2648" i="2"/>
  <c r="M2648" i="2"/>
  <c r="N2648" i="2"/>
  <c r="O2648" i="2"/>
  <c r="L2649" i="2"/>
  <c r="M2649" i="2"/>
  <c r="N2649" i="2"/>
  <c r="O2649" i="2"/>
  <c r="L2650" i="2"/>
  <c r="M2650" i="2"/>
  <c r="N2650" i="2"/>
  <c r="O2650" i="2"/>
  <c r="L2651" i="2"/>
  <c r="M2651" i="2"/>
  <c r="N2651" i="2"/>
  <c r="O2651" i="2"/>
  <c r="L2652" i="2"/>
  <c r="M2652" i="2"/>
  <c r="N2652" i="2"/>
  <c r="O2652" i="2"/>
  <c r="L2653" i="2"/>
  <c r="M2653" i="2"/>
  <c r="N2653" i="2"/>
  <c r="O2653" i="2"/>
  <c r="L2654" i="2"/>
  <c r="M2654" i="2"/>
  <c r="N2654" i="2"/>
  <c r="O2654" i="2"/>
  <c r="L2655" i="2"/>
  <c r="M2655" i="2"/>
  <c r="N2655" i="2"/>
  <c r="O2655" i="2"/>
  <c r="L2656" i="2"/>
  <c r="M2656" i="2"/>
  <c r="N2656" i="2"/>
  <c r="O2656" i="2"/>
  <c r="L2657" i="2"/>
  <c r="M2657" i="2"/>
  <c r="N2657" i="2"/>
  <c r="O2657" i="2"/>
  <c r="L2658" i="2"/>
  <c r="M2658" i="2"/>
  <c r="N2658" i="2"/>
  <c r="O2658" i="2"/>
  <c r="L2659" i="2"/>
  <c r="M2659" i="2"/>
  <c r="N2659" i="2"/>
  <c r="O2659" i="2"/>
  <c r="L2660" i="2"/>
  <c r="M2660" i="2"/>
  <c r="N2660" i="2"/>
  <c r="O2660" i="2"/>
  <c r="L2661" i="2"/>
  <c r="M2661" i="2"/>
  <c r="N2661" i="2"/>
  <c r="O2661" i="2"/>
  <c r="L2662" i="2"/>
  <c r="M2662" i="2"/>
  <c r="N2662" i="2"/>
  <c r="O2662" i="2"/>
  <c r="L2663" i="2"/>
  <c r="M2663" i="2"/>
  <c r="N2663" i="2"/>
  <c r="O2663" i="2"/>
  <c r="L2664" i="2"/>
  <c r="M2664" i="2"/>
  <c r="N2664" i="2"/>
  <c r="O2664" i="2"/>
  <c r="L2665" i="2"/>
  <c r="M2665" i="2"/>
  <c r="N2665" i="2"/>
  <c r="O2665" i="2"/>
  <c r="L2666" i="2"/>
  <c r="M2666" i="2"/>
  <c r="N2666" i="2"/>
  <c r="O2666" i="2"/>
  <c r="L2667" i="2"/>
  <c r="M2667" i="2"/>
  <c r="N2667" i="2"/>
  <c r="O2667" i="2"/>
  <c r="L2668" i="2"/>
  <c r="M2668" i="2"/>
  <c r="N2668" i="2"/>
  <c r="O2668" i="2"/>
  <c r="L2669" i="2"/>
  <c r="M2669" i="2"/>
  <c r="N2669" i="2"/>
  <c r="O2669" i="2"/>
  <c r="L2670" i="2"/>
  <c r="M2670" i="2"/>
  <c r="N2670" i="2"/>
  <c r="O2670" i="2"/>
  <c r="L2671" i="2"/>
  <c r="M2671" i="2"/>
  <c r="N2671" i="2"/>
  <c r="O2671" i="2"/>
  <c r="L2672" i="2"/>
  <c r="M2672" i="2"/>
  <c r="N2672" i="2"/>
  <c r="O2672" i="2"/>
  <c r="L2673" i="2"/>
  <c r="M2673" i="2"/>
  <c r="N2673" i="2"/>
  <c r="O2673" i="2"/>
  <c r="L2674" i="2"/>
  <c r="M2674" i="2"/>
  <c r="N2674" i="2"/>
  <c r="O2674" i="2"/>
  <c r="L2675" i="2"/>
  <c r="M2675" i="2"/>
  <c r="N2675" i="2"/>
  <c r="O2675" i="2"/>
  <c r="L2676" i="2"/>
  <c r="M2676" i="2"/>
  <c r="N2676" i="2"/>
  <c r="O2676" i="2"/>
  <c r="L2677" i="2"/>
  <c r="M2677" i="2"/>
  <c r="N2677" i="2"/>
  <c r="O2677" i="2"/>
  <c r="L2678" i="2"/>
  <c r="M2678" i="2"/>
  <c r="N2678" i="2"/>
  <c r="O2678" i="2"/>
  <c r="L2679" i="2"/>
  <c r="M2679" i="2"/>
  <c r="N2679" i="2"/>
  <c r="O2679" i="2"/>
  <c r="L2680" i="2"/>
  <c r="M2680" i="2"/>
  <c r="N2680" i="2"/>
  <c r="O2680" i="2"/>
  <c r="L2681" i="2"/>
  <c r="M2681" i="2"/>
  <c r="N2681" i="2"/>
  <c r="O2681" i="2"/>
  <c r="L2682" i="2"/>
  <c r="M2682" i="2"/>
  <c r="N2682" i="2"/>
  <c r="O2682" i="2"/>
  <c r="L2683" i="2"/>
  <c r="M2683" i="2"/>
  <c r="N2683" i="2"/>
  <c r="O2683" i="2"/>
  <c r="L2684" i="2"/>
  <c r="M2684" i="2"/>
  <c r="N2684" i="2"/>
  <c r="O2684" i="2"/>
  <c r="L2685" i="2"/>
  <c r="M2685" i="2"/>
  <c r="N2685" i="2"/>
  <c r="O2685" i="2"/>
  <c r="L2686" i="2"/>
  <c r="M2686" i="2"/>
  <c r="N2686" i="2"/>
  <c r="O2686" i="2"/>
  <c r="L2687" i="2"/>
  <c r="M2687" i="2"/>
  <c r="N2687" i="2"/>
  <c r="O2687" i="2"/>
  <c r="L2688" i="2"/>
  <c r="M2688" i="2"/>
  <c r="N2688" i="2"/>
  <c r="O2688" i="2"/>
  <c r="L2689" i="2"/>
  <c r="M2689" i="2"/>
  <c r="N2689" i="2"/>
  <c r="O2689" i="2"/>
  <c r="L2690" i="2"/>
  <c r="M2690" i="2"/>
  <c r="N2690" i="2"/>
  <c r="O2690" i="2"/>
  <c r="L2691" i="2"/>
  <c r="M2691" i="2"/>
  <c r="N2691" i="2"/>
  <c r="O2691" i="2"/>
  <c r="L2692" i="2"/>
  <c r="M2692" i="2"/>
  <c r="N2692" i="2"/>
  <c r="O2692" i="2"/>
  <c r="L2693" i="2"/>
  <c r="M2693" i="2"/>
  <c r="N2693" i="2"/>
  <c r="O2693" i="2"/>
  <c r="L2694" i="2"/>
  <c r="M2694" i="2"/>
  <c r="N2694" i="2"/>
  <c r="O2694" i="2"/>
  <c r="L2695" i="2"/>
  <c r="M2695" i="2"/>
  <c r="N2695" i="2"/>
  <c r="O2695" i="2"/>
  <c r="L2696" i="2"/>
  <c r="M2696" i="2"/>
  <c r="N2696" i="2"/>
  <c r="O2696" i="2"/>
  <c r="L2697" i="2"/>
  <c r="M2697" i="2"/>
  <c r="N2697" i="2"/>
  <c r="O2697" i="2"/>
  <c r="L2698" i="2"/>
  <c r="M2698" i="2"/>
  <c r="N2698" i="2"/>
  <c r="O2698" i="2"/>
  <c r="L2699" i="2"/>
  <c r="M2699" i="2"/>
  <c r="N2699" i="2"/>
  <c r="O2699" i="2"/>
  <c r="L2700" i="2"/>
  <c r="M2700" i="2"/>
  <c r="N2700" i="2"/>
  <c r="O2700" i="2"/>
  <c r="L2701" i="2"/>
  <c r="M2701" i="2"/>
  <c r="N2701" i="2"/>
  <c r="O2701" i="2"/>
  <c r="L2702" i="2"/>
  <c r="M2702" i="2"/>
  <c r="N2702" i="2"/>
  <c r="O2702" i="2"/>
  <c r="L2703" i="2"/>
  <c r="M2703" i="2"/>
  <c r="N2703" i="2"/>
  <c r="O2703" i="2"/>
  <c r="L2704" i="2"/>
  <c r="M2704" i="2"/>
  <c r="N2704" i="2"/>
  <c r="O2704" i="2"/>
  <c r="L2705" i="2"/>
  <c r="M2705" i="2"/>
  <c r="N2705" i="2"/>
  <c r="O2705" i="2"/>
  <c r="L2706" i="2"/>
  <c r="M2706" i="2"/>
  <c r="N2706" i="2"/>
  <c r="O2706" i="2"/>
  <c r="L2707" i="2"/>
  <c r="M2707" i="2"/>
  <c r="N2707" i="2"/>
  <c r="O2707" i="2"/>
  <c r="L2708" i="2"/>
  <c r="M2708" i="2"/>
  <c r="N2708" i="2"/>
  <c r="O2708" i="2"/>
  <c r="L2709" i="2"/>
  <c r="M2709" i="2"/>
  <c r="N2709" i="2"/>
  <c r="O2709" i="2"/>
  <c r="L2710" i="2"/>
  <c r="M2710" i="2"/>
  <c r="N2710" i="2"/>
  <c r="O2710" i="2"/>
  <c r="L2711" i="2"/>
  <c r="M2711" i="2"/>
  <c r="N2711" i="2"/>
  <c r="O2711" i="2"/>
  <c r="L2712" i="2"/>
  <c r="M2712" i="2"/>
  <c r="N2712" i="2"/>
  <c r="O2712" i="2"/>
  <c r="L2713" i="2"/>
  <c r="M2713" i="2"/>
  <c r="N2713" i="2"/>
  <c r="O2713" i="2"/>
  <c r="L2714" i="2"/>
  <c r="M2714" i="2"/>
  <c r="N2714" i="2"/>
  <c r="O2714" i="2"/>
  <c r="L2715" i="2"/>
  <c r="M2715" i="2"/>
  <c r="N2715" i="2"/>
  <c r="O2715" i="2"/>
  <c r="L2716" i="2"/>
  <c r="M2716" i="2"/>
  <c r="N2716" i="2"/>
  <c r="O2716" i="2"/>
  <c r="L2717" i="2"/>
  <c r="M2717" i="2"/>
  <c r="N2717" i="2"/>
  <c r="O2717" i="2"/>
  <c r="L2718" i="2"/>
  <c r="M2718" i="2"/>
  <c r="N2718" i="2"/>
  <c r="O2718" i="2"/>
  <c r="L2719" i="2"/>
  <c r="M2719" i="2"/>
  <c r="N2719" i="2"/>
  <c r="O2719" i="2"/>
  <c r="L2720" i="2"/>
  <c r="M2720" i="2"/>
  <c r="N2720" i="2"/>
  <c r="O2720" i="2"/>
  <c r="L2721" i="2"/>
  <c r="M2721" i="2"/>
  <c r="N2721" i="2"/>
  <c r="O2721" i="2"/>
  <c r="L2722" i="2"/>
  <c r="M2722" i="2"/>
  <c r="N2722" i="2"/>
  <c r="O2722" i="2"/>
  <c r="L2723" i="2"/>
  <c r="M2723" i="2"/>
  <c r="N2723" i="2"/>
  <c r="O2723" i="2"/>
  <c r="L2724" i="2"/>
  <c r="M2724" i="2"/>
  <c r="N2724" i="2"/>
  <c r="O2724" i="2"/>
  <c r="L2725" i="2"/>
  <c r="M2725" i="2"/>
  <c r="N2725" i="2"/>
  <c r="O2725" i="2"/>
  <c r="L2726" i="2"/>
  <c r="M2726" i="2"/>
  <c r="N2726" i="2"/>
  <c r="O2726" i="2"/>
  <c r="L2727" i="2"/>
  <c r="M2727" i="2"/>
  <c r="N2727" i="2"/>
  <c r="O2727" i="2"/>
  <c r="L2728" i="2"/>
  <c r="M2728" i="2"/>
  <c r="N2728" i="2"/>
  <c r="O2728" i="2"/>
  <c r="L2729" i="2"/>
  <c r="M2729" i="2"/>
  <c r="N2729" i="2"/>
  <c r="O2729" i="2"/>
  <c r="L2730" i="2"/>
  <c r="M2730" i="2"/>
  <c r="N2730" i="2"/>
  <c r="O2730" i="2"/>
  <c r="L2731" i="2"/>
  <c r="M2731" i="2"/>
  <c r="N2731" i="2"/>
  <c r="O2731" i="2"/>
  <c r="L2732" i="2"/>
  <c r="M2732" i="2"/>
  <c r="N2732" i="2"/>
  <c r="O2732" i="2"/>
  <c r="L2733" i="2"/>
  <c r="M2733" i="2"/>
  <c r="N2733" i="2"/>
  <c r="O2733" i="2"/>
  <c r="L2734" i="2"/>
  <c r="M2734" i="2"/>
  <c r="N2734" i="2"/>
  <c r="O2734" i="2"/>
  <c r="L2735" i="2"/>
  <c r="M2735" i="2"/>
  <c r="N2735" i="2"/>
  <c r="O2735" i="2"/>
  <c r="L2736" i="2"/>
  <c r="M2736" i="2"/>
  <c r="N2736" i="2"/>
  <c r="O2736" i="2"/>
  <c r="L2737" i="2"/>
  <c r="M2737" i="2"/>
  <c r="N2737" i="2"/>
  <c r="O2737" i="2"/>
  <c r="L2738" i="2"/>
  <c r="M2738" i="2"/>
  <c r="N2738" i="2"/>
  <c r="O2738" i="2"/>
  <c r="L2739" i="2"/>
  <c r="M2739" i="2"/>
  <c r="N2739" i="2"/>
  <c r="O2739" i="2"/>
  <c r="L2740" i="2"/>
  <c r="M2740" i="2"/>
  <c r="N2740" i="2"/>
  <c r="O2740" i="2"/>
  <c r="L2741" i="2"/>
  <c r="M2741" i="2"/>
  <c r="N2741" i="2"/>
  <c r="O2741" i="2"/>
  <c r="L2742" i="2"/>
  <c r="M2742" i="2"/>
  <c r="N2742" i="2"/>
  <c r="O2742" i="2"/>
  <c r="L2743" i="2"/>
  <c r="M2743" i="2"/>
  <c r="N2743" i="2"/>
  <c r="O2743" i="2"/>
  <c r="L2744" i="2"/>
  <c r="M2744" i="2"/>
  <c r="N2744" i="2"/>
  <c r="O2744" i="2"/>
  <c r="L2745" i="2"/>
  <c r="M2745" i="2"/>
  <c r="N2745" i="2"/>
  <c r="O2745" i="2"/>
  <c r="L2746" i="2"/>
  <c r="M2746" i="2"/>
  <c r="N2746" i="2"/>
  <c r="O2746" i="2"/>
  <c r="L2747" i="2"/>
  <c r="M2747" i="2"/>
  <c r="N2747" i="2"/>
  <c r="O2747" i="2"/>
  <c r="L2748" i="2"/>
  <c r="M2748" i="2"/>
  <c r="N2748" i="2"/>
  <c r="O2748" i="2"/>
  <c r="L2749" i="2"/>
  <c r="M2749" i="2"/>
  <c r="N2749" i="2"/>
  <c r="O2749" i="2"/>
  <c r="L2750" i="2"/>
  <c r="M2750" i="2"/>
  <c r="N2750" i="2"/>
  <c r="O2750" i="2"/>
  <c r="L2751" i="2"/>
  <c r="M2751" i="2"/>
  <c r="N2751" i="2"/>
  <c r="O2751" i="2"/>
  <c r="L2752" i="2"/>
  <c r="M2752" i="2"/>
  <c r="N2752" i="2"/>
  <c r="O2752" i="2"/>
  <c r="L2753" i="2"/>
  <c r="M2753" i="2"/>
  <c r="N2753" i="2"/>
  <c r="O2753" i="2"/>
  <c r="L2754" i="2"/>
  <c r="M2754" i="2"/>
  <c r="N2754" i="2"/>
  <c r="O2754" i="2"/>
  <c r="L2755" i="2"/>
  <c r="M2755" i="2"/>
  <c r="N2755" i="2"/>
  <c r="O2755" i="2"/>
  <c r="L2756" i="2"/>
  <c r="M2756" i="2"/>
  <c r="N2756" i="2"/>
  <c r="O2756" i="2"/>
  <c r="L2757" i="2"/>
  <c r="M2757" i="2"/>
  <c r="N2757" i="2"/>
  <c r="O2757" i="2"/>
  <c r="L2758" i="2"/>
  <c r="M2758" i="2"/>
  <c r="N2758" i="2"/>
  <c r="O2758" i="2"/>
  <c r="L2759" i="2"/>
  <c r="M2759" i="2"/>
  <c r="N2759" i="2"/>
  <c r="O2759" i="2"/>
  <c r="L2760" i="2"/>
  <c r="M2760" i="2"/>
  <c r="N2760" i="2"/>
  <c r="O2760" i="2"/>
  <c r="L2761" i="2"/>
  <c r="M2761" i="2"/>
  <c r="N2761" i="2"/>
  <c r="O2761" i="2"/>
  <c r="L2762" i="2"/>
  <c r="M2762" i="2"/>
  <c r="N2762" i="2"/>
  <c r="O2762" i="2"/>
  <c r="L2763" i="2"/>
  <c r="M2763" i="2"/>
  <c r="N2763" i="2"/>
  <c r="O2763" i="2"/>
  <c r="L2764" i="2"/>
  <c r="M2764" i="2"/>
  <c r="N2764" i="2"/>
  <c r="O2764" i="2"/>
  <c r="L2765" i="2"/>
  <c r="M2765" i="2"/>
  <c r="N2765" i="2"/>
  <c r="O2765" i="2"/>
  <c r="L2766" i="2"/>
  <c r="M2766" i="2"/>
  <c r="N2766" i="2"/>
  <c r="O2766" i="2"/>
  <c r="L2767" i="2"/>
  <c r="M2767" i="2"/>
  <c r="N2767" i="2"/>
  <c r="O2767" i="2"/>
  <c r="L2768" i="2"/>
  <c r="M2768" i="2"/>
  <c r="N2768" i="2"/>
  <c r="O2768" i="2"/>
  <c r="L2769" i="2"/>
  <c r="M2769" i="2"/>
  <c r="N2769" i="2"/>
  <c r="O2769" i="2"/>
  <c r="L2770" i="2"/>
  <c r="M2770" i="2"/>
  <c r="N2770" i="2"/>
  <c r="O2770" i="2"/>
  <c r="L2771" i="2"/>
  <c r="M2771" i="2"/>
  <c r="N2771" i="2"/>
  <c r="O2771" i="2"/>
  <c r="L2772" i="2"/>
  <c r="M2772" i="2"/>
  <c r="N2772" i="2"/>
  <c r="O2772" i="2"/>
  <c r="L2773" i="2"/>
  <c r="M2773" i="2"/>
  <c r="N2773" i="2"/>
  <c r="O2773" i="2"/>
  <c r="L2774" i="2"/>
  <c r="M2774" i="2"/>
  <c r="N2774" i="2"/>
  <c r="O2774" i="2"/>
  <c r="L2775" i="2"/>
  <c r="M2775" i="2"/>
  <c r="N2775" i="2"/>
  <c r="O2775" i="2"/>
  <c r="L2776" i="2"/>
  <c r="M2776" i="2"/>
  <c r="N2776" i="2"/>
  <c r="O2776" i="2"/>
  <c r="L2777" i="2"/>
  <c r="M2777" i="2"/>
  <c r="N2777" i="2"/>
  <c r="O2777" i="2"/>
  <c r="L2778" i="2"/>
  <c r="M2778" i="2"/>
  <c r="N2778" i="2"/>
  <c r="O2778" i="2"/>
  <c r="L2779" i="2"/>
  <c r="M2779" i="2"/>
  <c r="N2779" i="2"/>
  <c r="O2779" i="2"/>
  <c r="L2780" i="2"/>
  <c r="M2780" i="2"/>
  <c r="N2780" i="2"/>
  <c r="O2780" i="2"/>
  <c r="L2781" i="2"/>
  <c r="M2781" i="2"/>
  <c r="N2781" i="2"/>
  <c r="O2781" i="2"/>
  <c r="L2782" i="2"/>
  <c r="M2782" i="2"/>
  <c r="N2782" i="2"/>
  <c r="O2782" i="2"/>
  <c r="L2783" i="2"/>
  <c r="M2783" i="2"/>
  <c r="N2783" i="2"/>
  <c r="O2783" i="2"/>
  <c r="L2784" i="2"/>
  <c r="M2784" i="2"/>
  <c r="N2784" i="2"/>
  <c r="O2784" i="2"/>
  <c r="L2785" i="2"/>
  <c r="M2785" i="2"/>
  <c r="N2785" i="2"/>
  <c r="O2785" i="2"/>
  <c r="L2786" i="2"/>
  <c r="M2786" i="2"/>
  <c r="N2786" i="2"/>
  <c r="O2786" i="2"/>
  <c r="L2787" i="2"/>
  <c r="M2787" i="2"/>
  <c r="N2787" i="2"/>
  <c r="O2787" i="2"/>
  <c r="L2788" i="2"/>
  <c r="M2788" i="2"/>
  <c r="N2788" i="2"/>
  <c r="O2788" i="2"/>
  <c r="L2789" i="2"/>
  <c r="M2789" i="2"/>
  <c r="N2789" i="2"/>
  <c r="O2789" i="2"/>
  <c r="L2790" i="2"/>
  <c r="M2790" i="2"/>
  <c r="N2790" i="2"/>
  <c r="O2790" i="2"/>
  <c r="L2791" i="2"/>
  <c r="M2791" i="2"/>
  <c r="N2791" i="2"/>
  <c r="O2791" i="2"/>
  <c r="L2792" i="2"/>
  <c r="M2792" i="2"/>
  <c r="N2792" i="2"/>
  <c r="O2792" i="2"/>
  <c r="L2793" i="2"/>
  <c r="M2793" i="2"/>
  <c r="N2793" i="2"/>
  <c r="O2793" i="2"/>
  <c r="L2794" i="2"/>
  <c r="M2794" i="2"/>
  <c r="N2794" i="2"/>
  <c r="O2794" i="2"/>
  <c r="L2795" i="2"/>
  <c r="M2795" i="2"/>
  <c r="N2795" i="2"/>
  <c r="O2795" i="2"/>
  <c r="L2796" i="2"/>
  <c r="M2796" i="2"/>
  <c r="N2796" i="2"/>
  <c r="O2796" i="2"/>
  <c r="L2797" i="2"/>
  <c r="M2797" i="2"/>
  <c r="N2797" i="2"/>
  <c r="O2797" i="2"/>
  <c r="L2798" i="2"/>
  <c r="M2798" i="2"/>
  <c r="N2798" i="2"/>
  <c r="O2798" i="2"/>
  <c r="L2799" i="2"/>
  <c r="M2799" i="2"/>
  <c r="N2799" i="2"/>
  <c r="O2799" i="2"/>
  <c r="L2800" i="2"/>
  <c r="M2800" i="2"/>
  <c r="N2800" i="2"/>
  <c r="O2800" i="2"/>
  <c r="L2801" i="2"/>
  <c r="M2801" i="2"/>
  <c r="N2801" i="2"/>
  <c r="O2801" i="2"/>
  <c r="L2802" i="2"/>
  <c r="M2802" i="2"/>
  <c r="N2802" i="2"/>
  <c r="O2802" i="2"/>
  <c r="L2803" i="2"/>
  <c r="M2803" i="2"/>
  <c r="N2803" i="2"/>
  <c r="O2803" i="2"/>
  <c r="L2804" i="2"/>
  <c r="M2804" i="2"/>
  <c r="N2804" i="2"/>
  <c r="O2804" i="2"/>
  <c r="L2805" i="2"/>
  <c r="M2805" i="2"/>
  <c r="N2805" i="2"/>
  <c r="O2805" i="2"/>
  <c r="L2806" i="2"/>
  <c r="M2806" i="2"/>
  <c r="N2806" i="2"/>
  <c r="O2806" i="2"/>
  <c r="L2807" i="2"/>
  <c r="M2807" i="2"/>
  <c r="N2807" i="2"/>
  <c r="O2807" i="2"/>
  <c r="L2808" i="2"/>
  <c r="M2808" i="2"/>
  <c r="N2808" i="2"/>
  <c r="O2808" i="2"/>
  <c r="L2809" i="2"/>
  <c r="M2809" i="2"/>
  <c r="N2809" i="2"/>
  <c r="O2809" i="2"/>
  <c r="L2810" i="2"/>
  <c r="M2810" i="2"/>
  <c r="N2810" i="2"/>
  <c r="O2810" i="2"/>
  <c r="L2811" i="2"/>
  <c r="M2811" i="2"/>
  <c r="N2811" i="2"/>
  <c r="O2811" i="2"/>
  <c r="L2812" i="2"/>
  <c r="M2812" i="2"/>
  <c r="N2812" i="2"/>
  <c r="O2812" i="2"/>
  <c r="L2813" i="2"/>
  <c r="M2813" i="2"/>
  <c r="N2813" i="2"/>
  <c r="O2813" i="2"/>
  <c r="L2814" i="2"/>
  <c r="M2814" i="2"/>
  <c r="N2814" i="2"/>
  <c r="O2814" i="2"/>
  <c r="L2815" i="2"/>
  <c r="M2815" i="2"/>
  <c r="N2815" i="2"/>
  <c r="O2815" i="2"/>
  <c r="L2816" i="2"/>
  <c r="M2816" i="2"/>
  <c r="N2816" i="2"/>
  <c r="O2816" i="2"/>
  <c r="L2817" i="2"/>
  <c r="M2817" i="2"/>
  <c r="N2817" i="2"/>
  <c r="O2817" i="2"/>
  <c r="L2818" i="2"/>
  <c r="M2818" i="2"/>
  <c r="N2818" i="2"/>
  <c r="O2818" i="2"/>
  <c r="L2819" i="2"/>
  <c r="M2819" i="2"/>
  <c r="N2819" i="2"/>
  <c r="O2819" i="2"/>
  <c r="L2820" i="2"/>
  <c r="M2820" i="2"/>
  <c r="N2820" i="2"/>
  <c r="O2820" i="2"/>
  <c r="L2821" i="2"/>
  <c r="M2821" i="2"/>
  <c r="N2821" i="2"/>
  <c r="O2821" i="2"/>
  <c r="L2822" i="2"/>
  <c r="M2822" i="2"/>
  <c r="N2822" i="2"/>
  <c r="O2822" i="2"/>
  <c r="L2823" i="2"/>
  <c r="M2823" i="2"/>
  <c r="N2823" i="2"/>
  <c r="O2823" i="2"/>
  <c r="L2824" i="2"/>
  <c r="M2824" i="2"/>
  <c r="N2824" i="2"/>
  <c r="O2824" i="2"/>
  <c r="L2825" i="2"/>
  <c r="M2825" i="2"/>
  <c r="N2825" i="2"/>
  <c r="O2825" i="2"/>
  <c r="L2826" i="2"/>
  <c r="M2826" i="2"/>
  <c r="N2826" i="2"/>
  <c r="O2826" i="2"/>
  <c r="L2827" i="2"/>
  <c r="M2827" i="2"/>
  <c r="N2827" i="2"/>
  <c r="O2827" i="2"/>
  <c r="L2828" i="2"/>
  <c r="M2828" i="2"/>
  <c r="N2828" i="2"/>
  <c r="O2828" i="2"/>
  <c r="L2829" i="2"/>
  <c r="M2829" i="2"/>
  <c r="N2829" i="2"/>
  <c r="O2829" i="2"/>
  <c r="L2830" i="2"/>
  <c r="M2830" i="2"/>
  <c r="N2830" i="2"/>
  <c r="O2830" i="2"/>
  <c r="L2831" i="2"/>
  <c r="M2831" i="2"/>
  <c r="N2831" i="2"/>
  <c r="O2831" i="2"/>
  <c r="L2832" i="2"/>
  <c r="M2832" i="2"/>
  <c r="N2832" i="2"/>
  <c r="O2832" i="2"/>
  <c r="L2833" i="2"/>
  <c r="M2833" i="2"/>
  <c r="N2833" i="2"/>
  <c r="O2833" i="2"/>
  <c r="L2834" i="2"/>
  <c r="M2834" i="2"/>
  <c r="N2834" i="2"/>
  <c r="O2834" i="2"/>
  <c r="L2835" i="2"/>
  <c r="M2835" i="2"/>
  <c r="N2835" i="2"/>
  <c r="O2835" i="2"/>
  <c r="L2836" i="2"/>
  <c r="M2836" i="2"/>
  <c r="N2836" i="2"/>
  <c r="O2836" i="2"/>
  <c r="L2837" i="2"/>
  <c r="M2837" i="2"/>
  <c r="N2837" i="2"/>
  <c r="O2837" i="2"/>
  <c r="L2838" i="2"/>
  <c r="M2838" i="2"/>
  <c r="N2838" i="2"/>
  <c r="O2838" i="2"/>
  <c r="L2839" i="2"/>
  <c r="M2839" i="2"/>
  <c r="N2839" i="2"/>
  <c r="O2839" i="2"/>
  <c r="L2840" i="2"/>
  <c r="M2840" i="2"/>
  <c r="N2840" i="2"/>
  <c r="O2840" i="2"/>
  <c r="L2841" i="2"/>
  <c r="M2841" i="2"/>
  <c r="N2841" i="2"/>
  <c r="O2841" i="2"/>
  <c r="L2842" i="2"/>
  <c r="M2842" i="2"/>
  <c r="N2842" i="2"/>
  <c r="O2842" i="2"/>
  <c r="L2843" i="2"/>
  <c r="M2843" i="2"/>
  <c r="N2843" i="2"/>
  <c r="O2843" i="2"/>
  <c r="L2844" i="2"/>
  <c r="M2844" i="2"/>
  <c r="N2844" i="2"/>
  <c r="O2844" i="2"/>
  <c r="L2845" i="2"/>
  <c r="M2845" i="2"/>
  <c r="N2845" i="2"/>
  <c r="O2845" i="2"/>
  <c r="L2846" i="2"/>
  <c r="M2846" i="2"/>
  <c r="N2846" i="2"/>
  <c r="O2846" i="2"/>
  <c r="L2847" i="2"/>
  <c r="M2847" i="2"/>
  <c r="N2847" i="2"/>
  <c r="O2847" i="2"/>
  <c r="L2848" i="2"/>
  <c r="M2848" i="2"/>
  <c r="N2848" i="2"/>
  <c r="O2848" i="2"/>
  <c r="L2849" i="2"/>
  <c r="M2849" i="2"/>
  <c r="N2849" i="2"/>
  <c r="O2849" i="2"/>
  <c r="L2850" i="2"/>
  <c r="M2850" i="2"/>
  <c r="N2850" i="2"/>
  <c r="O2850" i="2"/>
  <c r="L2851" i="2"/>
  <c r="M2851" i="2"/>
  <c r="N2851" i="2"/>
  <c r="O2851" i="2"/>
  <c r="L2852" i="2"/>
  <c r="M2852" i="2"/>
  <c r="N2852" i="2"/>
  <c r="O2852" i="2"/>
  <c r="L2853" i="2"/>
  <c r="M2853" i="2"/>
  <c r="N2853" i="2"/>
  <c r="O2853" i="2"/>
  <c r="L2854" i="2"/>
  <c r="M2854" i="2"/>
  <c r="N2854" i="2"/>
  <c r="O2854" i="2"/>
  <c r="L2855" i="2"/>
  <c r="M2855" i="2"/>
  <c r="N2855" i="2"/>
  <c r="O2855" i="2"/>
  <c r="L2856" i="2"/>
  <c r="M2856" i="2"/>
  <c r="N2856" i="2"/>
  <c r="O2856" i="2"/>
  <c r="L2857" i="2"/>
  <c r="M2857" i="2"/>
  <c r="N2857" i="2"/>
  <c r="O2857" i="2"/>
  <c r="L2858" i="2"/>
  <c r="M2858" i="2"/>
  <c r="N2858" i="2"/>
  <c r="O2858" i="2"/>
  <c r="L2859" i="2"/>
  <c r="M2859" i="2"/>
  <c r="N2859" i="2"/>
  <c r="O2859" i="2"/>
  <c r="L2860" i="2"/>
  <c r="M2860" i="2"/>
  <c r="N2860" i="2"/>
  <c r="O2860" i="2"/>
  <c r="L2861" i="2"/>
  <c r="M2861" i="2"/>
  <c r="N2861" i="2"/>
  <c r="O2861" i="2"/>
  <c r="L2862" i="2"/>
  <c r="M2862" i="2"/>
  <c r="N2862" i="2"/>
  <c r="O2862" i="2"/>
  <c r="L2863" i="2"/>
  <c r="M2863" i="2"/>
  <c r="N2863" i="2"/>
  <c r="O2863" i="2"/>
  <c r="L2864" i="2"/>
  <c r="M2864" i="2"/>
  <c r="N2864" i="2"/>
  <c r="O2864" i="2"/>
  <c r="L2865" i="2"/>
  <c r="M2865" i="2"/>
  <c r="N2865" i="2"/>
  <c r="O2865" i="2"/>
  <c r="L2866" i="2"/>
  <c r="M2866" i="2"/>
  <c r="N2866" i="2"/>
  <c r="O2866" i="2"/>
  <c r="L2867" i="2"/>
  <c r="M2867" i="2"/>
  <c r="N2867" i="2"/>
  <c r="O2867" i="2"/>
  <c r="L2868" i="2"/>
  <c r="M2868" i="2"/>
  <c r="N2868" i="2"/>
  <c r="O2868" i="2"/>
  <c r="L2869" i="2"/>
  <c r="M2869" i="2"/>
  <c r="N2869" i="2"/>
  <c r="O2869" i="2"/>
  <c r="L2870" i="2"/>
  <c r="M2870" i="2"/>
  <c r="N2870" i="2"/>
  <c r="O2870" i="2"/>
  <c r="L2871" i="2"/>
  <c r="M2871" i="2"/>
  <c r="N2871" i="2"/>
  <c r="O2871" i="2"/>
  <c r="L2872" i="2"/>
  <c r="M2872" i="2"/>
  <c r="N2872" i="2"/>
  <c r="O2872" i="2"/>
  <c r="L2873" i="2"/>
  <c r="M2873" i="2"/>
  <c r="N2873" i="2"/>
  <c r="O2873" i="2"/>
  <c r="L2874" i="2"/>
  <c r="M2874" i="2"/>
  <c r="N2874" i="2"/>
  <c r="O2874" i="2"/>
  <c r="L2875" i="2"/>
  <c r="M2875" i="2"/>
  <c r="N2875" i="2"/>
  <c r="O2875" i="2"/>
  <c r="L2876" i="2"/>
  <c r="M2876" i="2"/>
  <c r="N2876" i="2"/>
  <c r="O2876" i="2"/>
  <c r="L2877" i="2"/>
  <c r="M2877" i="2"/>
  <c r="N2877" i="2"/>
  <c r="O2877" i="2"/>
  <c r="L2878" i="2"/>
  <c r="M2878" i="2"/>
  <c r="N2878" i="2"/>
  <c r="O2878" i="2"/>
  <c r="L2879" i="2"/>
  <c r="M2879" i="2"/>
  <c r="N2879" i="2"/>
  <c r="O2879" i="2"/>
  <c r="L2880" i="2"/>
  <c r="M2880" i="2"/>
  <c r="N2880" i="2"/>
  <c r="O2880" i="2"/>
  <c r="L2881" i="2"/>
  <c r="M2881" i="2"/>
  <c r="N2881" i="2"/>
  <c r="O2881" i="2"/>
  <c r="L2882" i="2"/>
  <c r="M2882" i="2"/>
  <c r="N2882" i="2"/>
  <c r="O2882" i="2"/>
  <c r="L2883" i="2"/>
  <c r="M2883" i="2"/>
  <c r="N2883" i="2"/>
  <c r="O2883" i="2"/>
  <c r="L2884" i="2"/>
  <c r="M2884" i="2"/>
  <c r="N2884" i="2"/>
  <c r="O2884" i="2"/>
  <c r="L2885" i="2"/>
  <c r="M2885" i="2"/>
  <c r="N2885" i="2"/>
  <c r="O2885" i="2"/>
  <c r="L2886" i="2"/>
  <c r="M2886" i="2"/>
  <c r="N2886" i="2"/>
  <c r="O2886" i="2"/>
  <c r="L2887" i="2"/>
  <c r="M2887" i="2"/>
  <c r="N2887" i="2"/>
  <c r="O2887" i="2"/>
  <c r="L2888" i="2"/>
  <c r="M2888" i="2"/>
  <c r="N2888" i="2"/>
  <c r="O2888" i="2"/>
  <c r="L2889" i="2"/>
  <c r="M2889" i="2"/>
  <c r="N2889" i="2"/>
  <c r="O2889" i="2"/>
  <c r="L2890" i="2"/>
  <c r="M2890" i="2"/>
  <c r="N2890" i="2"/>
  <c r="O2890" i="2"/>
  <c r="L2891" i="2"/>
  <c r="M2891" i="2"/>
  <c r="N2891" i="2"/>
  <c r="O2891" i="2"/>
  <c r="L2892" i="2"/>
  <c r="M2892" i="2"/>
  <c r="N2892" i="2"/>
  <c r="O2892" i="2"/>
  <c r="L2893" i="2"/>
  <c r="M2893" i="2"/>
  <c r="N2893" i="2"/>
  <c r="O2893" i="2"/>
  <c r="L2894" i="2"/>
  <c r="M2894" i="2"/>
  <c r="N2894" i="2"/>
  <c r="O2894" i="2"/>
  <c r="L2895" i="2"/>
  <c r="M2895" i="2"/>
  <c r="N2895" i="2"/>
  <c r="O2895" i="2"/>
  <c r="L2896" i="2"/>
  <c r="M2896" i="2"/>
  <c r="N2896" i="2"/>
  <c r="O2896" i="2"/>
  <c r="L2897" i="2"/>
  <c r="M2897" i="2"/>
  <c r="N2897" i="2"/>
  <c r="O2897" i="2"/>
  <c r="L2898" i="2"/>
  <c r="M2898" i="2"/>
  <c r="N2898" i="2"/>
  <c r="O2898" i="2"/>
  <c r="L2899" i="2"/>
  <c r="M2899" i="2"/>
  <c r="N2899" i="2"/>
  <c r="O2899" i="2"/>
  <c r="L2900" i="2"/>
  <c r="M2900" i="2"/>
  <c r="N2900" i="2"/>
  <c r="O2900" i="2"/>
  <c r="L2901" i="2"/>
  <c r="M2901" i="2"/>
  <c r="N2901" i="2"/>
  <c r="O2901" i="2"/>
  <c r="L2902" i="2"/>
  <c r="M2902" i="2"/>
  <c r="N2902" i="2"/>
  <c r="O2902" i="2"/>
  <c r="L2903" i="2"/>
  <c r="M2903" i="2"/>
  <c r="N2903" i="2"/>
  <c r="O2903" i="2"/>
  <c r="L2904" i="2"/>
  <c r="M2904" i="2"/>
  <c r="N2904" i="2"/>
  <c r="O2904" i="2"/>
  <c r="L2905" i="2"/>
  <c r="M2905" i="2"/>
  <c r="N2905" i="2"/>
  <c r="O2905" i="2"/>
  <c r="L2906" i="2"/>
  <c r="M2906" i="2"/>
  <c r="N2906" i="2"/>
  <c r="O2906" i="2"/>
  <c r="L2907" i="2"/>
  <c r="M2907" i="2"/>
  <c r="N2907" i="2"/>
  <c r="O2907" i="2"/>
  <c r="L2908" i="2"/>
  <c r="M2908" i="2"/>
  <c r="N2908" i="2"/>
  <c r="O2908" i="2"/>
  <c r="L2909" i="2"/>
  <c r="M2909" i="2"/>
  <c r="N2909" i="2"/>
  <c r="O2909" i="2"/>
  <c r="L2910" i="2"/>
  <c r="M2910" i="2"/>
  <c r="N2910" i="2"/>
  <c r="O2910" i="2"/>
  <c r="L2911" i="2"/>
  <c r="M2911" i="2"/>
  <c r="N2911" i="2"/>
  <c r="O2911" i="2"/>
  <c r="L2912" i="2"/>
  <c r="M2912" i="2"/>
  <c r="N2912" i="2"/>
  <c r="O2912" i="2"/>
  <c r="L2913" i="2"/>
  <c r="M2913" i="2"/>
  <c r="N2913" i="2"/>
  <c r="O2913" i="2"/>
  <c r="L2914" i="2"/>
  <c r="M2914" i="2"/>
  <c r="N2914" i="2"/>
  <c r="O2914" i="2"/>
  <c r="L2915" i="2"/>
  <c r="M2915" i="2"/>
  <c r="N2915" i="2"/>
  <c r="O2915" i="2"/>
  <c r="L2916" i="2"/>
  <c r="M2916" i="2"/>
  <c r="N2916" i="2"/>
  <c r="O2916" i="2"/>
  <c r="L2917" i="2"/>
  <c r="M2917" i="2"/>
  <c r="N2917" i="2"/>
  <c r="O2917" i="2"/>
  <c r="L2918" i="2"/>
  <c r="M2918" i="2"/>
  <c r="N2918" i="2"/>
  <c r="O2918" i="2"/>
  <c r="L2919" i="2"/>
  <c r="M2919" i="2"/>
  <c r="N2919" i="2"/>
  <c r="O2919" i="2"/>
  <c r="L2920" i="2"/>
  <c r="M2920" i="2"/>
  <c r="N2920" i="2"/>
  <c r="O2920" i="2"/>
  <c r="L2921" i="2"/>
  <c r="M2921" i="2"/>
  <c r="N2921" i="2"/>
  <c r="O2921" i="2"/>
  <c r="L2922" i="2"/>
  <c r="M2922" i="2"/>
  <c r="N2922" i="2"/>
  <c r="O2922" i="2"/>
  <c r="L2923" i="2"/>
  <c r="M2923" i="2"/>
  <c r="N2923" i="2"/>
  <c r="O2923" i="2"/>
  <c r="L2924" i="2"/>
  <c r="M2924" i="2"/>
  <c r="N2924" i="2"/>
  <c r="O2924" i="2"/>
  <c r="L2925" i="2"/>
  <c r="M2925" i="2"/>
  <c r="N2925" i="2"/>
  <c r="O2925" i="2"/>
  <c r="L2926" i="2"/>
  <c r="M2926" i="2"/>
  <c r="N2926" i="2"/>
  <c r="O2926" i="2"/>
  <c r="L2927" i="2"/>
  <c r="M2927" i="2"/>
  <c r="N2927" i="2"/>
  <c r="O2927" i="2"/>
  <c r="L2928" i="2"/>
  <c r="M2928" i="2"/>
  <c r="N2928" i="2"/>
  <c r="O2928" i="2"/>
  <c r="L2929" i="2"/>
  <c r="M2929" i="2"/>
  <c r="N2929" i="2"/>
  <c r="O2929" i="2"/>
  <c r="L2930" i="2"/>
  <c r="M2930" i="2"/>
  <c r="N2930" i="2"/>
  <c r="O2930" i="2"/>
  <c r="L2931" i="2"/>
  <c r="M2931" i="2"/>
  <c r="N2931" i="2"/>
  <c r="O2931" i="2"/>
  <c r="L2932" i="2"/>
  <c r="M2932" i="2"/>
  <c r="N2932" i="2"/>
  <c r="O2932" i="2"/>
  <c r="L2933" i="2"/>
  <c r="M2933" i="2"/>
  <c r="N2933" i="2"/>
  <c r="O2933" i="2"/>
  <c r="L2934" i="2"/>
  <c r="M2934" i="2"/>
  <c r="N2934" i="2"/>
  <c r="O2934" i="2"/>
  <c r="L2935" i="2"/>
  <c r="M2935" i="2"/>
  <c r="N2935" i="2"/>
  <c r="O2935" i="2"/>
  <c r="L2936" i="2"/>
  <c r="M2936" i="2"/>
  <c r="N2936" i="2"/>
  <c r="O2936" i="2"/>
  <c r="L2937" i="2"/>
  <c r="M2937" i="2"/>
  <c r="N2937" i="2"/>
  <c r="O2937" i="2"/>
  <c r="L2938" i="2"/>
  <c r="M2938" i="2"/>
  <c r="N2938" i="2"/>
  <c r="O2938" i="2"/>
  <c r="L2939" i="2"/>
  <c r="M2939" i="2"/>
  <c r="N2939" i="2"/>
  <c r="O2939" i="2"/>
  <c r="L2940" i="2"/>
  <c r="M2940" i="2"/>
  <c r="N2940" i="2"/>
  <c r="O2940" i="2"/>
  <c r="L2941" i="2"/>
  <c r="M2941" i="2"/>
  <c r="N2941" i="2"/>
  <c r="O2941" i="2"/>
  <c r="L2942" i="2"/>
  <c r="M2942" i="2"/>
  <c r="N2942" i="2"/>
  <c r="O2942" i="2"/>
  <c r="L2943" i="2"/>
  <c r="M2943" i="2"/>
  <c r="N2943" i="2"/>
  <c r="O2943" i="2"/>
  <c r="L2944" i="2"/>
  <c r="M2944" i="2"/>
  <c r="N2944" i="2"/>
  <c r="O2944" i="2"/>
  <c r="L2945" i="2"/>
  <c r="M2945" i="2"/>
  <c r="N2945" i="2"/>
  <c r="O2945" i="2"/>
  <c r="L2946" i="2"/>
  <c r="M2946" i="2"/>
  <c r="N2946" i="2"/>
  <c r="O2946" i="2"/>
  <c r="L2947" i="2"/>
  <c r="M2947" i="2"/>
  <c r="N2947" i="2"/>
  <c r="O2947" i="2"/>
  <c r="L2948" i="2"/>
  <c r="M2948" i="2"/>
  <c r="N2948" i="2"/>
  <c r="O2948" i="2"/>
  <c r="L2949" i="2"/>
  <c r="M2949" i="2"/>
  <c r="N2949" i="2"/>
  <c r="O2949" i="2"/>
  <c r="L2950" i="2"/>
  <c r="M2950" i="2"/>
  <c r="N2950" i="2"/>
  <c r="O2950" i="2"/>
  <c r="L2951" i="2"/>
  <c r="M2951" i="2"/>
  <c r="N2951" i="2"/>
  <c r="O2951" i="2"/>
  <c r="L2952" i="2"/>
  <c r="M2952" i="2"/>
  <c r="N2952" i="2"/>
  <c r="O2952" i="2"/>
  <c r="L2953" i="2"/>
  <c r="M2953" i="2"/>
  <c r="N2953" i="2"/>
  <c r="O2953" i="2"/>
  <c r="L2954" i="2"/>
  <c r="M2954" i="2"/>
  <c r="N2954" i="2"/>
  <c r="O2954" i="2"/>
  <c r="L2955" i="2"/>
  <c r="M2955" i="2"/>
  <c r="N2955" i="2"/>
  <c r="O2955" i="2"/>
  <c r="L2956" i="2"/>
  <c r="M2956" i="2"/>
  <c r="N2956" i="2"/>
  <c r="O2956" i="2"/>
  <c r="L2957" i="2"/>
  <c r="M2957" i="2"/>
  <c r="N2957" i="2"/>
  <c r="O2957" i="2"/>
  <c r="L2958" i="2"/>
  <c r="M2958" i="2"/>
  <c r="N2958" i="2"/>
  <c r="O2958" i="2"/>
  <c r="L2959" i="2"/>
  <c r="M2959" i="2"/>
  <c r="N2959" i="2"/>
  <c r="O2959" i="2"/>
  <c r="L2960" i="2"/>
  <c r="M2960" i="2"/>
  <c r="N2960" i="2"/>
  <c r="O2960" i="2"/>
  <c r="L2961" i="2"/>
  <c r="M2961" i="2"/>
  <c r="N2961" i="2"/>
  <c r="O2961" i="2"/>
  <c r="L2962" i="2"/>
  <c r="M2962" i="2"/>
  <c r="N2962" i="2"/>
  <c r="O2962" i="2"/>
  <c r="L2963" i="2"/>
  <c r="M2963" i="2"/>
  <c r="N2963" i="2"/>
  <c r="O2963" i="2"/>
  <c r="L2964" i="2"/>
  <c r="M2964" i="2"/>
  <c r="N2964" i="2"/>
  <c r="O2964" i="2"/>
  <c r="L2965" i="2"/>
  <c r="M2965" i="2"/>
  <c r="N2965" i="2"/>
  <c r="O2965" i="2"/>
  <c r="L2966" i="2"/>
  <c r="M2966" i="2"/>
  <c r="N2966" i="2"/>
  <c r="O2966" i="2"/>
  <c r="L2967" i="2"/>
  <c r="M2967" i="2"/>
  <c r="N2967" i="2"/>
  <c r="O2967" i="2"/>
  <c r="L2968" i="2"/>
  <c r="M2968" i="2"/>
  <c r="N2968" i="2"/>
  <c r="O2968" i="2"/>
  <c r="L2969" i="2"/>
  <c r="M2969" i="2"/>
  <c r="N2969" i="2"/>
  <c r="O2969" i="2"/>
  <c r="L2970" i="2"/>
  <c r="M2970" i="2"/>
  <c r="N2970" i="2"/>
  <c r="O2970" i="2"/>
  <c r="L2971" i="2"/>
  <c r="M2971" i="2"/>
  <c r="N2971" i="2"/>
  <c r="O2971" i="2"/>
  <c r="L2972" i="2"/>
  <c r="M2972" i="2"/>
  <c r="N2972" i="2"/>
  <c r="O2972" i="2"/>
  <c r="L2973" i="2"/>
  <c r="M2973" i="2"/>
  <c r="N2973" i="2"/>
  <c r="O2973" i="2"/>
  <c r="L2974" i="2"/>
  <c r="M2974" i="2"/>
  <c r="N2974" i="2"/>
  <c r="O2974" i="2"/>
  <c r="L2975" i="2"/>
  <c r="M2975" i="2"/>
  <c r="N2975" i="2"/>
  <c r="O2975" i="2"/>
  <c r="L2976" i="2"/>
  <c r="M2976" i="2"/>
  <c r="N2976" i="2"/>
  <c r="O2976" i="2"/>
  <c r="L2977" i="2"/>
  <c r="M2977" i="2"/>
  <c r="N2977" i="2"/>
  <c r="O2977" i="2"/>
  <c r="L2978" i="2"/>
  <c r="M2978" i="2"/>
  <c r="N2978" i="2"/>
  <c r="O2978" i="2"/>
  <c r="L2979" i="2"/>
  <c r="M2979" i="2"/>
  <c r="N2979" i="2"/>
  <c r="O2979" i="2"/>
  <c r="L2980" i="2"/>
  <c r="M2980" i="2"/>
  <c r="N2980" i="2"/>
  <c r="O2980" i="2"/>
  <c r="L2981" i="2"/>
  <c r="M2981" i="2"/>
  <c r="N2981" i="2"/>
  <c r="O2981" i="2"/>
  <c r="L2982" i="2"/>
  <c r="M2982" i="2"/>
  <c r="N2982" i="2"/>
  <c r="O2982" i="2"/>
  <c r="L2983" i="2"/>
  <c r="M2983" i="2"/>
  <c r="N2983" i="2"/>
  <c r="O2983" i="2"/>
  <c r="L2984" i="2"/>
  <c r="M2984" i="2"/>
  <c r="N2984" i="2"/>
  <c r="O2984" i="2"/>
  <c r="L2985" i="2"/>
  <c r="M2985" i="2"/>
  <c r="N2985" i="2"/>
  <c r="O2985" i="2"/>
  <c r="L2986" i="2"/>
  <c r="M2986" i="2"/>
  <c r="N2986" i="2"/>
  <c r="O2986" i="2"/>
  <c r="L2987" i="2"/>
  <c r="M2987" i="2"/>
  <c r="N2987" i="2"/>
  <c r="O2987" i="2"/>
  <c r="L2988" i="2"/>
  <c r="M2988" i="2"/>
  <c r="N2988" i="2"/>
  <c r="O2988" i="2"/>
  <c r="L2989" i="2"/>
  <c r="M2989" i="2"/>
  <c r="N2989" i="2"/>
  <c r="O2989" i="2"/>
  <c r="L2990" i="2"/>
  <c r="M2990" i="2"/>
  <c r="N2990" i="2"/>
  <c r="O2990" i="2"/>
  <c r="L2991" i="2"/>
  <c r="M2991" i="2"/>
  <c r="N2991" i="2"/>
  <c r="O2991" i="2"/>
  <c r="L2992" i="2"/>
  <c r="M2992" i="2"/>
  <c r="N2992" i="2"/>
  <c r="O2992" i="2"/>
  <c r="L2993" i="2"/>
  <c r="M2993" i="2"/>
  <c r="N2993" i="2"/>
  <c r="O2993" i="2"/>
  <c r="L2994" i="2"/>
  <c r="M2994" i="2"/>
  <c r="N2994" i="2"/>
  <c r="O2994" i="2"/>
  <c r="L2995" i="2"/>
  <c r="M2995" i="2"/>
  <c r="N2995" i="2"/>
  <c r="O2995" i="2"/>
  <c r="L2996" i="2"/>
  <c r="M2996" i="2"/>
  <c r="N2996" i="2"/>
  <c r="O2996" i="2"/>
  <c r="L2997" i="2"/>
  <c r="M2997" i="2"/>
  <c r="N2997" i="2"/>
  <c r="O2997" i="2"/>
  <c r="L2998" i="2"/>
  <c r="M2998" i="2"/>
  <c r="N2998" i="2"/>
  <c r="O2998" i="2"/>
  <c r="L2999" i="2"/>
  <c r="M2999" i="2"/>
  <c r="N2999" i="2"/>
  <c r="O2999" i="2"/>
  <c r="L3000" i="2"/>
  <c r="M3000" i="2"/>
  <c r="N3000" i="2"/>
  <c r="O3000" i="2"/>
  <c r="L3001" i="2"/>
  <c r="M3001" i="2"/>
  <c r="N3001" i="2"/>
  <c r="O3001" i="2"/>
  <c r="L3002" i="2"/>
  <c r="M3002" i="2"/>
  <c r="N3002" i="2"/>
  <c r="O3002" i="2"/>
  <c r="L3003" i="2"/>
  <c r="M3003" i="2"/>
  <c r="N3003" i="2"/>
  <c r="O3003" i="2"/>
  <c r="L3004" i="2"/>
  <c r="M3004" i="2"/>
  <c r="N3004" i="2"/>
  <c r="O3004" i="2"/>
  <c r="L3005" i="2"/>
  <c r="M3005" i="2"/>
  <c r="N3005" i="2"/>
  <c r="O3005" i="2"/>
  <c r="L3006" i="2"/>
  <c r="M3006" i="2"/>
  <c r="N3006" i="2"/>
  <c r="O3006" i="2"/>
  <c r="L3007" i="2"/>
  <c r="M3007" i="2"/>
  <c r="N3007" i="2"/>
  <c r="O3007" i="2"/>
  <c r="L3008" i="2"/>
  <c r="M3008" i="2"/>
  <c r="N3008" i="2"/>
  <c r="O3008" i="2"/>
  <c r="L3009" i="2"/>
  <c r="M3009" i="2"/>
  <c r="N3009" i="2"/>
  <c r="O3009" i="2"/>
  <c r="L3010" i="2"/>
  <c r="M3010" i="2"/>
  <c r="N3010" i="2"/>
  <c r="O3010" i="2"/>
  <c r="L3011" i="2"/>
  <c r="M3011" i="2"/>
  <c r="N3011" i="2"/>
  <c r="O3011" i="2"/>
  <c r="L3012" i="2"/>
  <c r="M3012" i="2"/>
  <c r="N3012" i="2"/>
  <c r="O3012" i="2"/>
  <c r="L3013" i="2"/>
  <c r="M3013" i="2"/>
  <c r="N3013" i="2"/>
  <c r="O3013" i="2"/>
  <c r="L3014" i="2"/>
  <c r="M3014" i="2"/>
  <c r="N3014" i="2"/>
  <c r="O3014" i="2"/>
  <c r="L3015" i="2"/>
  <c r="M3015" i="2"/>
  <c r="N3015" i="2"/>
  <c r="O3015" i="2"/>
  <c r="L3016" i="2"/>
  <c r="M3016" i="2"/>
  <c r="N3016" i="2"/>
  <c r="O3016" i="2"/>
  <c r="L3017" i="2"/>
  <c r="M3017" i="2"/>
  <c r="N3017" i="2"/>
  <c r="O3017" i="2"/>
  <c r="L3018" i="2"/>
  <c r="M3018" i="2"/>
  <c r="N3018" i="2"/>
  <c r="O3018" i="2"/>
  <c r="L3019" i="2"/>
  <c r="M3019" i="2"/>
  <c r="N3019" i="2"/>
  <c r="O3019" i="2"/>
  <c r="L3020" i="2"/>
  <c r="M3020" i="2"/>
  <c r="N3020" i="2"/>
  <c r="O3020" i="2"/>
  <c r="L3021" i="2"/>
  <c r="M3021" i="2"/>
  <c r="N3021" i="2"/>
  <c r="O3021" i="2"/>
  <c r="L3022" i="2"/>
  <c r="M3022" i="2"/>
  <c r="N3022" i="2"/>
  <c r="O3022" i="2"/>
  <c r="L3023" i="2"/>
  <c r="M3023" i="2"/>
  <c r="N3023" i="2"/>
  <c r="O3023" i="2"/>
  <c r="L3024" i="2"/>
  <c r="M3024" i="2"/>
  <c r="N3024" i="2"/>
  <c r="O3024" i="2"/>
  <c r="L3025" i="2"/>
  <c r="M3025" i="2"/>
  <c r="N3025" i="2"/>
  <c r="O3025" i="2"/>
  <c r="L3026" i="2"/>
  <c r="M3026" i="2"/>
  <c r="N3026" i="2"/>
  <c r="O3026" i="2"/>
  <c r="L3027" i="2"/>
  <c r="M3027" i="2"/>
  <c r="N3027" i="2"/>
  <c r="O3027" i="2"/>
  <c r="L3028" i="2"/>
  <c r="M3028" i="2"/>
  <c r="N3028" i="2"/>
  <c r="O3028" i="2"/>
  <c r="L3029" i="2"/>
  <c r="M3029" i="2"/>
  <c r="N3029" i="2"/>
  <c r="O3029" i="2"/>
  <c r="L3030" i="2"/>
  <c r="M3030" i="2"/>
  <c r="N3030" i="2"/>
  <c r="O3030" i="2"/>
  <c r="L3031" i="2"/>
  <c r="M3031" i="2"/>
  <c r="N3031" i="2"/>
  <c r="O3031" i="2"/>
  <c r="L3032" i="2"/>
  <c r="M3032" i="2"/>
  <c r="N3032" i="2"/>
  <c r="O3032" i="2"/>
  <c r="L3033" i="2"/>
  <c r="M3033" i="2"/>
  <c r="N3033" i="2"/>
  <c r="O3033" i="2"/>
  <c r="L3034" i="2"/>
  <c r="M3034" i="2"/>
  <c r="N3034" i="2"/>
  <c r="O3034" i="2"/>
  <c r="L3035" i="2"/>
  <c r="M3035" i="2"/>
  <c r="N3035" i="2"/>
  <c r="O3035" i="2"/>
  <c r="L3036" i="2"/>
  <c r="M3036" i="2"/>
  <c r="N3036" i="2"/>
  <c r="O3036" i="2"/>
  <c r="L3037" i="2"/>
  <c r="M3037" i="2"/>
  <c r="N3037" i="2"/>
  <c r="O3037" i="2"/>
  <c r="L3038" i="2"/>
  <c r="M3038" i="2"/>
  <c r="N3038" i="2"/>
  <c r="O3038" i="2"/>
  <c r="L3039" i="2"/>
  <c r="M3039" i="2"/>
  <c r="N3039" i="2"/>
  <c r="O3039" i="2"/>
  <c r="L3040" i="2"/>
  <c r="M3040" i="2"/>
  <c r="N3040" i="2"/>
  <c r="O3040" i="2"/>
  <c r="L3041" i="2"/>
  <c r="M3041" i="2"/>
  <c r="N3041" i="2"/>
  <c r="O3041" i="2"/>
  <c r="L3042" i="2"/>
  <c r="M3042" i="2"/>
  <c r="N3042" i="2"/>
  <c r="O3042" i="2"/>
  <c r="L3043" i="2"/>
  <c r="M3043" i="2"/>
  <c r="N3043" i="2"/>
  <c r="O3043" i="2"/>
  <c r="L3044" i="2"/>
  <c r="M3044" i="2"/>
  <c r="N3044" i="2"/>
  <c r="O3044" i="2"/>
  <c r="L3045" i="2"/>
  <c r="M3045" i="2"/>
  <c r="N3045" i="2"/>
  <c r="O3045" i="2"/>
  <c r="L3046" i="2"/>
  <c r="M3046" i="2"/>
  <c r="N3046" i="2"/>
  <c r="O3046" i="2"/>
  <c r="L3047" i="2"/>
  <c r="M3047" i="2"/>
  <c r="N3047" i="2"/>
  <c r="O3047" i="2"/>
  <c r="L3048" i="2"/>
  <c r="M3048" i="2"/>
  <c r="N3048" i="2"/>
  <c r="O3048" i="2"/>
  <c r="L3049" i="2"/>
  <c r="M3049" i="2"/>
  <c r="N3049" i="2"/>
  <c r="O3049" i="2"/>
  <c r="L3050" i="2"/>
  <c r="M3050" i="2"/>
  <c r="N3050" i="2"/>
  <c r="O3050" i="2"/>
  <c r="L3051" i="2"/>
  <c r="M3051" i="2"/>
  <c r="N3051" i="2"/>
  <c r="O3051" i="2"/>
  <c r="L3052" i="2"/>
  <c r="M3052" i="2"/>
  <c r="N3052" i="2"/>
  <c r="O3052" i="2"/>
  <c r="L3053" i="2"/>
  <c r="M3053" i="2"/>
  <c r="N3053" i="2"/>
  <c r="O3053" i="2"/>
  <c r="L3054" i="2"/>
  <c r="M3054" i="2"/>
  <c r="N3054" i="2"/>
  <c r="O3054" i="2"/>
  <c r="L3055" i="2"/>
  <c r="M3055" i="2"/>
  <c r="N3055" i="2"/>
  <c r="O3055" i="2"/>
  <c r="L3056" i="2"/>
  <c r="M3056" i="2"/>
  <c r="N3056" i="2"/>
  <c r="O3056" i="2"/>
  <c r="L3057" i="2"/>
  <c r="M3057" i="2"/>
  <c r="N3057" i="2"/>
  <c r="O3057" i="2"/>
  <c r="L3058" i="2"/>
  <c r="M3058" i="2"/>
  <c r="N3058" i="2"/>
  <c r="O3058" i="2"/>
  <c r="L3059" i="2"/>
  <c r="M3059" i="2"/>
  <c r="N3059" i="2"/>
  <c r="O3059" i="2"/>
  <c r="L3060" i="2"/>
  <c r="M3060" i="2"/>
  <c r="N3060" i="2"/>
  <c r="O3060" i="2"/>
  <c r="L3061" i="2"/>
  <c r="M3061" i="2"/>
  <c r="N3061" i="2"/>
  <c r="O3061" i="2"/>
  <c r="L3062" i="2"/>
  <c r="M3062" i="2"/>
  <c r="N3062" i="2"/>
  <c r="O3062" i="2"/>
  <c r="L3063" i="2"/>
  <c r="M3063" i="2"/>
  <c r="N3063" i="2"/>
  <c r="O3063" i="2"/>
  <c r="L3064" i="2"/>
  <c r="M3064" i="2"/>
  <c r="N3064" i="2"/>
  <c r="O3064" i="2"/>
  <c r="L3065" i="2"/>
  <c r="M3065" i="2"/>
  <c r="N3065" i="2"/>
  <c r="O3065" i="2"/>
  <c r="L3066" i="2"/>
  <c r="M3066" i="2"/>
  <c r="N3066" i="2"/>
  <c r="O3066" i="2"/>
  <c r="L3067" i="2"/>
  <c r="M3067" i="2"/>
  <c r="N3067" i="2"/>
  <c r="O3067" i="2"/>
  <c r="L3068" i="2"/>
  <c r="M3068" i="2"/>
  <c r="N3068" i="2"/>
  <c r="O3068" i="2"/>
  <c r="L3069" i="2"/>
  <c r="M3069" i="2"/>
  <c r="N3069" i="2"/>
  <c r="O3069" i="2"/>
  <c r="L3070" i="2"/>
  <c r="M3070" i="2"/>
  <c r="N3070" i="2"/>
  <c r="O3070" i="2"/>
  <c r="L3071" i="2"/>
  <c r="M3071" i="2"/>
  <c r="N3071" i="2"/>
  <c r="O3071" i="2"/>
  <c r="L3072" i="2"/>
  <c r="M3072" i="2"/>
  <c r="N3072" i="2"/>
  <c r="O3072" i="2"/>
  <c r="L3073" i="2"/>
  <c r="M3073" i="2"/>
  <c r="N3073" i="2"/>
  <c r="O3073" i="2"/>
  <c r="L3074" i="2"/>
  <c r="M3074" i="2"/>
  <c r="N3074" i="2"/>
  <c r="O3074" i="2"/>
  <c r="L3075" i="2"/>
  <c r="M3075" i="2"/>
  <c r="N3075" i="2"/>
  <c r="O3075" i="2"/>
  <c r="L3076" i="2"/>
  <c r="M3076" i="2"/>
  <c r="N3076" i="2"/>
  <c r="O3076" i="2"/>
  <c r="L3077" i="2"/>
  <c r="M3077" i="2"/>
  <c r="N3077" i="2"/>
  <c r="O3077" i="2"/>
  <c r="L3078" i="2"/>
  <c r="M3078" i="2"/>
  <c r="N3078" i="2"/>
  <c r="O3078" i="2"/>
  <c r="L3079" i="2"/>
  <c r="M3079" i="2"/>
  <c r="N3079" i="2"/>
  <c r="O3079" i="2"/>
  <c r="L3080" i="2"/>
  <c r="M3080" i="2"/>
  <c r="N3080" i="2"/>
  <c r="O3080" i="2"/>
  <c r="L3081" i="2"/>
  <c r="M3081" i="2"/>
  <c r="N3081" i="2"/>
  <c r="O3081" i="2"/>
  <c r="L3082" i="2"/>
  <c r="M3082" i="2"/>
  <c r="N3082" i="2"/>
  <c r="O3082" i="2"/>
  <c r="L3083" i="2"/>
  <c r="M3083" i="2"/>
  <c r="N3083" i="2"/>
  <c r="O3083" i="2"/>
  <c r="L3084" i="2"/>
  <c r="M3084" i="2"/>
  <c r="N3084" i="2"/>
  <c r="O3084" i="2"/>
  <c r="L3085" i="2"/>
  <c r="M3085" i="2"/>
  <c r="N3085" i="2"/>
  <c r="O3085" i="2"/>
  <c r="L3086" i="2"/>
  <c r="M3086" i="2"/>
  <c r="N3086" i="2"/>
  <c r="O3086" i="2"/>
  <c r="L3087" i="2"/>
  <c r="M3087" i="2"/>
  <c r="N3087" i="2"/>
  <c r="O3087" i="2"/>
  <c r="L3088" i="2"/>
  <c r="M3088" i="2"/>
  <c r="N3088" i="2"/>
  <c r="O3088" i="2"/>
  <c r="L3089" i="2"/>
  <c r="M3089" i="2"/>
  <c r="N3089" i="2"/>
  <c r="O3089" i="2"/>
  <c r="L3090" i="2"/>
  <c r="M3090" i="2"/>
  <c r="N3090" i="2"/>
  <c r="O3090" i="2"/>
  <c r="L3091" i="2"/>
  <c r="M3091" i="2"/>
  <c r="N3091" i="2"/>
  <c r="O3091" i="2"/>
  <c r="L3092" i="2"/>
  <c r="M3092" i="2"/>
  <c r="N3092" i="2"/>
  <c r="O3092" i="2"/>
  <c r="L3093" i="2"/>
  <c r="M3093" i="2"/>
  <c r="N3093" i="2"/>
  <c r="O3093" i="2"/>
  <c r="L3094" i="2"/>
  <c r="M3094" i="2"/>
  <c r="N3094" i="2"/>
  <c r="O3094" i="2"/>
  <c r="L3095" i="2"/>
  <c r="M3095" i="2"/>
  <c r="N3095" i="2"/>
  <c r="O3095" i="2"/>
  <c r="L3096" i="2"/>
  <c r="M3096" i="2"/>
  <c r="N3096" i="2"/>
  <c r="O3096" i="2"/>
  <c r="L3097" i="2"/>
  <c r="M3097" i="2"/>
  <c r="N3097" i="2"/>
  <c r="O3097" i="2"/>
  <c r="L3098" i="2"/>
  <c r="M3098" i="2"/>
  <c r="N3098" i="2"/>
  <c r="O3098" i="2"/>
  <c r="L3099" i="2"/>
  <c r="M3099" i="2"/>
  <c r="N3099" i="2"/>
  <c r="O3099" i="2"/>
  <c r="L3100" i="2"/>
  <c r="M3100" i="2"/>
  <c r="N3100" i="2"/>
  <c r="O3100" i="2"/>
  <c r="L3101" i="2"/>
  <c r="M3101" i="2"/>
  <c r="N3101" i="2"/>
  <c r="O3101" i="2"/>
  <c r="L3102" i="2"/>
  <c r="M3102" i="2"/>
  <c r="N3102" i="2"/>
  <c r="O3102" i="2"/>
  <c r="L3103" i="2"/>
  <c r="M3103" i="2"/>
  <c r="N3103" i="2"/>
  <c r="O3103" i="2"/>
  <c r="L3104" i="2"/>
  <c r="M3104" i="2"/>
  <c r="N3104" i="2"/>
  <c r="O3104" i="2"/>
  <c r="L3105" i="2"/>
  <c r="M3105" i="2"/>
  <c r="N3105" i="2"/>
  <c r="O3105" i="2"/>
  <c r="L3106" i="2"/>
  <c r="M3106" i="2"/>
  <c r="N3106" i="2"/>
  <c r="O3106" i="2"/>
  <c r="L3107" i="2"/>
  <c r="M3107" i="2"/>
  <c r="N3107" i="2"/>
  <c r="O3107" i="2"/>
  <c r="L3108" i="2"/>
  <c r="M3108" i="2"/>
  <c r="N3108" i="2"/>
  <c r="O3108" i="2"/>
  <c r="L3109" i="2"/>
  <c r="M3109" i="2"/>
  <c r="N3109" i="2"/>
  <c r="O3109" i="2"/>
  <c r="L3110" i="2"/>
  <c r="M3110" i="2"/>
  <c r="N3110" i="2"/>
  <c r="O3110" i="2"/>
  <c r="L3111" i="2"/>
  <c r="M3111" i="2"/>
  <c r="N3111" i="2"/>
  <c r="O3111" i="2"/>
  <c r="L3112" i="2"/>
  <c r="M3112" i="2"/>
  <c r="N3112" i="2"/>
  <c r="O3112" i="2"/>
  <c r="L3113" i="2"/>
  <c r="M3113" i="2"/>
  <c r="N3113" i="2"/>
  <c r="O3113" i="2"/>
  <c r="L3114" i="2"/>
  <c r="M3114" i="2"/>
  <c r="N3114" i="2"/>
  <c r="O3114" i="2"/>
  <c r="L3115" i="2"/>
  <c r="M3115" i="2"/>
  <c r="N3115" i="2"/>
  <c r="O3115" i="2"/>
  <c r="L3116" i="2"/>
  <c r="M3116" i="2"/>
  <c r="N3116" i="2"/>
  <c r="O3116" i="2"/>
  <c r="L3117" i="2"/>
  <c r="M3117" i="2"/>
  <c r="N3117" i="2"/>
  <c r="O3117" i="2"/>
  <c r="L3118" i="2"/>
  <c r="M3118" i="2"/>
  <c r="N3118" i="2"/>
  <c r="O3118" i="2"/>
  <c r="L3119" i="2"/>
  <c r="M3119" i="2"/>
  <c r="N3119" i="2"/>
  <c r="O3119" i="2"/>
  <c r="L3120" i="2"/>
  <c r="M3120" i="2"/>
  <c r="N3120" i="2"/>
  <c r="O3120" i="2"/>
  <c r="L3121" i="2"/>
  <c r="M3121" i="2"/>
  <c r="N3121" i="2"/>
  <c r="O3121" i="2"/>
  <c r="L3122" i="2"/>
  <c r="M3122" i="2"/>
  <c r="N3122" i="2"/>
  <c r="O3122" i="2"/>
  <c r="L3123" i="2"/>
  <c r="M3123" i="2"/>
  <c r="N3123" i="2"/>
  <c r="O3123" i="2"/>
  <c r="L3124" i="2"/>
  <c r="M3124" i="2"/>
  <c r="N3124" i="2"/>
  <c r="O3124" i="2"/>
  <c r="L3125" i="2"/>
  <c r="M3125" i="2"/>
  <c r="N3125" i="2"/>
  <c r="O3125" i="2"/>
  <c r="L3126" i="2"/>
  <c r="M3126" i="2"/>
  <c r="N3126" i="2"/>
  <c r="O3126" i="2"/>
  <c r="L3127" i="2"/>
  <c r="M3127" i="2"/>
  <c r="N3127" i="2"/>
  <c r="O3127" i="2"/>
  <c r="L3128" i="2"/>
  <c r="M3128" i="2"/>
  <c r="N3128" i="2"/>
  <c r="O3128" i="2"/>
  <c r="L3129" i="2"/>
  <c r="M3129" i="2"/>
  <c r="N3129" i="2"/>
  <c r="O3129" i="2"/>
  <c r="L3130" i="2"/>
  <c r="M3130" i="2"/>
  <c r="N3130" i="2"/>
  <c r="O3130" i="2"/>
  <c r="L3131" i="2"/>
  <c r="M3131" i="2"/>
  <c r="N3131" i="2"/>
  <c r="O3131" i="2"/>
  <c r="L3132" i="2"/>
  <c r="M3132" i="2"/>
  <c r="N3132" i="2"/>
  <c r="O3132" i="2"/>
  <c r="L3133" i="2"/>
  <c r="M3133" i="2"/>
  <c r="N3133" i="2"/>
  <c r="O3133" i="2"/>
  <c r="L3134" i="2"/>
  <c r="M3134" i="2"/>
  <c r="N3134" i="2"/>
  <c r="O3134" i="2"/>
  <c r="L3135" i="2"/>
  <c r="M3135" i="2"/>
  <c r="N3135" i="2"/>
  <c r="O3135" i="2"/>
  <c r="L3136" i="2"/>
  <c r="M3136" i="2"/>
  <c r="N3136" i="2"/>
  <c r="O3136" i="2"/>
  <c r="L3137" i="2"/>
  <c r="M3137" i="2"/>
  <c r="N3137" i="2"/>
  <c r="O3137" i="2"/>
  <c r="L3138" i="2"/>
  <c r="M3138" i="2"/>
  <c r="N3138" i="2"/>
  <c r="O3138" i="2"/>
  <c r="L3139" i="2"/>
  <c r="M3139" i="2"/>
  <c r="N3139" i="2"/>
  <c r="O3139" i="2"/>
  <c r="L3140" i="2"/>
  <c r="M3140" i="2"/>
  <c r="N3140" i="2"/>
  <c r="O3140" i="2"/>
  <c r="L3141" i="2"/>
  <c r="M3141" i="2"/>
  <c r="N3141" i="2"/>
  <c r="O3141" i="2"/>
  <c r="L3142" i="2"/>
  <c r="M3142" i="2"/>
  <c r="N3142" i="2"/>
  <c r="O3142" i="2"/>
  <c r="L3143" i="2"/>
  <c r="M3143" i="2"/>
  <c r="N3143" i="2"/>
  <c r="O3143" i="2"/>
  <c r="L3144" i="2"/>
  <c r="M3144" i="2"/>
  <c r="N3144" i="2"/>
  <c r="O3144" i="2"/>
  <c r="L3145" i="2"/>
  <c r="M3145" i="2"/>
  <c r="N3145" i="2"/>
  <c r="O3145" i="2"/>
  <c r="L3146" i="2"/>
  <c r="M3146" i="2"/>
  <c r="N3146" i="2"/>
  <c r="O3146" i="2"/>
  <c r="L3147" i="2"/>
  <c r="M3147" i="2"/>
  <c r="N3147" i="2"/>
  <c r="O3147" i="2"/>
  <c r="L3148" i="2"/>
  <c r="M3148" i="2"/>
  <c r="N3148" i="2"/>
  <c r="O3148" i="2"/>
  <c r="L3149" i="2"/>
  <c r="M3149" i="2"/>
  <c r="N3149" i="2"/>
  <c r="O3149" i="2"/>
  <c r="L3150" i="2"/>
  <c r="M3150" i="2"/>
  <c r="N3150" i="2"/>
  <c r="O3150" i="2"/>
  <c r="L3151" i="2"/>
  <c r="M3151" i="2"/>
  <c r="N3151" i="2"/>
  <c r="O3151" i="2"/>
  <c r="L3152" i="2"/>
  <c r="M3152" i="2"/>
  <c r="N3152" i="2"/>
  <c r="O3152" i="2"/>
  <c r="L3153" i="2"/>
  <c r="M3153" i="2"/>
  <c r="N3153" i="2"/>
  <c r="O3153" i="2"/>
  <c r="L3154" i="2"/>
  <c r="M3154" i="2"/>
  <c r="N3154" i="2"/>
  <c r="O3154" i="2"/>
  <c r="L3155" i="2"/>
  <c r="M3155" i="2"/>
  <c r="N3155" i="2"/>
  <c r="O3155" i="2"/>
  <c r="L3156" i="2"/>
  <c r="M3156" i="2"/>
  <c r="N3156" i="2"/>
  <c r="O3156" i="2"/>
  <c r="L3157" i="2"/>
  <c r="M3157" i="2"/>
  <c r="N3157" i="2"/>
  <c r="O3157" i="2"/>
  <c r="L3158" i="2"/>
  <c r="M3158" i="2"/>
  <c r="N3158" i="2"/>
  <c r="O3158" i="2"/>
  <c r="L3159" i="2"/>
  <c r="M3159" i="2"/>
  <c r="N3159" i="2"/>
  <c r="O3159" i="2"/>
  <c r="L3160" i="2"/>
  <c r="M3160" i="2"/>
  <c r="N3160" i="2"/>
  <c r="O3160" i="2"/>
  <c r="L3161" i="2"/>
  <c r="M3161" i="2"/>
  <c r="N3161" i="2"/>
  <c r="O3161" i="2"/>
  <c r="L3162" i="2"/>
  <c r="M3162" i="2"/>
  <c r="N3162" i="2"/>
  <c r="O3162" i="2"/>
  <c r="L3163" i="2"/>
  <c r="M3163" i="2"/>
  <c r="N3163" i="2"/>
  <c r="O3163" i="2"/>
  <c r="L3164" i="2"/>
  <c r="M3164" i="2"/>
  <c r="N3164" i="2"/>
  <c r="O3164" i="2"/>
  <c r="L3165" i="2"/>
  <c r="M3165" i="2"/>
  <c r="N3165" i="2"/>
  <c r="O3165" i="2"/>
  <c r="L3166" i="2"/>
  <c r="M3166" i="2"/>
  <c r="N3166" i="2"/>
  <c r="O3166" i="2"/>
  <c r="L3167" i="2"/>
  <c r="M3167" i="2"/>
  <c r="N3167" i="2"/>
  <c r="O3167" i="2"/>
  <c r="L3168" i="2"/>
  <c r="M3168" i="2"/>
  <c r="N3168" i="2"/>
  <c r="O3168" i="2"/>
  <c r="L3169" i="2"/>
  <c r="M3169" i="2"/>
  <c r="N3169" i="2"/>
  <c r="O3169" i="2"/>
  <c r="L3170" i="2"/>
  <c r="M3170" i="2"/>
  <c r="N3170" i="2"/>
  <c r="O3170" i="2"/>
  <c r="L3171" i="2"/>
  <c r="M3171" i="2"/>
  <c r="N3171" i="2"/>
  <c r="O3171" i="2"/>
  <c r="L3172" i="2"/>
  <c r="M3172" i="2"/>
  <c r="N3172" i="2"/>
  <c r="O3172" i="2"/>
  <c r="L3173" i="2"/>
  <c r="M3173" i="2"/>
  <c r="N3173" i="2"/>
  <c r="O3173" i="2"/>
  <c r="L3174" i="2"/>
  <c r="M3174" i="2"/>
  <c r="N3174" i="2"/>
  <c r="O3174" i="2"/>
  <c r="L3175" i="2"/>
  <c r="M3175" i="2"/>
  <c r="N3175" i="2"/>
  <c r="O3175" i="2"/>
  <c r="L3176" i="2"/>
  <c r="M3176" i="2"/>
  <c r="N3176" i="2"/>
  <c r="O3176" i="2"/>
  <c r="L3177" i="2"/>
  <c r="M3177" i="2"/>
  <c r="N3177" i="2"/>
  <c r="O3177" i="2"/>
  <c r="L3178" i="2"/>
  <c r="M3178" i="2"/>
  <c r="N3178" i="2"/>
  <c r="O3178" i="2"/>
  <c r="L3179" i="2"/>
  <c r="M3179" i="2"/>
  <c r="N3179" i="2"/>
  <c r="O3179" i="2"/>
  <c r="L3180" i="2"/>
  <c r="M3180" i="2"/>
  <c r="N3180" i="2"/>
  <c r="O3180" i="2"/>
  <c r="L3181" i="2"/>
  <c r="M3181" i="2"/>
  <c r="N3181" i="2"/>
  <c r="O3181" i="2"/>
  <c r="L3182" i="2"/>
  <c r="M3182" i="2"/>
  <c r="N3182" i="2"/>
  <c r="O3182" i="2"/>
  <c r="L3183" i="2"/>
  <c r="M3183" i="2"/>
  <c r="N3183" i="2"/>
  <c r="O3183" i="2"/>
  <c r="L3184" i="2"/>
  <c r="M3184" i="2"/>
  <c r="N3184" i="2"/>
  <c r="O3184" i="2"/>
  <c r="L3185" i="2"/>
  <c r="M3185" i="2"/>
  <c r="N3185" i="2"/>
  <c r="O3185" i="2"/>
  <c r="L3186" i="2"/>
  <c r="M3186" i="2"/>
  <c r="N3186" i="2"/>
  <c r="O3186" i="2"/>
  <c r="L3187" i="2"/>
  <c r="M3187" i="2"/>
  <c r="N3187" i="2"/>
  <c r="O3187" i="2"/>
  <c r="L3188" i="2"/>
  <c r="M3188" i="2"/>
  <c r="N3188" i="2"/>
  <c r="O3188" i="2"/>
  <c r="L3189" i="2"/>
  <c r="M3189" i="2"/>
  <c r="N3189" i="2"/>
  <c r="O3189" i="2"/>
  <c r="L3190" i="2"/>
  <c r="M3190" i="2"/>
  <c r="N3190" i="2"/>
  <c r="O3190" i="2"/>
  <c r="L3191" i="2"/>
  <c r="M3191" i="2"/>
  <c r="N3191" i="2"/>
  <c r="O3191" i="2"/>
  <c r="L3192" i="2"/>
  <c r="M3192" i="2"/>
  <c r="N3192" i="2"/>
  <c r="O3192" i="2"/>
  <c r="L3193" i="2"/>
  <c r="M3193" i="2"/>
  <c r="N3193" i="2"/>
  <c r="O3193" i="2"/>
  <c r="L3194" i="2"/>
  <c r="M3194" i="2"/>
  <c r="N3194" i="2"/>
  <c r="O3194" i="2"/>
  <c r="L3195" i="2"/>
  <c r="M3195" i="2"/>
  <c r="N3195" i="2"/>
  <c r="O3195" i="2"/>
  <c r="L3196" i="2"/>
  <c r="M3196" i="2"/>
  <c r="N3196" i="2"/>
  <c r="O3196" i="2"/>
  <c r="L3197" i="2"/>
  <c r="M3197" i="2"/>
  <c r="N3197" i="2"/>
  <c r="O3197" i="2"/>
  <c r="L3198" i="2"/>
  <c r="M3198" i="2"/>
  <c r="N3198" i="2"/>
  <c r="O3198" i="2"/>
  <c r="L3199" i="2"/>
  <c r="M3199" i="2"/>
  <c r="N3199" i="2"/>
  <c r="O3199" i="2"/>
  <c r="L3200" i="2"/>
  <c r="M3200" i="2"/>
  <c r="N3200" i="2"/>
  <c r="O3200" i="2"/>
  <c r="L3201" i="2"/>
  <c r="M3201" i="2"/>
  <c r="N3201" i="2"/>
  <c r="O3201" i="2"/>
  <c r="L3202" i="2"/>
  <c r="M3202" i="2"/>
  <c r="N3202" i="2"/>
  <c r="O3202" i="2"/>
  <c r="L3203" i="2"/>
  <c r="M3203" i="2"/>
  <c r="N3203" i="2"/>
  <c r="O3203" i="2"/>
  <c r="L3204" i="2"/>
  <c r="M3204" i="2"/>
  <c r="N3204" i="2"/>
  <c r="O3204" i="2"/>
  <c r="L3205" i="2"/>
  <c r="M3205" i="2"/>
  <c r="N3205" i="2"/>
  <c r="O3205" i="2"/>
  <c r="L3206" i="2"/>
  <c r="M3206" i="2"/>
  <c r="N3206" i="2"/>
  <c r="O3206" i="2"/>
  <c r="L3207" i="2"/>
  <c r="M3207" i="2"/>
  <c r="N3207" i="2"/>
  <c r="O3207" i="2"/>
  <c r="L3208" i="2"/>
  <c r="M3208" i="2"/>
  <c r="N3208" i="2"/>
  <c r="O3208" i="2"/>
  <c r="L3209" i="2"/>
  <c r="M3209" i="2"/>
  <c r="N3209" i="2"/>
  <c r="O3209" i="2"/>
  <c r="L3210" i="2"/>
  <c r="M3210" i="2"/>
  <c r="N3210" i="2"/>
  <c r="O3210" i="2"/>
  <c r="L3211" i="2"/>
  <c r="M3211" i="2"/>
  <c r="N3211" i="2"/>
  <c r="O3211" i="2"/>
  <c r="L3212" i="2"/>
  <c r="M3212" i="2"/>
  <c r="N3212" i="2"/>
  <c r="O3212" i="2"/>
  <c r="L3213" i="2"/>
  <c r="M3213" i="2"/>
  <c r="N3213" i="2"/>
  <c r="O3213" i="2"/>
  <c r="L3214" i="2"/>
  <c r="M3214" i="2"/>
  <c r="N3214" i="2"/>
  <c r="O3214" i="2"/>
  <c r="L3215" i="2"/>
  <c r="M3215" i="2"/>
  <c r="N3215" i="2"/>
  <c r="O3215" i="2"/>
  <c r="L3216" i="2"/>
  <c r="M3216" i="2"/>
  <c r="N3216" i="2"/>
  <c r="O3216" i="2"/>
  <c r="L3217" i="2"/>
  <c r="M3217" i="2"/>
  <c r="N3217" i="2"/>
  <c r="O3217" i="2"/>
  <c r="L3218" i="2"/>
  <c r="M3218" i="2"/>
  <c r="N3218" i="2"/>
  <c r="O3218" i="2"/>
  <c r="L3219" i="2"/>
  <c r="M3219" i="2"/>
  <c r="N3219" i="2"/>
  <c r="O3219" i="2"/>
  <c r="L3220" i="2"/>
  <c r="M3220" i="2"/>
  <c r="N3220" i="2"/>
  <c r="O3220" i="2"/>
  <c r="L3221" i="2"/>
  <c r="M3221" i="2"/>
  <c r="N3221" i="2"/>
  <c r="O3221" i="2"/>
  <c r="L3222" i="2"/>
  <c r="M3222" i="2"/>
  <c r="N3222" i="2"/>
  <c r="O3222" i="2"/>
  <c r="L3223" i="2"/>
  <c r="M3223" i="2"/>
  <c r="N3223" i="2"/>
  <c r="O3223" i="2"/>
  <c r="L3224" i="2"/>
  <c r="M3224" i="2"/>
  <c r="N3224" i="2"/>
  <c r="O3224" i="2"/>
  <c r="L3225" i="2"/>
  <c r="M3225" i="2"/>
  <c r="N3225" i="2"/>
  <c r="O3225" i="2"/>
  <c r="L3226" i="2"/>
  <c r="M3226" i="2"/>
  <c r="N3226" i="2"/>
  <c r="O3226" i="2"/>
  <c r="L3227" i="2"/>
  <c r="M3227" i="2"/>
  <c r="N3227" i="2"/>
  <c r="O3227" i="2"/>
  <c r="L3228" i="2"/>
  <c r="M3228" i="2"/>
  <c r="N3228" i="2"/>
  <c r="O3228" i="2"/>
  <c r="L3229" i="2"/>
  <c r="M3229" i="2"/>
  <c r="N3229" i="2"/>
  <c r="O3229" i="2"/>
  <c r="L3230" i="2"/>
  <c r="M3230" i="2"/>
  <c r="N3230" i="2"/>
  <c r="O3230" i="2"/>
  <c r="L3231" i="2"/>
  <c r="M3231" i="2"/>
  <c r="N3231" i="2"/>
  <c r="O3231" i="2"/>
  <c r="L3232" i="2"/>
  <c r="M3232" i="2"/>
  <c r="N3232" i="2"/>
  <c r="O3232" i="2"/>
  <c r="L3233" i="2"/>
  <c r="M3233" i="2"/>
  <c r="N3233" i="2"/>
  <c r="O3233" i="2"/>
  <c r="L3234" i="2"/>
  <c r="M3234" i="2"/>
  <c r="N3234" i="2"/>
  <c r="O3234" i="2"/>
  <c r="L3235" i="2"/>
  <c r="M3235" i="2"/>
  <c r="N3235" i="2"/>
  <c r="O3235" i="2"/>
  <c r="L3236" i="2"/>
  <c r="M3236" i="2"/>
  <c r="N3236" i="2"/>
  <c r="O3236" i="2"/>
  <c r="L3237" i="2"/>
  <c r="M3237" i="2"/>
  <c r="N3237" i="2"/>
  <c r="O3237" i="2"/>
  <c r="L3238" i="2"/>
  <c r="M3238" i="2"/>
  <c r="N3238" i="2"/>
  <c r="O3238" i="2"/>
  <c r="L3239" i="2"/>
  <c r="M3239" i="2"/>
  <c r="N3239" i="2"/>
  <c r="O3239" i="2"/>
  <c r="L3240" i="2"/>
  <c r="M3240" i="2"/>
  <c r="N3240" i="2"/>
  <c r="O3240" i="2"/>
  <c r="L3241" i="2"/>
  <c r="M3241" i="2"/>
  <c r="N3241" i="2"/>
  <c r="O3241" i="2"/>
  <c r="L3242" i="2"/>
  <c r="M3242" i="2"/>
  <c r="N3242" i="2"/>
  <c r="O3242" i="2"/>
  <c r="L3243" i="2"/>
  <c r="M3243" i="2"/>
  <c r="N3243" i="2"/>
  <c r="O3243" i="2"/>
  <c r="L3244" i="2"/>
  <c r="M3244" i="2"/>
  <c r="N3244" i="2"/>
  <c r="O3244" i="2"/>
  <c r="L3245" i="2"/>
  <c r="M3245" i="2"/>
  <c r="N3245" i="2"/>
  <c r="O3245" i="2"/>
  <c r="L3246" i="2"/>
  <c r="M3246" i="2"/>
  <c r="N3246" i="2"/>
  <c r="O3246" i="2"/>
  <c r="L3247" i="2"/>
  <c r="M3247" i="2"/>
  <c r="N3247" i="2"/>
  <c r="O3247" i="2"/>
  <c r="L3248" i="2"/>
  <c r="M3248" i="2"/>
  <c r="N3248" i="2"/>
  <c r="O3248" i="2"/>
  <c r="L3249" i="2"/>
  <c r="M3249" i="2"/>
  <c r="N3249" i="2"/>
  <c r="O3249" i="2"/>
  <c r="L3250" i="2"/>
  <c r="M3250" i="2"/>
  <c r="N3250" i="2"/>
  <c r="O3250" i="2"/>
  <c r="L3251" i="2"/>
  <c r="M3251" i="2"/>
  <c r="N3251" i="2"/>
  <c r="O3251" i="2"/>
  <c r="L3252" i="2"/>
  <c r="M3252" i="2"/>
  <c r="N3252" i="2"/>
  <c r="O3252" i="2"/>
  <c r="L3253" i="2"/>
  <c r="M3253" i="2"/>
  <c r="N3253" i="2"/>
  <c r="O3253" i="2"/>
  <c r="L3254" i="2"/>
  <c r="M3254" i="2"/>
  <c r="N3254" i="2"/>
  <c r="O3254" i="2"/>
  <c r="L3255" i="2"/>
  <c r="M3255" i="2"/>
  <c r="N3255" i="2"/>
  <c r="O3255" i="2"/>
  <c r="L3256" i="2"/>
  <c r="M3256" i="2"/>
  <c r="N3256" i="2"/>
  <c r="O3256" i="2"/>
  <c r="L3257" i="2"/>
  <c r="M3257" i="2"/>
  <c r="N3257" i="2"/>
  <c r="O3257" i="2"/>
  <c r="L3258" i="2"/>
  <c r="M3258" i="2"/>
  <c r="N3258" i="2"/>
  <c r="O3258" i="2"/>
  <c r="L3259" i="2"/>
  <c r="M3259" i="2"/>
  <c r="N3259" i="2"/>
  <c r="O3259" i="2"/>
  <c r="L3260" i="2"/>
  <c r="M3260" i="2"/>
  <c r="N3260" i="2"/>
  <c r="O3260" i="2"/>
  <c r="L3261" i="2"/>
  <c r="M3261" i="2"/>
  <c r="N3261" i="2"/>
  <c r="O3261" i="2"/>
  <c r="L3262" i="2"/>
  <c r="M3262" i="2"/>
  <c r="N3262" i="2"/>
  <c r="O3262" i="2"/>
  <c r="L3263" i="2"/>
  <c r="M3263" i="2"/>
  <c r="N3263" i="2"/>
  <c r="O3263" i="2"/>
  <c r="L3264" i="2"/>
  <c r="M3264" i="2"/>
  <c r="N3264" i="2"/>
  <c r="O3264" i="2"/>
  <c r="L3265" i="2"/>
  <c r="M3265" i="2"/>
  <c r="N3265" i="2"/>
  <c r="O3265" i="2"/>
  <c r="L3266" i="2"/>
  <c r="M3266" i="2"/>
  <c r="N3266" i="2"/>
  <c r="O3266" i="2"/>
  <c r="L3267" i="2"/>
  <c r="M3267" i="2"/>
  <c r="N3267" i="2"/>
  <c r="O3267" i="2"/>
  <c r="L3268" i="2"/>
  <c r="M3268" i="2"/>
  <c r="N3268" i="2"/>
  <c r="O3268" i="2"/>
  <c r="L3269" i="2"/>
  <c r="M3269" i="2"/>
  <c r="N3269" i="2"/>
  <c r="O3269" i="2"/>
  <c r="L3270" i="2"/>
  <c r="M3270" i="2"/>
  <c r="N3270" i="2"/>
  <c r="O3270" i="2"/>
  <c r="L3271" i="2"/>
  <c r="M3271" i="2"/>
  <c r="N3271" i="2"/>
  <c r="O3271" i="2"/>
  <c r="L3272" i="2"/>
  <c r="M3272" i="2"/>
  <c r="N3272" i="2"/>
  <c r="O3272" i="2"/>
  <c r="L3273" i="2"/>
  <c r="M3273" i="2"/>
  <c r="N3273" i="2"/>
  <c r="O3273" i="2"/>
  <c r="L3274" i="2"/>
  <c r="M3274" i="2"/>
  <c r="N3274" i="2"/>
  <c r="O3274" i="2"/>
  <c r="L3275" i="2"/>
  <c r="M3275" i="2"/>
  <c r="N3275" i="2"/>
  <c r="O3275" i="2"/>
  <c r="L3276" i="2"/>
  <c r="M3276" i="2"/>
  <c r="N3276" i="2"/>
  <c r="O3276" i="2"/>
  <c r="L3277" i="2"/>
  <c r="M3277" i="2"/>
  <c r="N3277" i="2"/>
  <c r="O3277" i="2"/>
  <c r="L3278" i="2"/>
  <c r="M3278" i="2"/>
  <c r="N3278" i="2"/>
  <c r="O3278" i="2"/>
  <c r="L3279" i="2"/>
  <c r="M3279" i="2"/>
  <c r="N3279" i="2"/>
  <c r="O3279" i="2"/>
  <c r="L3280" i="2"/>
  <c r="M3280" i="2"/>
  <c r="N3280" i="2"/>
  <c r="O3280" i="2"/>
  <c r="L3281" i="2"/>
  <c r="M3281" i="2"/>
  <c r="N3281" i="2"/>
  <c r="O3281" i="2"/>
  <c r="L3282" i="2"/>
  <c r="M3282" i="2"/>
  <c r="N3282" i="2"/>
  <c r="O3282" i="2"/>
  <c r="L3283" i="2"/>
  <c r="M3283" i="2"/>
  <c r="N3283" i="2"/>
  <c r="O3283" i="2"/>
  <c r="L3284" i="2"/>
  <c r="M3284" i="2"/>
  <c r="N3284" i="2"/>
  <c r="O3284" i="2"/>
  <c r="L3285" i="2"/>
  <c r="M3285" i="2"/>
  <c r="N3285" i="2"/>
  <c r="O3285" i="2"/>
  <c r="L3286" i="2"/>
  <c r="M3286" i="2"/>
  <c r="N3286" i="2"/>
  <c r="O3286" i="2"/>
  <c r="L3287" i="2"/>
  <c r="M3287" i="2"/>
  <c r="N3287" i="2"/>
  <c r="O3287" i="2"/>
  <c r="L3288" i="2"/>
  <c r="M3288" i="2"/>
  <c r="N3288" i="2"/>
  <c r="O3288" i="2"/>
  <c r="L3289" i="2"/>
  <c r="M3289" i="2"/>
  <c r="N3289" i="2"/>
  <c r="O3289" i="2"/>
  <c r="L3290" i="2"/>
  <c r="M3290" i="2"/>
  <c r="N3290" i="2"/>
  <c r="O3290" i="2"/>
  <c r="L3291" i="2"/>
  <c r="M3291" i="2"/>
  <c r="N3291" i="2"/>
  <c r="O3291" i="2"/>
  <c r="L3292" i="2"/>
  <c r="M3292" i="2"/>
  <c r="N3292" i="2"/>
  <c r="O3292" i="2"/>
  <c r="L3293" i="2"/>
  <c r="M3293" i="2"/>
  <c r="N3293" i="2"/>
  <c r="O3293" i="2"/>
  <c r="L3294" i="2"/>
  <c r="M3294" i="2"/>
  <c r="N3294" i="2"/>
  <c r="O3294" i="2"/>
  <c r="L3295" i="2"/>
  <c r="M3295" i="2"/>
  <c r="N3295" i="2"/>
  <c r="O3295" i="2"/>
  <c r="L3296" i="2"/>
  <c r="M3296" i="2"/>
  <c r="N3296" i="2"/>
  <c r="O3296" i="2"/>
  <c r="L3297" i="2"/>
  <c r="M3297" i="2"/>
  <c r="N3297" i="2"/>
  <c r="O3297" i="2"/>
  <c r="L3298" i="2"/>
  <c r="M3298" i="2"/>
  <c r="N3298" i="2"/>
  <c r="O3298" i="2"/>
  <c r="L3299" i="2"/>
  <c r="M3299" i="2"/>
  <c r="N3299" i="2"/>
  <c r="O3299" i="2"/>
  <c r="L3300" i="2"/>
  <c r="M3300" i="2"/>
  <c r="N3300" i="2"/>
  <c r="O3300" i="2"/>
  <c r="L3301" i="2"/>
  <c r="M3301" i="2"/>
  <c r="N3301" i="2"/>
  <c r="O3301" i="2"/>
  <c r="L3302" i="2"/>
  <c r="M3302" i="2"/>
  <c r="N3302" i="2"/>
  <c r="O3302" i="2"/>
  <c r="L3303" i="2"/>
  <c r="M3303" i="2"/>
  <c r="N3303" i="2"/>
  <c r="O3303" i="2"/>
  <c r="L3304" i="2"/>
  <c r="M3304" i="2"/>
  <c r="N3304" i="2"/>
  <c r="O3304" i="2"/>
  <c r="L3305" i="2"/>
  <c r="M3305" i="2"/>
  <c r="N3305" i="2"/>
  <c r="O3305" i="2"/>
  <c r="L3306" i="2"/>
  <c r="M3306" i="2"/>
  <c r="N3306" i="2"/>
  <c r="O3306" i="2"/>
  <c r="L3307" i="2"/>
  <c r="M3307" i="2"/>
  <c r="N3307" i="2"/>
  <c r="O3307" i="2"/>
  <c r="L3308" i="2"/>
  <c r="M3308" i="2"/>
  <c r="N3308" i="2"/>
  <c r="O3308" i="2"/>
  <c r="L3309" i="2"/>
  <c r="M3309" i="2"/>
  <c r="N3309" i="2"/>
  <c r="O3309" i="2"/>
  <c r="L3310" i="2"/>
  <c r="M3310" i="2"/>
  <c r="N3310" i="2"/>
  <c r="O3310" i="2"/>
  <c r="L3311" i="2"/>
  <c r="M3311" i="2"/>
  <c r="N3311" i="2"/>
  <c r="O3311" i="2"/>
  <c r="L3312" i="2"/>
  <c r="M3312" i="2"/>
  <c r="N3312" i="2"/>
  <c r="O3312" i="2"/>
  <c r="L3313" i="2"/>
  <c r="M3313" i="2"/>
  <c r="N3313" i="2"/>
  <c r="O3313" i="2"/>
  <c r="L3314" i="2"/>
  <c r="M3314" i="2"/>
  <c r="N3314" i="2"/>
  <c r="O3314" i="2"/>
  <c r="L3315" i="2"/>
  <c r="M3315" i="2"/>
  <c r="N3315" i="2"/>
  <c r="O3315" i="2"/>
  <c r="L3316" i="2"/>
  <c r="M3316" i="2"/>
  <c r="N3316" i="2"/>
  <c r="O3316" i="2"/>
  <c r="L3317" i="2"/>
  <c r="M3317" i="2"/>
  <c r="N3317" i="2"/>
  <c r="O3317" i="2"/>
  <c r="L3318" i="2"/>
  <c r="M3318" i="2"/>
  <c r="N3318" i="2"/>
  <c r="O3318" i="2"/>
  <c r="L3319" i="2"/>
  <c r="M3319" i="2"/>
  <c r="N3319" i="2"/>
  <c r="O3319" i="2"/>
  <c r="L3320" i="2"/>
  <c r="M3320" i="2"/>
  <c r="N3320" i="2"/>
  <c r="O3320" i="2"/>
  <c r="L3321" i="2"/>
  <c r="M3321" i="2"/>
  <c r="N3321" i="2"/>
  <c r="O3321" i="2"/>
  <c r="L3322" i="2"/>
  <c r="M3322" i="2"/>
  <c r="N3322" i="2"/>
  <c r="O3322" i="2"/>
  <c r="L3323" i="2"/>
  <c r="M3323" i="2"/>
  <c r="N3323" i="2"/>
  <c r="O3323" i="2"/>
  <c r="L3324" i="2"/>
  <c r="M3324" i="2"/>
  <c r="N3324" i="2"/>
  <c r="O3324" i="2"/>
  <c r="L3325" i="2"/>
  <c r="M3325" i="2"/>
  <c r="N3325" i="2"/>
  <c r="O3325" i="2"/>
  <c r="L3326" i="2"/>
  <c r="M3326" i="2"/>
  <c r="N3326" i="2"/>
  <c r="O3326" i="2"/>
  <c r="L3327" i="2"/>
  <c r="M3327" i="2"/>
  <c r="N3327" i="2"/>
  <c r="O3327" i="2"/>
  <c r="L3328" i="2"/>
  <c r="M3328" i="2"/>
  <c r="N3328" i="2"/>
  <c r="O3328" i="2"/>
  <c r="L3329" i="2"/>
  <c r="M3329" i="2"/>
  <c r="N3329" i="2"/>
  <c r="O3329" i="2"/>
  <c r="L3330" i="2"/>
  <c r="M3330" i="2"/>
  <c r="N3330" i="2"/>
  <c r="O3330" i="2"/>
  <c r="L3331" i="2"/>
  <c r="M3331" i="2"/>
  <c r="N3331" i="2"/>
  <c r="O3331" i="2"/>
  <c r="L3332" i="2"/>
  <c r="M3332" i="2"/>
  <c r="N3332" i="2"/>
  <c r="O3332" i="2"/>
  <c r="L3333" i="2"/>
  <c r="M3333" i="2"/>
  <c r="N3333" i="2"/>
  <c r="O3333" i="2"/>
  <c r="L3334" i="2"/>
  <c r="M3334" i="2"/>
  <c r="N3334" i="2"/>
  <c r="O3334" i="2"/>
  <c r="L3335" i="2"/>
  <c r="M3335" i="2"/>
  <c r="N3335" i="2"/>
  <c r="O3335" i="2"/>
  <c r="L3336" i="2"/>
  <c r="M3336" i="2"/>
  <c r="N3336" i="2"/>
  <c r="O3336" i="2"/>
  <c r="L3337" i="2"/>
  <c r="M3337" i="2"/>
  <c r="N3337" i="2"/>
  <c r="O3337" i="2"/>
  <c r="L3338" i="2"/>
  <c r="M3338" i="2"/>
  <c r="N3338" i="2"/>
  <c r="O3338" i="2"/>
  <c r="L3339" i="2"/>
  <c r="M3339" i="2"/>
  <c r="N3339" i="2"/>
  <c r="O3339" i="2"/>
  <c r="L3340" i="2"/>
  <c r="M3340" i="2"/>
  <c r="N3340" i="2"/>
  <c r="O3340" i="2"/>
  <c r="L3341" i="2"/>
  <c r="M3341" i="2"/>
  <c r="N3341" i="2"/>
  <c r="O3341" i="2"/>
  <c r="L3342" i="2"/>
  <c r="M3342" i="2"/>
  <c r="N3342" i="2"/>
  <c r="O3342" i="2"/>
  <c r="L3343" i="2"/>
  <c r="M3343" i="2"/>
  <c r="N3343" i="2"/>
  <c r="O3343" i="2"/>
  <c r="L3344" i="2"/>
  <c r="M3344" i="2"/>
  <c r="N3344" i="2"/>
  <c r="O3344" i="2"/>
  <c r="L3345" i="2"/>
  <c r="M3345" i="2"/>
  <c r="N3345" i="2"/>
  <c r="O3345" i="2"/>
  <c r="L3346" i="2"/>
  <c r="M3346" i="2"/>
  <c r="N3346" i="2"/>
  <c r="O3346" i="2"/>
  <c r="L3347" i="2"/>
  <c r="M3347" i="2"/>
  <c r="N3347" i="2"/>
  <c r="O3347" i="2"/>
  <c r="L3348" i="2"/>
  <c r="M3348" i="2"/>
  <c r="N3348" i="2"/>
  <c r="O3348" i="2"/>
  <c r="L3349" i="2"/>
  <c r="M3349" i="2"/>
  <c r="N3349" i="2"/>
  <c r="O3349" i="2"/>
  <c r="L3350" i="2"/>
  <c r="M3350" i="2"/>
  <c r="N3350" i="2"/>
  <c r="O3350" i="2"/>
  <c r="L3351" i="2"/>
  <c r="M3351" i="2"/>
  <c r="N3351" i="2"/>
  <c r="O3351" i="2"/>
  <c r="L3352" i="2"/>
  <c r="M3352" i="2"/>
  <c r="N3352" i="2"/>
  <c r="O3352" i="2"/>
  <c r="L3353" i="2"/>
  <c r="M3353" i="2"/>
  <c r="N3353" i="2"/>
  <c r="O3353" i="2"/>
  <c r="L3354" i="2"/>
  <c r="M3354" i="2"/>
  <c r="N3354" i="2"/>
  <c r="O3354" i="2"/>
  <c r="L3355" i="2"/>
  <c r="M3355" i="2"/>
  <c r="N3355" i="2"/>
  <c r="O3355" i="2"/>
  <c r="L3356" i="2"/>
  <c r="M3356" i="2"/>
  <c r="N3356" i="2"/>
  <c r="O3356" i="2"/>
  <c r="L3357" i="2"/>
  <c r="M3357" i="2"/>
  <c r="N3357" i="2"/>
  <c r="O3357" i="2"/>
  <c r="L3358" i="2"/>
  <c r="M3358" i="2"/>
  <c r="N3358" i="2"/>
  <c r="O3358" i="2"/>
  <c r="L3359" i="2"/>
  <c r="M3359" i="2"/>
  <c r="N3359" i="2"/>
  <c r="O3359" i="2"/>
  <c r="L3360" i="2"/>
  <c r="M3360" i="2"/>
  <c r="N3360" i="2"/>
  <c r="O3360" i="2"/>
  <c r="L3361" i="2"/>
  <c r="M3361" i="2"/>
  <c r="N3361" i="2"/>
  <c r="O3361" i="2"/>
  <c r="L3362" i="2"/>
  <c r="M3362" i="2"/>
  <c r="N3362" i="2"/>
  <c r="O3362" i="2"/>
  <c r="L3363" i="2"/>
  <c r="M3363" i="2"/>
  <c r="N3363" i="2"/>
  <c r="O3363" i="2"/>
  <c r="L3364" i="2"/>
  <c r="M3364" i="2"/>
  <c r="N3364" i="2"/>
  <c r="O3364" i="2"/>
  <c r="L3365" i="2"/>
  <c r="M3365" i="2"/>
  <c r="N3365" i="2"/>
  <c r="O3365" i="2"/>
  <c r="L3366" i="2"/>
  <c r="M3366" i="2"/>
  <c r="N3366" i="2"/>
  <c r="O3366" i="2"/>
  <c r="L3367" i="2"/>
  <c r="M3367" i="2"/>
  <c r="N3367" i="2"/>
  <c r="O3367" i="2"/>
  <c r="L3368" i="2"/>
  <c r="M3368" i="2"/>
  <c r="N3368" i="2"/>
  <c r="O3368" i="2"/>
  <c r="L3369" i="2"/>
  <c r="M3369" i="2"/>
  <c r="N3369" i="2"/>
  <c r="O3369" i="2"/>
  <c r="L3370" i="2"/>
  <c r="M3370" i="2"/>
  <c r="N3370" i="2"/>
  <c r="O3370" i="2"/>
  <c r="L3371" i="2"/>
  <c r="M3371" i="2"/>
  <c r="N3371" i="2"/>
  <c r="O3371" i="2"/>
  <c r="L3372" i="2"/>
  <c r="M3372" i="2"/>
  <c r="N3372" i="2"/>
  <c r="O3372" i="2"/>
  <c r="L3373" i="2"/>
  <c r="M3373" i="2"/>
  <c r="N3373" i="2"/>
  <c r="O3373" i="2"/>
  <c r="L3374" i="2"/>
  <c r="M3374" i="2"/>
  <c r="N3374" i="2"/>
  <c r="O3374" i="2"/>
  <c r="L3375" i="2"/>
  <c r="M3375" i="2"/>
  <c r="N3375" i="2"/>
  <c r="O3375" i="2"/>
  <c r="L3376" i="2"/>
  <c r="M3376" i="2"/>
  <c r="N3376" i="2"/>
  <c r="O3376" i="2"/>
  <c r="L3377" i="2"/>
  <c r="M3377" i="2"/>
  <c r="N3377" i="2"/>
  <c r="O3377" i="2"/>
  <c r="L3378" i="2"/>
  <c r="M3378" i="2"/>
  <c r="N3378" i="2"/>
  <c r="O3378" i="2"/>
  <c r="L3379" i="2"/>
  <c r="M3379" i="2"/>
  <c r="N3379" i="2"/>
  <c r="O3379" i="2"/>
  <c r="L3380" i="2"/>
  <c r="M3380" i="2"/>
  <c r="N3380" i="2"/>
  <c r="O3380" i="2"/>
  <c r="L3381" i="2"/>
  <c r="M3381" i="2"/>
  <c r="N3381" i="2"/>
  <c r="O3381" i="2"/>
  <c r="L3382" i="2"/>
  <c r="M3382" i="2"/>
  <c r="N3382" i="2"/>
  <c r="O3382" i="2"/>
  <c r="L3383" i="2"/>
  <c r="M3383" i="2"/>
  <c r="N3383" i="2"/>
  <c r="O3383" i="2"/>
  <c r="L3384" i="2"/>
  <c r="M3384" i="2"/>
  <c r="N3384" i="2"/>
  <c r="O3384" i="2"/>
  <c r="L3385" i="2"/>
  <c r="M3385" i="2"/>
  <c r="N3385" i="2"/>
  <c r="O3385" i="2"/>
  <c r="L3386" i="2"/>
  <c r="M3386" i="2"/>
  <c r="N3386" i="2"/>
  <c r="O3386" i="2"/>
  <c r="L3387" i="2"/>
  <c r="M3387" i="2"/>
  <c r="N3387" i="2"/>
  <c r="O3387" i="2"/>
  <c r="L3388" i="2"/>
  <c r="M3388" i="2"/>
  <c r="N3388" i="2"/>
  <c r="O3388" i="2"/>
  <c r="L3389" i="2"/>
  <c r="M3389" i="2"/>
  <c r="N3389" i="2"/>
  <c r="O3389" i="2"/>
  <c r="L3390" i="2"/>
  <c r="M3390" i="2"/>
  <c r="N3390" i="2"/>
  <c r="O3390" i="2"/>
  <c r="L3391" i="2"/>
  <c r="M3391" i="2"/>
  <c r="N3391" i="2"/>
  <c r="O3391" i="2"/>
  <c r="L3392" i="2"/>
  <c r="M3392" i="2"/>
  <c r="N3392" i="2"/>
  <c r="O3392" i="2"/>
  <c r="L3393" i="2"/>
  <c r="M3393" i="2"/>
  <c r="N3393" i="2"/>
  <c r="O3393" i="2"/>
  <c r="L3394" i="2"/>
  <c r="M3394" i="2"/>
  <c r="N3394" i="2"/>
  <c r="O3394" i="2"/>
  <c r="L3395" i="2"/>
  <c r="M3395" i="2"/>
  <c r="N3395" i="2"/>
  <c r="O3395" i="2"/>
  <c r="L3396" i="2"/>
  <c r="M3396" i="2"/>
  <c r="N3396" i="2"/>
  <c r="O3396" i="2"/>
  <c r="L3397" i="2"/>
  <c r="M3397" i="2"/>
  <c r="N3397" i="2"/>
  <c r="O3397" i="2"/>
  <c r="L3398" i="2"/>
  <c r="M3398" i="2"/>
  <c r="N3398" i="2"/>
  <c r="O3398" i="2"/>
  <c r="L3399" i="2"/>
  <c r="M3399" i="2"/>
  <c r="N3399" i="2"/>
  <c r="O3399" i="2"/>
  <c r="L3400" i="2"/>
  <c r="M3400" i="2"/>
  <c r="N3400" i="2"/>
  <c r="O3400" i="2"/>
  <c r="L3401" i="2"/>
  <c r="M3401" i="2"/>
  <c r="N3401" i="2"/>
  <c r="O3401" i="2"/>
  <c r="L3402" i="2"/>
  <c r="M3402" i="2"/>
  <c r="N3402" i="2"/>
  <c r="O3402" i="2"/>
  <c r="L3403" i="2"/>
  <c r="M3403" i="2"/>
  <c r="N3403" i="2"/>
  <c r="O3403" i="2"/>
  <c r="L3404" i="2"/>
  <c r="M3404" i="2"/>
  <c r="N3404" i="2"/>
  <c r="O3404" i="2"/>
  <c r="L3405" i="2"/>
  <c r="M3405" i="2"/>
  <c r="N3405" i="2"/>
  <c r="O3405" i="2"/>
  <c r="L3406" i="2"/>
  <c r="M3406" i="2"/>
  <c r="N3406" i="2"/>
  <c r="O3406" i="2"/>
  <c r="L3407" i="2"/>
  <c r="M3407" i="2"/>
  <c r="N3407" i="2"/>
  <c r="O3407" i="2"/>
  <c r="L3408" i="2"/>
  <c r="M3408" i="2"/>
  <c r="N3408" i="2"/>
  <c r="O3408" i="2"/>
  <c r="L3409" i="2"/>
  <c r="M3409" i="2"/>
  <c r="N3409" i="2"/>
  <c r="O3409" i="2"/>
  <c r="L3410" i="2"/>
  <c r="M3410" i="2"/>
  <c r="N3410" i="2"/>
  <c r="O3410" i="2"/>
  <c r="L3411" i="2"/>
  <c r="M3411" i="2"/>
  <c r="N3411" i="2"/>
  <c r="O3411" i="2"/>
  <c r="L3412" i="2"/>
  <c r="M3412" i="2"/>
  <c r="N3412" i="2"/>
  <c r="O3412" i="2"/>
  <c r="L3413" i="2"/>
  <c r="M3413" i="2"/>
  <c r="N3413" i="2"/>
  <c r="O3413" i="2"/>
  <c r="L3414" i="2"/>
  <c r="M3414" i="2"/>
  <c r="N3414" i="2"/>
  <c r="O3414" i="2"/>
  <c r="L3415" i="2"/>
  <c r="M3415" i="2"/>
  <c r="N3415" i="2"/>
  <c r="O3415" i="2"/>
  <c r="L3416" i="2"/>
  <c r="M3416" i="2"/>
  <c r="N3416" i="2"/>
  <c r="O3416" i="2"/>
  <c r="L3417" i="2"/>
  <c r="M3417" i="2"/>
  <c r="N3417" i="2"/>
  <c r="O3417" i="2"/>
  <c r="L3418" i="2"/>
  <c r="M3418" i="2"/>
  <c r="N3418" i="2"/>
  <c r="O3418" i="2"/>
  <c r="L3419" i="2"/>
  <c r="M3419" i="2"/>
  <c r="N3419" i="2"/>
  <c r="O3419" i="2"/>
  <c r="L3420" i="2"/>
  <c r="M3420" i="2"/>
  <c r="N3420" i="2"/>
  <c r="O3420" i="2"/>
  <c r="L3421" i="2"/>
  <c r="M3421" i="2"/>
  <c r="N3421" i="2"/>
  <c r="O3421" i="2"/>
  <c r="L3422" i="2"/>
  <c r="M3422" i="2"/>
  <c r="N3422" i="2"/>
  <c r="O3422" i="2"/>
  <c r="L3423" i="2"/>
  <c r="M3423" i="2"/>
  <c r="N3423" i="2"/>
  <c r="O3423" i="2"/>
  <c r="L3424" i="2"/>
  <c r="M3424" i="2"/>
  <c r="N3424" i="2"/>
  <c r="O3424" i="2"/>
  <c r="L3425" i="2"/>
  <c r="M3425" i="2"/>
  <c r="N3425" i="2"/>
  <c r="O3425" i="2"/>
  <c r="L3426" i="2"/>
  <c r="M3426" i="2"/>
  <c r="N3426" i="2"/>
  <c r="O3426" i="2"/>
  <c r="L3427" i="2"/>
  <c r="M3427" i="2"/>
  <c r="N3427" i="2"/>
  <c r="O3427" i="2"/>
  <c r="L3428" i="2"/>
  <c r="M3428" i="2"/>
  <c r="N3428" i="2"/>
  <c r="O3428" i="2"/>
  <c r="L3429" i="2"/>
  <c r="M3429" i="2"/>
  <c r="N3429" i="2"/>
  <c r="O3429" i="2"/>
  <c r="L3430" i="2"/>
  <c r="M3430" i="2"/>
  <c r="N3430" i="2"/>
  <c r="O3430" i="2"/>
  <c r="L3431" i="2"/>
  <c r="M3431" i="2"/>
  <c r="N3431" i="2"/>
  <c r="O3431" i="2"/>
  <c r="L3432" i="2"/>
  <c r="M3432" i="2"/>
  <c r="N3432" i="2"/>
  <c r="O3432" i="2"/>
  <c r="L3433" i="2"/>
  <c r="M3433" i="2"/>
  <c r="N3433" i="2"/>
  <c r="O3433" i="2"/>
  <c r="L3434" i="2"/>
  <c r="M3434" i="2"/>
  <c r="N3434" i="2"/>
  <c r="O3434" i="2"/>
  <c r="L3435" i="2"/>
  <c r="M3435" i="2"/>
  <c r="N3435" i="2"/>
  <c r="O3435" i="2"/>
  <c r="L3436" i="2"/>
  <c r="M3436" i="2"/>
  <c r="N3436" i="2"/>
  <c r="O3436" i="2"/>
  <c r="L3437" i="2"/>
  <c r="M3437" i="2"/>
  <c r="N3437" i="2"/>
  <c r="O3437" i="2"/>
  <c r="L3438" i="2"/>
  <c r="M3438" i="2"/>
  <c r="N3438" i="2"/>
  <c r="O3438" i="2"/>
  <c r="L3439" i="2"/>
  <c r="M3439" i="2"/>
  <c r="N3439" i="2"/>
  <c r="O3439" i="2"/>
  <c r="L3440" i="2"/>
  <c r="M3440" i="2"/>
  <c r="N3440" i="2"/>
  <c r="O3440" i="2"/>
  <c r="L3441" i="2"/>
  <c r="M3441" i="2"/>
  <c r="N3441" i="2"/>
  <c r="O3441" i="2"/>
  <c r="L3442" i="2"/>
  <c r="M3442" i="2"/>
  <c r="N3442" i="2"/>
  <c r="O3442" i="2"/>
  <c r="L3443" i="2"/>
  <c r="M3443" i="2"/>
  <c r="N3443" i="2"/>
  <c r="O3443" i="2"/>
  <c r="L3444" i="2"/>
  <c r="M3444" i="2"/>
  <c r="N3444" i="2"/>
  <c r="O3444" i="2"/>
  <c r="L3445" i="2"/>
  <c r="M3445" i="2"/>
  <c r="N3445" i="2"/>
  <c r="O3445" i="2"/>
  <c r="L3446" i="2"/>
  <c r="M3446" i="2"/>
  <c r="N3446" i="2"/>
  <c r="O3446" i="2"/>
  <c r="L3447" i="2"/>
  <c r="M3447" i="2"/>
  <c r="N3447" i="2"/>
  <c r="O3447" i="2"/>
  <c r="L3448" i="2"/>
  <c r="M3448" i="2"/>
  <c r="N3448" i="2"/>
  <c r="O3448" i="2"/>
  <c r="L3449" i="2"/>
  <c r="M3449" i="2"/>
  <c r="N3449" i="2"/>
  <c r="O3449" i="2"/>
  <c r="L3450" i="2"/>
  <c r="M3450" i="2"/>
  <c r="N3450" i="2"/>
  <c r="O3450" i="2"/>
  <c r="L3451" i="2"/>
  <c r="M3451" i="2"/>
  <c r="N3451" i="2"/>
  <c r="O3451" i="2"/>
  <c r="L3452" i="2"/>
  <c r="M3452" i="2"/>
  <c r="N3452" i="2"/>
  <c r="O3452" i="2"/>
  <c r="L3453" i="2"/>
  <c r="M3453" i="2"/>
  <c r="N3453" i="2"/>
  <c r="O3453" i="2"/>
  <c r="L3454" i="2"/>
  <c r="M3454" i="2"/>
  <c r="N3454" i="2"/>
  <c r="O3454" i="2"/>
  <c r="L3455" i="2"/>
  <c r="M3455" i="2"/>
  <c r="N3455" i="2"/>
  <c r="O3455" i="2"/>
  <c r="L3456" i="2"/>
  <c r="M3456" i="2"/>
  <c r="N3456" i="2"/>
  <c r="O3456" i="2"/>
  <c r="L3457" i="2"/>
  <c r="M3457" i="2"/>
  <c r="N3457" i="2"/>
  <c r="O3457" i="2"/>
  <c r="L3458" i="2"/>
  <c r="M3458" i="2"/>
  <c r="N3458" i="2"/>
  <c r="O3458" i="2"/>
  <c r="L3459" i="2"/>
  <c r="M3459" i="2"/>
  <c r="N3459" i="2"/>
  <c r="O3459" i="2"/>
  <c r="L3460" i="2"/>
  <c r="M3460" i="2"/>
  <c r="N3460" i="2"/>
  <c r="O3460" i="2"/>
  <c r="L3461" i="2"/>
  <c r="M3461" i="2"/>
  <c r="N3461" i="2"/>
  <c r="O3461" i="2"/>
  <c r="L3462" i="2"/>
  <c r="M3462" i="2"/>
  <c r="N3462" i="2"/>
  <c r="O3462" i="2"/>
  <c r="L3463" i="2"/>
  <c r="M3463" i="2"/>
  <c r="N3463" i="2"/>
  <c r="O3463" i="2"/>
  <c r="L3464" i="2"/>
  <c r="M3464" i="2"/>
  <c r="N3464" i="2"/>
  <c r="O3464" i="2"/>
  <c r="L3465" i="2"/>
  <c r="M3465" i="2"/>
  <c r="N3465" i="2"/>
  <c r="O3465" i="2"/>
  <c r="L3466" i="2"/>
  <c r="M3466" i="2"/>
  <c r="N3466" i="2"/>
  <c r="O3466" i="2"/>
  <c r="L3467" i="2"/>
  <c r="M3467" i="2"/>
  <c r="N3467" i="2"/>
  <c r="O3467" i="2"/>
  <c r="L3468" i="2"/>
  <c r="M3468" i="2"/>
  <c r="N3468" i="2"/>
  <c r="O3468" i="2"/>
  <c r="L3469" i="2"/>
  <c r="M3469" i="2"/>
  <c r="N3469" i="2"/>
  <c r="O3469" i="2"/>
  <c r="L3470" i="2"/>
  <c r="M3470" i="2"/>
  <c r="N3470" i="2"/>
  <c r="O3470" i="2"/>
  <c r="L3471" i="2"/>
  <c r="M3471" i="2"/>
  <c r="N3471" i="2"/>
  <c r="O3471" i="2"/>
  <c r="L3472" i="2"/>
  <c r="M3472" i="2"/>
  <c r="N3472" i="2"/>
  <c r="O3472" i="2"/>
  <c r="L3473" i="2"/>
  <c r="M3473" i="2"/>
  <c r="N3473" i="2"/>
  <c r="O3473" i="2"/>
  <c r="L3474" i="2"/>
  <c r="M3474" i="2"/>
  <c r="N3474" i="2"/>
  <c r="O3474" i="2"/>
  <c r="L3475" i="2"/>
  <c r="M3475" i="2"/>
  <c r="N3475" i="2"/>
  <c r="O3475" i="2"/>
  <c r="L3476" i="2"/>
  <c r="M3476" i="2"/>
  <c r="N3476" i="2"/>
  <c r="O3476" i="2"/>
  <c r="L3477" i="2"/>
  <c r="M3477" i="2"/>
  <c r="N3477" i="2"/>
  <c r="O3477" i="2"/>
  <c r="L3478" i="2"/>
  <c r="M3478" i="2"/>
  <c r="N3478" i="2"/>
  <c r="O3478" i="2"/>
  <c r="L3479" i="2"/>
  <c r="M3479" i="2"/>
  <c r="N3479" i="2"/>
  <c r="O3479" i="2"/>
  <c r="L3480" i="2"/>
  <c r="M3480" i="2"/>
  <c r="N3480" i="2"/>
  <c r="O3480" i="2"/>
  <c r="L3481" i="2"/>
  <c r="M3481" i="2"/>
  <c r="N3481" i="2"/>
  <c r="O3481" i="2"/>
  <c r="L3482" i="2"/>
  <c r="M3482" i="2"/>
  <c r="N3482" i="2"/>
  <c r="O3482" i="2"/>
  <c r="L3483" i="2"/>
  <c r="M3483" i="2"/>
  <c r="N3483" i="2"/>
  <c r="O3483" i="2"/>
  <c r="L3484" i="2"/>
  <c r="M3484" i="2"/>
  <c r="N3484" i="2"/>
  <c r="O3484" i="2"/>
  <c r="L3485" i="2"/>
  <c r="M3485" i="2"/>
  <c r="N3485" i="2"/>
  <c r="O3485" i="2"/>
  <c r="L3486" i="2"/>
  <c r="M3486" i="2"/>
  <c r="N3486" i="2"/>
  <c r="O3486" i="2"/>
  <c r="L3487" i="2"/>
  <c r="M3487" i="2"/>
  <c r="N3487" i="2"/>
  <c r="O3487" i="2"/>
  <c r="L3488" i="2"/>
  <c r="M3488" i="2"/>
  <c r="N3488" i="2"/>
  <c r="O3488" i="2"/>
  <c r="L3489" i="2"/>
  <c r="M3489" i="2"/>
  <c r="N3489" i="2"/>
  <c r="O3489" i="2"/>
  <c r="L3490" i="2"/>
  <c r="M3490" i="2"/>
  <c r="N3490" i="2"/>
  <c r="O3490" i="2"/>
  <c r="L3491" i="2"/>
  <c r="M3491" i="2"/>
  <c r="N3491" i="2"/>
  <c r="O3491" i="2"/>
  <c r="L3492" i="2"/>
  <c r="M3492" i="2"/>
  <c r="N3492" i="2"/>
  <c r="O3492" i="2"/>
  <c r="L3493" i="2"/>
  <c r="M3493" i="2"/>
  <c r="N3493" i="2"/>
  <c r="O3493" i="2"/>
  <c r="L3494" i="2"/>
  <c r="M3494" i="2"/>
  <c r="N3494" i="2"/>
  <c r="O3494" i="2"/>
  <c r="L3495" i="2"/>
  <c r="M3495" i="2"/>
  <c r="N3495" i="2"/>
  <c r="O3495" i="2"/>
  <c r="L3496" i="2"/>
  <c r="M3496" i="2"/>
  <c r="N3496" i="2"/>
  <c r="O3496" i="2"/>
  <c r="L3497" i="2"/>
  <c r="M3497" i="2"/>
  <c r="N3497" i="2"/>
  <c r="O3497" i="2"/>
  <c r="L3498" i="2"/>
  <c r="M3498" i="2"/>
  <c r="N3498" i="2"/>
  <c r="O3498" i="2"/>
  <c r="L3499" i="2"/>
  <c r="M3499" i="2"/>
  <c r="N3499" i="2"/>
  <c r="O3499" i="2"/>
  <c r="L3500" i="2"/>
  <c r="M3500" i="2"/>
  <c r="N3500" i="2"/>
  <c r="O3500" i="2"/>
  <c r="L3501" i="2"/>
  <c r="M3501" i="2"/>
  <c r="N3501" i="2"/>
  <c r="O3501" i="2"/>
  <c r="L3502" i="2"/>
  <c r="M3502" i="2"/>
  <c r="N3502" i="2"/>
  <c r="O3502" i="2"/>
  <c r="L3503" i="2"/>
  <c r="M3503" i="2"/>
  <c r="N3503" i="2"/>
  <c r="O3503" i="2"/>
  <c r="L3504" i="2"/>
  <c r="M3504" i="2"/>
  <c r="N3504" i="2"/>
  <c r="O3504" i="2"/>
  <c r="L3505" i="2"/>
  <c r="M3505" i="2"/>
  <c r="N3505" i="2"/>
  <c r="O3505" i="2"/>
  <c r="L3506" i="2"/>
  <c r="M3506" i="2"/>
  <c r="N3506" i="2"/>
  <c r="O3506" i="2"/>
  <c r="L3507" i="2"/>
  <c r="M3507" i="2"/>
  <c r="N3507" i="2"/>
  <c r="O3507" i="2"/>
  <c r="L3508" i="2"/>
  <c r="M3508" i="2"/>
  <c r="N3508" i="2"/>
  <c r="O3508" i="2"/>
  <c r="L3509" i="2"/>
  <c r="M3509" i="2"/>
  <c r="N3509" i="2"/>
  <c r="O3509" i="2"/>
  <c r="L3510" i="2"/>
  <c r="M3510" i="2"/>
  <c r="N3510" i="2"/>
  <c r="O3510" i="2"/>
  <c r="L3511" i="2"/>
  <c r="M3511" i="2"/>
  <c r="N3511" i="2"/>
  <c r="O3511" i="2"/>
  <c r="L3512" i="2"/>
  <c r="M3512" i="2"/>
  <c r="N3512" i="2"/>
  <c r="O3512" i="2"/>
  <c r="L3513" i="2"/>
  <c r="M3513" i="2"/>
  <c r="N3513" i="2"/>
  <c r="O3513" i="2"/>
  <c r="L3514" i="2"/>
  <c r="M3514" i="2"/>
  <c r="N3514" i="2"/>
  <c r="O3514" i="2"/>
  <c r="L3515" i="2"/>
  <c r="M3515" i="2"/>
  <c r="N3515" i="2"/>
  <c r="O3515" i="2"/>
  <c r="L3516" i="2"/>
  <c r="M3516" i="2"/>
  <c r="N3516" i="2"/>
  <c r="O3516" i="2"/>
  <c r="L3517" i="2"/>
  <c r="M3517" i="2"/>
  <c r="N3517" i="2"/>
  <c r="O3517" i="2"/>
  <c r="L3518" i="2"/>
  <c r="M3518" i="2"/>
  <c r="N3518" i="2"/>
  <c r="O3518" i="2"/>
  <c r="L3519" i="2"/>
  <c r="M3519" i="2"/>
  <c r="N3519" i="2"/>
  <c r="O3519" i="2"/>
  <c r="L3520" i="2"/>
  <c r="M3520" i="2"/>
  <c r="N3520" i="2"/>
  <c r="O3520" i="2"/>
  <c r="L3521" i="2"/>
  <c r="M3521" i="2"/>
  <c r="N3521" i="2"/>
  <c r="O3521" i="2"/>
  <c r="L3522" i="2"/>
  <c r="M3522" i="2"/>
  <c r="N3522" i="2"/>
  <c r="O3522" i="2"/>
  <c r="L3523" i="2"/>
  <c r="M3523" i="2"/>
  <c r="N3523" i="2"/>
  <c r="O3523" i="2"/>
  <c r="L3524" i="2"/>
  <c r="M3524" i="2"/>
  <c r="N3524" i="2"/>
  <c r="O3524" i="2"/>
  <c r="L3525" i="2"/>
  <c r="M3525" i="2"/>
  <c r="N3525" i="2"/>
  <c r="O3525" i="2"/>
  <c r="L3526" i="2"/>
  <c r="M3526" i="2"/>
  <c r="N3526" i="2"/>
  <c r="O3526" i="2"/>
  <c r="L3527" i="2"/>
  <c r="M3527" i="2"/>
  <c r="N3527" i="2"/>
  <c r="O3527" i="2"/>
  <c r="L3528" i="2"/>
  <c r="M3528" i="2"/>
  <c r="N3528" i="2"/>
  <c r="O3528" i="2"/>
  <c r="L3529" i="2"/>
  <c r="M3529" i="2"/>
  <c r="N3529" i="2"/>
  <c r="O3529" i="2"/>
  <c r="L3530" i="2"/>
  <c r="M3530" i="2"/>
  <c r="N3530" i="2"/>
  <c r="O3530" i="2"/>
  <c r="L3531" i="2"/>
  <c r="M3531" i="2"/>
  <c r="N3531" i="2"/>
  <c r="O3531" i="2"/>
  <c r="L3532" i="2"/>
  <c r="M3532" i="2"/>
  <c r="N3532" i="2"/>
  <c r="O3532" i="2"/>
  <c r="L3533" i="2"/>
  <c r="M3533" i="2"/>
  <c r="N3533" i="2"/>
  <c r="O3533" i="2"/>
  <c r="L3534" i="2"/>
  <c r="M3534" i="2"/>
  <c r="N3534" i="2"/>
  <c r="O3534" i="2"/>
  <c r="L3535" i="2"/>
  <c r="M3535" i="2"/>
  <c r="N3535" i="2"/>
  <c r="O3535" i="2"/>
  <c r="L3536" i="2"/>
  <c r="M3536" i="2"/>
  <c r="N3536" i="2"/>
  <c r="O3536" i="2"/>
  <c r="L3537" i="2"/>
  <c r="M3537" i="2"/>
  <c r="N3537" i="2"/>
  <c r="O3537" i="2"/>
  <c r="L3538" i="2"/>
  <c r="M3538" i="2"/>
  <c r="N3538" i="2"/>
  <c r="O3538" i="2"/>
  <c r="L3539" i="2"/>
  <c r="M3539" i="2"/>
  <c r="N3539" i="2"/>
  <c r="O3539" i="2"/>
  <c r="L3540" i="2"/>
  <c r="M3540" i="2"/>
  <c r="N3540" i="2"/>
  <c r="O3540" i="2"/>
  <c r="L3541" i="2"/>
  <c r="M3541" i="2"/>
  <c r="N3541" i="2"/>
  <c r="O3541" i="2"/>
  <c r="L3542" i="2"/>
  <c r="M3542" i="2"/>
  <c r="N3542" i="2"/>
  <c r="O3542" i="2"/>
  <c r="L3543" i="2"/>
  <c r="M3543" i="2"/>
  <c r="N3543" i="2"/>
  <c r="O3543" i="2"/>
  <c r="L3544" i="2"/>
  <c r="M3544" i="2"/>
  <c r="N3544" i="2"/>
  <c r="O3544" i="2"/>
  <c r="L3545" i="2"/>
  <c r="M3545" i="2"/>
  <c r="N3545" i="2"/>
  <c r="O3545" i="2"/>
  <c r="L3546" i="2"/>
  <c r="M3546" i="2"/>
  <c r="N3546" i="2"/>
  <c r="O3546" i="2"/>
  <c r="L3547" i="2"/>
  <c r="M3547" i="2"/>
  <c r="N3547" i="2"/>
  <c r="O3547" i="2"/>
  <c r="L3548" i="2"/>
  <c r="M3548" i="2"/>
  <c r="N3548" i="2"/>
  <c r="O3548" i="2"/>
  <c r="L3549" i="2"/>
  <c r="M3549" i="2"/>
  <c r="N3549" i="2"/>
  <c r="O3549" i="2"/>
  <c r="L3550" i="2"/>
  <c r="M3550" i="2"/>
  <c r="N3550" i="2"/>
  <c r="O3550" i="2"/>
  <c r="L3551" i="2"/>
  <c r="M3551" i="2"/>
  <c r="N3551" i="2"/>
  <c r="O3551" i="2"/>
  <c r="L3552" i="2"/>
  <c r="M3552" i="2"/>
  <c r="N3552" i="2"/>
  <c r="O3552" i="2"/>
  <c r="L3553" i="2"/>
  <c r="M3553" i="2"/>
  <c r="N3553" i="2"/>
  <c r="O3553" i="2"/>
  <c r="L3554" i="2"/>
  <c r="M3554" i="2"/>
  <c r="N3554" i="2"/>
  <c r="O3554" i="2"/>
  <c r="L3555" i="2"/>
  <c r="M3555" i="2"/>
  <c r="N3555" i="2"/>
  <c r="O3555" i="2"/>
  <c r="L3556" i="2"/>
  <c r="M3556" i="2"/>
  <c r="N3556" i="2"/>
  <c r="O3556" i="2"/>
  <c r="L3557" i="2"/>
  <c r="M3557" i="2"/>
  <c r="N3557" i="2"/>
  <c r="O3557" i="2"/>
  <c r="L3558" i="2"/>
  <c r="M3558" i="2"/>
  <c r="N3558" i="2"/>
  <c r="O3558" i="2"/>
  <c r="L3559" i="2"/>
  <c r="M3559" i="2"/>
  <c r="N3559" i="2"/>
  <c r="O3559" i="2"/>
  <c r="L3560" i="2"/>
  <c r="M3560" i="2"/>
  <c r="N3560" i="2"/>
  <c r="O3560" i="2"/>
  <c r="L3561" i="2"/>
  <c r="M3561" i="2"/>
  <c r="N3561" i="2"/>
  <c r="O3561" i="2"/>
  <c r="L3562" i="2"/>
  <c r="M3562" i="2"/>
  <c r="N3562" i="2"/>
  <c r="O3562" i="2"/>
  <c r="L3563" i="2"/>
  <c r="M3563" i="2"/>
  <c r="N3563" i="2"/>
  <c r="O3563" i="2"/>
  <c r="L3564" i="2"/>
  <c r="M3564" i="2"/>
  <c r="N3564" i="2"/>
  <c r="O3564" i="2"/>
  <c r="L3565" i="2"/>
  <c r="M3565" i="2"/>
  <c r="N3565" i="2"/>
  <c r="O3565" i="2"/>
  <c r="L3566" i="2"/>
  <c r="M3566" i="2"/>
  <c r="N3566" i="2"/>
  <c r="O3566" i="2"/>
  <c r="L3567" i="2"/>
  <c r="M3567" i="2"/>
  <c r="N3567" i="2"/>
  <c r="O3567" i="2"/>
  <c r="L3568" i="2"/>
  <c r="M3568" i="2"/>
  <c r="N3568" i="2"/>
  <c r="O3568" i="2"/>
  <c r="L3569" i="2"/>
  <c r="M3569" i="2"/>
  <c r="N3569" i="2"/>
  <c r="O3569" i="2"/>
  <c r="L3570" i="2"/>
  <c r="M3570" i="2"/>
  <c r="N3570" i="2"/>
  <c r="O3570" i="2"/>
  <c r="L3571" i="2"/>
  <c r="M3571" i="2"/>
  <c r="N3571" i="2"/>
  <c r="O3571" i="2"/>
  <c r="L3572" i="2"/>
  <c r="M3572" i="2"/>
  <c r="N3572" i="2"/>
  <c r="O3572" i="2"/>
  <c r="L3573" i="2"/>
  <c r="M3573" i="2"/>
  <c r="N3573" i="2"/>
  <c r="O3573" i="2"/>
  <c r="L3574" i="2"/>
  <c r="M3574" i="2"/>
  <c r="N3574" i="2"/>
  <c r="O3574" i="2"/>
  <c r="L3575" i="2"/>
  <c r="M3575" i="2"/>
  <c r="N3575" i="2"/>
  <c r="O3575" i="2"/>
  <c r="L3576" i="2"/>
  <c r="M3576" i="2"/>
  <c r="N3576" i="2"/>
  <c r="O3576" i="2"/>
  <c r="L3577" i="2"/>
  <c r="M3577" i="2"/>
  <c r="N3577" i="2"/>
  <c r="O3577" i="2"/>
  <c r="L3578" i="2"/>
  <c r="M3578" i="2"/>
  <c r="N3578" i="2"/>
  <c r="O3578" i="2"/>
  <c r="L3579" i="2"/>
  <c r="M3579" i="2"/>
  <c r="N3579" i="2"/>
  <c r="O3579" i="2"/>
  <c r="L3580" i="2"/>
  <c r="M3580" i="2"/>
  <c r="N3580" i="2"/>
  <c r="O3580" i="2"/>
  <c r="L3581" i="2"/>
  <c r="M3581" i="2"/>
  <c r="N3581" i="2"/>
  <c r="O3581" i="2"/>
  <c r="L3582" i="2"/>
  <c r="M3582" i="2"/>
  <c r="N3582" i="2"/>
  <c r="O3582" i="2"/>
  <c r="L3583" i="2"/>
  <c r="M3583" i="2"/>
  <c r="N3583" i="2"/>
  <c r="O3583" i="2"/>
  <c r="L3584" i="2"/>
  <c r="M3584" i="2"/>
  <c r="N3584" i="2"/>
  <c r="O3584" i="2"/>
  <c r="L3585" i="2"/>
  <c r="M3585" i="2"/>
  <c r="N3585" i="2"/>
  <c r="O3585" i="2"/>
  <c r="L3586" i="2"/>
  <c r="M3586" i="2"/>
  <c r="N3586" i="2"/>
  <c r="O3586" i="2"/>
  <c r="L3587" i="2"/>
  <c r="M3587" i="2"/>
  <c r="N3587" i="2"/>
  <c r="O3587" i="2"/>
  <c r="L3588" i="2"/>
  <c r="M3588" i="2"/>
  <c r="N3588" i="2"/>
  <c r="O3588" i="2"/>
  <c r="L3589" i="2"/>
  <c r="M3589" i="2"/>
  <c r="N3589" i="2"/>
  <c r="O3589" i="2"/>
  <c r="L3590" i="2"/>
  <c r="M3590" i="2"/>
  <c r="N3590" i="2"/>
  <c r="O3590" i="2"/>
  <c r="L3591" i="2"/>
  <c r="M3591" i="2"/>
  <c r="N3591" i="2"/>
  <c r="O3591" i="2"/>
  <c r="L3592" i="2"/>
  <c r="M3592" i="2"/>
  <c r="N3592" i="2"/>
  <c r="O3592" i="2"/>
  <c r="L3593" i="2"/>
  <c r="M3593" i="2"/>
  <c r="N3593" i="2"/>
  <c r="O3593" i="2"/>
  <c r="L3594" i="2"/>
  <c r="M3594" i="2"/>
  <c r="N3594" i="2"/>
  <c r="O3594" i="2"/>
  <c r="L3595" i="2"/>
  <c r="M3595" i="2"/>
  <c r="N3595" i="2"/>
  <c r="O3595" i="2"/>
  <c r="L3596" i="2"/>
  <c r="M3596" i="2"/>
  <c r="N3596" i="2"/>
  <c r="O3596" i="2"/>
  <c r="L3597" i="2"/>
  <c r="M3597" i="2"/>
  <c r="N3597" i="2"/>
  <c r="O3597" i="2"/>
  <c r="L3598" i="2"/>
  <c r="M3598" i="2"/>
  <c r="N3598" i="2"/>
  <c r="O3598" i="2"/>
  <c r="L3599" i="2"/>
  <c r="M3599" i="2"/>
  <c r="N3599" i="2"/>
  <c r="O3599" i="2"/>
  <c r="L3600" i="2"/>
  <c r="M3600" i="2"/>
  <c r="N3600" i="2"/>
  <c r="O3600" i="2"/>
  <c r="L3601" i="2"/>
  <c r="M3601" i="2"/>
  <c r="N3601" i="2"/>
  <c r="O3601" i="2"/>
  <c r="L3602" i="2"/>
  <c r="M3602" i="2"/>
  <c r="N3602" i="2"/>
  <c r="O3602" i="2"/>
  <c r="L3603" i="2"/>
  <c r="M3603" i="2"/>
  <c r="N3603" i="2"/>
  <c r="O3603" i="2"/>
  <c r="L3604" i="2"/>
  <c r="M3604" i="2"/>
  <c r="N3604" i="2"/>
  <c r="O3604" i="2"/>
  <c r="L3605" i="2"/>
  <c r="M3605" i="2"/>
  <c r="N3605" i="2"/>
  <c r="O3605" i="2"/>
  <c r="L3606" i="2"/>
  <c r="M3606" i="2"/>
  <c r="N3606" i="2"/>
  <c r="O3606" i="2"/>
  <c r="L3607" i="2"/>
  <c r="M3607" i="2"/>
  <c r="N3607" i="2"/>
  <c r="O3607" i="2"/>
  <c r="L3608" i="2"/>
  <c r="M3608" i="2"/>
  <c r="N3608" i="2"/>
  <c r="O3608" i="2"/>
  <c r="L3609" i="2"/>
  <c r="M3609" i="2"/>
  <c r="N3609" i="2"/>
  <c r="O3609" i="2"/>
  <c r="L3610" i="2"/>
  <c r="M3610" i="2"/>
  <c r="N3610" i="2"/>
  <c r="O3610" i="2"/>
  <c r="L3611" i="2"/>
  <c r="M3611" i="2"/>
  <c r="N3611" i="2"/>
  <c r="O3611" i="2"/>
  <c r="L3612" i="2"/>
  <c r="M3612" i="2"/>
  <c r="N3612" i="2"/>
  <c r="O3612" i="2"/>
  <c r="L3613" i="2"/>
  <c r="M3613" i="2"/>
  <c r="N3613" i="2"/>
  <c r="O3613" i="2"/>
  <c r="L3614" i="2"/>
  <c r="M3614" i="2"/>
  <c r="N3614" i="2"/>
  <c r="O3614" i="2"/>
  <c r="L3615" i="2"/>
  <c r="M3615" i="2"/>
  <c r="N3615" i="2"/>
  <c r="O3615" i="2"/>
  <c r="L3616" i="2"/>
  <c r="M3616" i="2"/>
  <c r="N3616" i="2"/>
  <c r="O3616" i="2"/>
  <c r="L3617" i="2"/>
  <c r="M3617" i="2"/>
  <c r="N3617" i="2"/>
  <c r="O3617" i="2"/>
  <c r="L3618" i="2"/>
  <c r="M3618" i="2"/>
  <c r="N3618" i="2"/>
  <c r="O3618" i="2"/>
  <c r="L3619" i="2"/>
  <c r="M3619" i="2"/>
  <c r="N3619" i="2"/>
  <c r="O3619" i="2"/>
  <c r="L3620" i="2"/>
  <c r="M3620" i="2"/>
  <c r="N3620" i="2"/>
  <c r="O3620" i="2"/>
  <c r="L3621" i="2"/>
  <c r="M3621" i="2"/>
  <c r="N3621" i="2"/>
  <c r="O3621" i="2"/>
  <c r="L3622" i="2"/>
  <c r="M3622" i="2"/>
  <c r="N3622" i="2"/>
  <c r="O3622" i="2"/>
  <c r="L3623" i="2"/>
  <c r="M3623" i="2"/>
  <c r="N3623" i="2"/>
  <c r="O3623" i="2"/>
  <c r="L3624" i="2"/>
  <c r="M3624" i="2"/>
  <c r="N3624" i="2"/>
  <c r="O3624" i="2"/>
  <c r="L3625" i="2"/>
  <c r="M3625" i="2"/>
  <c r="N3625" i="2"/>
  <c r="O3625" i="2"/>
  <c r="L3626" i="2"/>
  <c r="M3626" i="2"/>
  <c r="N3626" i="2"/>
  <c r="O3626" i="2"/>
  <c r="L3627" i="2"/>
  <c r="M3627" i="2"/>
  <c r="N3627" i="2"/>
  <c r="O3627" i="2"/>
  <c r="L3628" i="2"/>
  <c r="M3628" i="2"/>
  <c r="N3628" i="2"/>
  <c r="O3628" i="2"/>
  <c r="L3629" i="2"/>
  <c r="M3629" i="2"/>
  <c r="N3629" i="2"/>
  <c r="O3629" i="2"/>
  <c r="L3630" i="2"/>
  <c r="M3630" i="2"/>
  <c r="N3630" i="2"/>
  <c r="O3630" i="2"/>
  <c r="L3631" i="2"/>
  <c r="M3631" i="2"/>
  <c r="N3631" i="2"/>
  <c r="O3631" i="2"/>
  <c r="L3632" i="2"/>
  <c r="M3632" i="2"/>
  <c r="N3632" i="2"/>
  <c r="O3632" i="2"/>
  <c r="L3633" i="2"/>
  <c r="M3633" i="2"/>
  <c r="N3633" i="2"/>
  <c r="O3633" i="2"/>
  <c r="L3634" i="2"/>
  <c r="M3634" i="2"/>
  <c r="N3634" i="2"/>
  <c r="O3634" i="2"/>
  <c r="L3635" i="2"/>
  <c r="M3635" i="2"/>
  <c r="N3635" i="2"/>
  <c r="O3635" i="2"/>
  <c r="L3636" i="2"/>
  <c r="M3636" i="2"/>
  <c r="N3636" i="2"/>
  <c r="O3636" i="2"/>
  <c r="L3637" i="2"/>
  <c r="M3637" i="2"/>
  <c r="N3637" i="2"/>
  <c r="O3637" i="2"/>
  <c r="L3638" i="2"/>
  <c r="M3638" i="2"/>
  <c r="N3638" i="2"/>
  <c r="O3638" i="2"/>
  <c r="L3639" i="2"/>
  <c r="M3639" i="2"/>
  <c r="N3639" i="2"/>
  <c r="O3639" i="2"/>
  <c r="L3640" i="2"/>
  <c r="M3640" i="2"/>
  <c r="N3640" i="2"/>
  <c r="O3640" i="2"/>
  <c r="L3641" i="2"/>
  <c r="M3641" i="2"/>
  <c r="N3641" i="2"/>
  <c r="O3641" i="2"/>
  <c r="L3642" i="2"/>
  <c r="M3642" i="2"/>
  <c r="N3642" i="2"/>
  <c r="O3642" i="2"/>
  <c r="L3643" i="2"/>
  <c r="M3643" i="2"/>
  <c r="N3643" i="2"/>
  <c r="O3643" i="2"/>
  <c r="L3644" i="2"/>
  <c r="M3644" i="2"/>
  <c r="N3644" i="2"/>
  <c r="O3644" i="2"/>
  <c r="L3645" i="2"/>
  <c r="M3645" i="2"/>
  <c r="N3645" i="2"/>
  <c r="O3645" i="2"/>
  <c r="L3646" i="2"/>
  <c r="M3646" i="2"/>
  <c r="N3646" i="2"/>
  <c r="O3646" i="2"/>
  <c r="L3647" i="2"/>
  <c r="M3647" i="2"/>
  <c r="N3647" i="2"/>
  <c r="O3647" i="2"/>
  <c r="L3648" i="2"/>
  <c r="M3648" i="2"/>
  <c r="N3648" i="2"/>
  <c r="O3648" i="2"/>
  <c r="L3649" i="2"/>
  <c r="M3649" i="2"/>
  <c r="N3649" i="2"/>
  <c r="O3649" i="2"/>
  <c r="L3650" i="2"/>
  <c r="M3650" i="2"/>
  <c r="N3650" i="2"/>
  <c r="O3650" i="2"/>
  <c r="L3651" i="2"/>
  <c r="M3651" i="2"/>
  <c r="N3651" i="2"/>
  <c r="O3651" i="2"/>
  <c r="L3652" i="2"/>
  <c r="M3652" i="2"/>
  <c r="N3652" i="2"/>
  <c r="O3652" i="2"/>
  <c r="L3653" i="2"/>
  <c r="M3653" i="2"/>
  <c r="N3653" i="2"/>
  <c r="O3653" i="2"/>
  <c r="L3654" i="2"/>
  <c r="M3654" i="2"/>
  <c r="N3654" i="2"/>
  <c r="O3654" i="2"/>
  <c r="L3655" i="2"/>
  <c r="M3655" i="2"/>
  <c r="N3655" i="2"/>
  <c r="O3655" i="2"/>
  <c r="L3656" i="2"/>
  <c r="M3656" i="2"/>
  <c r="N3656" i="2"/>
  <c r="O3656" i="2"/>
  <c r="L3657" i="2"/>
  <c r="M3657" i="2"/>
  <c r="N3657" i="2"/>
  <c r="O3657" i="2"/>
  <c r="L3658" i="2"/>
  <c r="M3658" i="2"/>
  <c r="N3658" i="2"/>
  <c r="O3658" i="2"/>
  <c r="L3659" i="2"/>
  <c r="M3659" i="2"/>
  <c r="N3659" i="2"/>
  <c r="O3659" i="2"/>
  <c r="L3660" i="2"/>
  <c r="M3660" i="2"/>
  <c r="N3660" i="2"/>
  <c r="O3660" i="2"/>
  <c r="L3661" i="2"/>
  <c r="M3661" i="2"/>
  <c r="N3661" i="2"/>
  <c r="O3661" i="2"/>
  <c r="L3662" i="2"/>
  <c r="M3662" i="2"/>
  <c r="N3662" i="2"/>
  <c r="O3662" i="2"/>
  <c r="L3663" i="2"/>
  <c r="M3663" i="2"/>
  <c r="N3663" i="2"/>
  <c r="O3663" i="2"/>
  <c r="L3664" i="2"/>
  <c r="M3664" i="2"/>
  <c r="N3664" i="2"/>
  <c r="O3664" i="2"/>
  <c r="L3665" i="2"/>
  <c r="M3665" i="2"/>
  <c r="N3665" i="2"/>
  <c r="O3665" i="2"/>
  <c r="L3666" i="2"/>
  <c r="M3666" i="2"/>
  <c r="N3666" i="2"/>
  <c r="O3666" i="2"/>
  <c r="L3667" i="2"/>
  <c r="M3667" i="2"/>
  <c r="N3667" i="2"/>
  <c r="O3667" i="2"/>
  <c r="L3668" i="2"/>
  <c r="M3668" i="2"/>
  <c r="N3668" i="2"/>
  <c r="O3668" i="2"/>
  <c r="L3669" i="2"/>
  <c r="M3669" i="2"/>
  <c r="N3669" i="2"/>
  <c r="O3669" i="2"/>
  <c r="L3670" i="2"/>
  <c r="M3670" i="2"/>
  <c r="N3670" i="2"/>
  <c r="O3670" i="2"/>
  <c r="L3671" i="2"/>
  <c r="M3671" i="2"/>
  <c r="N3671" i="2"/>
  <c r="O3671" i="2"/>
  <c r="L3672" i="2"/>
  <c r="M3672" i="2"/>
  <c r="N3672" i="2"/>
  <c r="O3672" i="2"/>
  <c r="L3673" i="2"/>
  <c r="M3673" i="2"/>
  <c r="N3673" i="2"/>
  <c r="O3673" i="2"/>
  <c r="L3674" i="2"/>
  <c r="M3674" i="2"/>
  <c r="N3674" i="2"/>
  <c r="O3674" i="2"/>
  <c r="L3675" i="2"/>
  <c r="M3675" i="2"/>
  <c r="N3675" i="2"/>
  <c r="O3675" i="2"/>
  <c r="L3676" i="2"/>
  <c r="M3676" i="2"/>
  <c r="N3676" i="2"/>
  <c r="O3676" i="2"/>
  <c r="L3677" i="2"/>
  <c r="M3677" i="2"/>
  <c r="N3677" i="2"/>
  <c r="O3677" i="2"/>
  <c r="L3678" i="2"/>
  <c r="M3678" i="2"/>
  <c r="N3678" i="2"/>
  <c r="O3678" i="2"/>
  <c r="L3679" i="2"/>
  <c r="M3679" i="2"/>
  <c r="N3679" i="2"/>
  <c r="O3679" i="2"/>
  <c r="L3680" i="2"/>
  <c r="M3680" i="2"/>
  <c r="N3680" i="2"/>
  <c r="O3680" i="2"/>
  <c r="L3681" i="2"/>
  <c r="M3681" i="2"/>
  <c r="N3681" i="2"/>
  <c r="O3681" i="2"/>
  <c r="L3682" i="2"/>
  <c r="M3682" i="2"/>
  <c r="N3682" i="2"/>
  <c r="O3682" i="2"/>
  <c r="L3683" i="2"/>
  <c r="M3683" i="2"/>
  <c r="N3683" i="2"/>
  <c r="O3683" i="2"/>
  <c r="L3684" i="2"/>
  <c r="M3684" i="2"/>
  <c r="N3684" i="2"/>
  <c r="O3684" i="2"/>
  <c r="L3685" i="2"/>
  <c r="M3685" i="2"/>
  <c r="N3685" i="2"/>
  <c r="O3685" i="2"/>
  <c r="L3686" i="2"/>
  <c r="M3686" i="2"/>
  <c r="N3686" i="2"/>
  <c r="O3686" i="2"/>
  <c r="L3687" i="2"/>
  <c r="M3687" i="2"/>
  <c r="N3687" i="2"/>
  <c r="O3687" i="2"/>
  <c r="L3688" i="2"/>
  <c r="M3688" i="2"/>
  <c r="N3688" i="2"/>
  <c r="O3688" i="2"/>
  <c r="L3689" i="2"/>
  <c r="M3689" i="2"/>
  <c r="N3689" i="2"/>
  <c r="O3689" i="2"/>
  <c r="L3690" i="2"/>
  <c r="M3690" i="2"/>
  <c r="N3690" i="2"/>
  <c r="O3690" i="2"/>
  <c r="L3691" i="2"/>
  <c r="M3691" i="2"/>
  <c r="N3691" i="2"/>
  <c r="O3691" i="2"/>
  <c r="L3692" i="2"/>
  <c r="M3692" i="2"/>
  <c r="N3692" i="2"/>
  <c r="O3692" i="2"/>
  <c r="L3693" i="2"/>
  <c r="M3693" i="2"/>
  <c r="N3693" i="2"/>
  <c r="O3693" i="2"/>
  <c r="L3694" i="2"/>
  <c r="M3694" i="2"/>
  <c r="N3694" i="2"/>
  <c r="O3694" i="2"/>
  <c r="L3695" i="2"/>
  <c r="M3695" i="2"/>
  <c r="N3695" i="2"/>
  <c r="O3695" i="2"/>
  <c r="L3696" i="2"/>
  <c r="M3696" i="2"/>
  <c r="N3696" i="2"/>
  <c r="O3696" i="2"/>
  <c r="L3697" i="2"/>
  <c r="M3697" i="2"/>
  <c r="N3697" i="2"/>
  <c r="O3697" i="2"/>
  <c r="L3698" i="2"/>
  <c r="M3698" i="2"/>
  <c r="N3698" i="2"/>
  <c r="O3698" i="2"/>
  <c r="L3699" i="2"/>
  <c r="M3699" i="2"/>
  <c r="N3699" i="2"/>
  <c r="O3699" i="2"/>
  <c r="L3700" i="2"/>
  <c r="M3700" i="2"/>
  <c r="N3700" i="2"/>
  <c r="O3700" i="2"/>
  <c r="L3701" i="2"/>
  <c r="M3701" i="2"/>
  <c r="N3701" i="2"/>
  <c r="O3701" i="2"/>
  <c r="L3702" i="2"/>
  <c r="M3702" i="2"/>
  <c r="N3702" i="2"/>
  <c r="O3702" i="2"/>
  <c r="L3703" i="2"/>
  <c r="M3703" i="2"/>
  <c r="N3703" i="2"/>
  <c r="O3703" i="2"/>
  <c r="L3704" i="2"/>
  <c r="M3704" i="2"/>
  <c r="N3704" i="2"/>
  <c r="O3704" i="2"/>
  <c r="L3705" i="2"/>
  <c r="M3705" i="2"/>
  <c r="N3705" i="2"/>
  <c r="O3705" i="2"/>
  <c r="L3706" i="2"/>
  <c r="M3706" i="2"/>
  <c r="N3706" i="2"/>
  <c r="O3706" i="2"/>
  <c r="L3707" i="2"/>
  <c r="M3707" i="2"/>
  <c r="N3707" i="2"/>
  <c r="O3707" i="2"/>
  <c r="L3708" i="2"/>
  <c r="M3708" i="2"/>
  <c r="N3708" i="2"/>
  <c r="O3708" i="2"/>
  <c r="L3709" i="2"/>
  <c r="M3709" i="2"/>
  <c r="N3709" i="2"/>
  <c r="O3709" i="2"/>
  <c r="L3710" i="2"/>
  <c r="M3710" i="2"/>
  <c r="N3710" i="2"/>
  <c r="O3710" i="2"/>
  <c r="L3711" i="2"/>
  <c r="M3711" i="2"/>
  <c r="N3711" i="2"/>
  <c r="O3711" i="2"/>
  <c r="L3712" i="2"/>
  <c r="M3712" i="2"/>
  <c r="N3712" i="2"/>
  <c r="O3712" i="2"/>
  <c r="L3713" i="2"/>
  <c r="M3713" i="2"/>
  <c r="N3713" i="2"/>
  <c r="O3713" i="2"/>
  <c r="L3714" i="2"/>
  <c r="M3714" i="2"/>
  <c r="N3714" i="2"/>
  <c r="O3714" i="2"/>
  <c r="L3715" i="2"/>
  <c r="M3715" i="2"/>
  <c r="N3715" i="2"/>
  <c r="O3715" i="2"/>
  <c r="L3716" i="2"/>
  <c r="M3716" i="2"/>
  <c r="N3716" i="2"/>
  <c r="O3716" i="2"/>
  <c r="L3717" i="2"/>
  <c r="M3717" i="2"/>
  <c r="N3717" i="2"/>
  <c r="O3717" i="2"/>
  <c r="L3718" i="2"/>
  <c r="M3718" i="2"/>
  <c r="N3718" i="2"/>
  <c r="O3718" i="2"/>
  <c r="L3719" i="2"/>
  <c r="M3719" i="2"/>
  <c r="N3719" i="2"/>
  <c r="O3719" i="2"/>
  <c r="L3720" i="2"/>
  <c r="M3720" i="2"/>
  <c r="N3720" i="2"/>
  <c r="O3720" i="2"/>
  <c r="L3721" i="2"/>
  <c r="M3721" i="2"/>
  <c r="N3721" i="2"/>
  <c r="O3721" i="2"/>
  <c r="L3722" i="2"/>
  <c r="M3722" i="2"/>
  <c r="N3722" i="2"/>
  <c r="O3722" i="2"/>
  <c r="L3723" i="2"/>
  <c r="M3723" i="2"/>
  <c r="N3723" i="2"/>
  <c r="O3723" i="2"/>
  <c r="L3724" i="2"/>
  <c r="M3724" i="2"/>
  <c r="N3724" i="2"/>
  <c r="O3724" i="2"/>
  <c r="L3725" i="2"/>
  <c r="M3725" i="2"/>
  <c r="N3725" i="2"/>
  <c r="O3725" i="2"/>
  <c r="L3726" i="2"/>
  <c r="M3726" i="2"/>
  <c r="N3726" i="2"/>
  <c r="O3726" i="2"/>
  <c r="L3727" i="2"/>
  <c r="M3727" i="2"/>
  <c r="N3727" i="2"/>
  <c r="O3727" i="2"/>
  <c r="L3728" i="2"/>
  <c r="M3728" i="2"/>
  <c r="N3728" i="2"/>
  <c r="O3728" i="2"/>
  <c r="L3729" i="2"/>
  <c r="M3729" i="2"/>
  <c r="N3729" i="2"/>
  <c r="O3729" i="2"/>
  <c r="L3730" i="2"/>
  <c r="M3730" i="2"/>
  <c r="N3730" i="2"/>
  <c r="O3730" i="2"/>
  <c r="L3731" i="2"/>
  <c r="M3731" i="2"/>
  <c r="N3731" i="2"/>
  <c r="O3731" i="2"/>
  <c r="L3732" i="2"/>
  <c r="M3732" i="2"/>
  <c r="N3732" i="2"/>
  <c r="O3732" i="2"/>
  <c r="L3733" i="2"/>
  <c r="M3733" i="2"/>
  <c r="N3733" i="2"/>
  <c r="O3733" i="2"/>
  <c r="L3734" i="2"/>
  <c r="M3734" i="2"/>
  <c r="N3734" i="2"/>
  <c r="O3734" i="2"/>
  <c r="L3735" i="2"/>
  <c r="M3735" i="2"/>
  <c r="N3735" i="2"/>
  <c r="O3735" i="2"/>
  <c r="L3736" i="2"/>
  <c r="M3736" i="2"/>
  <c r="N3736" i="2"/>
  <c r="O3736" i="2"/>
  <c r="L3737" i="2"/>
  <c r="M3737" i="2"/>
  <c r="N3737" i="2"/>
  <c r="O3737" i="2"/>
  <c r="L3738" i="2"/>
  <c r="M3738" i="2"/>
  <c r="N3738" i="2"/>
  <c r="O3738" i="2"/>
  <c r="L3739" i="2"/>
  <c r="M3739" i="2"/>
  <c r="N3739" i="2"/>
  <c r="O3739" i="2"/>
  <c r="L3740" i="2"/>
  <c r="M3740" i="2"/>
  <c r="N3740" i="2"/>
  <c r="O3740" i="2"/>
  <c r="L3741" i="2"/>
  <c r="M3741" i="2"/>
  <c r="N3741" i="2"/>
  <c r="O3741" i="2"/>
  <c r="L3742" i="2"/>
  <c r="M3742" i="2"/>
  <c r="N3742" i="2"/>
  <c r="O3742" i="2"/>
  <c r="L3743" i="2"/>
  <c r="M3743" i="2"/>
  <c r="N3743" i="2"/>
  <c r="O3743" i="2"/>
  <c r="L3744" i="2"/>
  <c r="M3744" i="2"/>
  <c r="N3744" i="2"/>
  <c r="O3744" i="2"/>
  <c r="L3745" i="2"/>
  <c r="M3745" i="2"/>
  <c r="N3745" i="2"/>
  <c r="O3745" i="2"/>
  <c r="L3746" i="2"/>
  <c r="M3746" i="2"/>
  <c r="N3746" i="2"/>
  <c r="O3746" i="2"/>
  <c r="L3747" i="2"/>
  <c r="M3747" i="2"/>
  <c r="N3747" i="2"/>
  <c r="O3747" i="2"/>
  <c r="L3748" i="2"/>
  <c r="M3748" i="2"/>
  <c r="N3748" i="2"/>
  <c r="O3748" i="2"/>
  <c r="L3749" i="2"/>
  <c r="M3749" i="2"/>
  <c r="N3749" i="2"/>
  <c r="O3749" i="2"/>
  <c r="L3750" i="2"/>
  <c r="M3750" i="2"/>
  <c r="N3750" i="2"/>
  <c r="O3750" i="2"/>
  <c r="L3751" i="2"/>
  <c r="M3751" i="2"/>
  <c r="N3751" i="2"/>
  <c r="O3751" i="2"/>
  <c r="L3752" i="2"/>
  <c r="M3752" i="2"/>
  <c r="N3752" i="2"/>
  <c r="O3752" i="2"/>
  <c r="L3753" i="2"/>
  <c r="M3753" i="2"/>
  <c r="N3753" i="2"/>
  <c r="O3753" i="2"/>
  <c r="L3754" i="2"/>
  <c r="M3754" i="2"/>
  <c r="N3754" i="2"/>
  <c r="O3754" i="2"/>
  <c r="L3755" i="2"/>
  <c r="M3755" i="2"/>
  <c r="N3755" i="2"/>
  <c r="O3755" i="2"/>
  <c r="L3756" i="2"/>
  <c r="M3756" i="2"/>
  <c r="N3756" i="2"/>
  <c r="O3756" i="2"/>
  <c r="L3757" i="2"/>
  <c r="M3757" i="2"/>
  <c r="N3757" i="2"/>
  <c r="O3757" i="2"/>
  <c r="L3758" i="2"/>
  <c r="M3758" i="2"/>
  <c r="N3758" i="2"/>
  <c r="O3758" i="2"/>
  <c r="L3759" i="2"/>
  <c r="M3759" i="2"/>
  <c r="N3759" i="2"/>
  <c r="O3759" i="2"/>
  <c r="L3760" i="2"/>
  <c r="M3760" i="2"/>
  <c r="N3760" i="2"/>
  <c r="O3760" i="2"/>
  <c r="L3761" i="2"/>
  <c r="M3761" i="2"/>
  <c r="N3761" i="2"/>
  <c r="O3761" i="2"/>
  <c r="L3762" i="2"/>
  <c r="M3762" i="2"/>
  <c r="N3762" i="2"/>
  <c r="O3762" i="2"/>
  <c r="L3763" i="2"/>
  <c r="M3763" i="2"/>
  <c r="N3763" i="2"/>
  <c r="O3763" i="2"/>
  <c r="L3764" i="2"/>
  <c r="M3764" i="2"/>
  <c r="N3764" i="2"/>
  <c r="O3764" i="2"/>
  <c r="L3765" i="2"/>
  <c r="M3765" i="2"/>
  <c r="N3765" i="2"/>
  <c r="O3765" i="2"/>
  <c r="L3766" i="2"/>
  <c r="M3766" i="2"/>
  <c r="N3766" i="2"/>
  <c r="O3766" i="2"/>
  <c r="L3767" i="2"/>
  <c r="M3767" i="2"/>
  <c r="N3767" i="2"/>
  <c r="O3767" i="2"/>
  <c r="L3768" i="2"/>
  <c r="M3768" i="2"/>
  <c r="N3768" i="2"/>
  <c r="O3768" i="2"/>
  <c r="L3769" i="2"/>
  <c r="M3769" i="2"/>
  <c r="N3769" i="2"/>
  <c r="O3769" i="2"/>
  <c r="L3770" i="2"/>
  <c r="M3770" i="2"/>
  <c r="N3770" i="2"/>
  <c r="O3770" i="2"/>
  <c r="L3771" i="2"/>
  <c r="M3771" i="2"/>
  <c r="N3771" i="2"/>
  <c r="O3771" i="2"/>
  <c r="L3772" i="2"/>
  <c r="M3772" i="2"/>
  <c r="N3772" i="2"/>
  <c r="O3772" i="2"/>
  <c r="L3773" i="2"/>
  <c r="M3773" i="2"/>
  <c r="N3773" i="2"/>
  <c r="O3773" i="2"/>
  <c r="L3774" i="2"/>
  <c r="M3774" i="2"/>
  <c r="N3774" i="2"/>
  <c r="O3774" i="2"/>
  <c r="L3775" i="2"/>
  <c r="M3775" i="2"/>
  <c r="N3775" i="2"/>
  <c r="O3775" i="2"/>
  <c r="L3776" i="2"/>
  <c r="M3776" i="2"/>
  <c r="N3776" i="2"/>
  <c r="O3776" i="2"/>
  <c r="L3777" i="2"/>
  <c r="M3777" i="2"/>
  <c r="N3777" i="2"/>
  <c r="O3777" i="2"/>
  <c r="L3778" i="2"/>
  <c r="M3778" i="2"/>
  <c r="N3778" i="2"/>
  <c r="O3778" i="2"/>
  <c r="L3779" i="2"/>
  <c r="M3779" i="2"/>
  <c r="N3779" i="2"/>
  <c r="O3779" i="2"/>
  <c r="L3780" i="2"/>
  <c r="M3780" i="2"/>
  <c r="N3780" i="2"/>
  <c r="O3780" i="2"/>
  <c r="L3781" i="2"/>
  <c r="M3781" i="2"/>
  <c r="N3781" i="2"/>
  <c r="O3781" i="2"/>
  <c r="L3782" i="2"/>
  <c r="M3782" i="2"/>
  <c r="N3782" i="2"/>
  <c r="O3782" i="2"/>
  <c r="L3783" i="2"/>
  <c r="M3783" i="2"/>
  <c r="N3783" i="2"/>
  <c r="O3783" i="2"/>
  <c r="L3784" i="2"/>
  <c r="M3784" i="2"/>
  <c r="N3784" i="2"/>
  <c r="O3784" i="2"/>
  <c r="L3785" i="2"/>
  <c r="M3785" i="2"/>
  <c r="N3785" i="2"/>
  <c r="O3785" i="2"/>
  <c r="L3786" i="2"/>
  <c r="M3786" i="2"/>
  <c r="N3786" i="2"/>
  <c r="O3786" i="2"/>
  <c r="L3787" i="2"/>
  <c r="M3787" i="2"/>
  <c r="N3787" i="2"/>
  <c r="O3787" i="2"/>
  <c r="L3788" i="2"/>
  <c r="M3788" i="2"/>
  <c r="N3788" i="2"/>
  <c r="O3788" i="2"/>
  <c r="L3789" i="2"/>
  <c r="M3789" i="2"/>
  <c r="N3789" i="2"/>
  <c r="O3789" i="2"/>
  <c r="L3790" i="2"/>
  <c r="M3790" i="2"/>
  <c r="N3790" i="2"/>
  <c r="O3790" i="2"/>
  <c r="L3791" i="2"/>
  <c r="M3791" i="2"/>
  <c r="N3791" i="2"/>
  <c r="O3791" i="2"/>
  <c r="L3792" i="2"/>
  <c r="M3792" i="2"/>
  <c r="N3792" i="2"/>
  <c r="O3792" i="2"/>
  <c r="L3793" i="2"/>
  <c r="M3793" i="2"/>
  <c r="N3793" i="2"/>
  <c r="O3793" i="2"/>
  <c r="L3794" i="2"/>
  <c r="M3794" i="2"/>
  <c r="N3794" i="2"/>
  <c r="O3794" i="2"/>
  <c r="L3795" i="2"/>
  <c r="M3795" i="2"/>
  <c r="N3795" i="2"/>
  <c r="O3795" i="2"/>
  <c r="L3796" i="2"/>
  <c r="M3796" i="2"/>
  <c r="N3796" i="2"/>
  <c r="O3796" i="2"/>
  <c r="L3797" i="2"/>
  <c r="M3797" i="2"/>
  <c r="N3797" i="2"/>
  <c r="O3797" i="2"/>
  <c r="L3798" i="2"/>
  <c r="M3798" i="2"/>
  <c r="N3798" i="2"/>
  <c r="O3798" i="2"/>
  <c r="L3799" i="2"/>
  <c r="M3799" i="2"/>
  <c r="N3799" i="2"/>
  <c r="O3799" i="2"/>
  <c r="L3800" i="2"/>
  <c r="M3800" i="2"/>
  <c r="N3800" i="2"/>
  <c r="O3800" i="2"/>
  <c r="L3801" i="2"/>
  <c r="M3801" i="2"/>
  <c r="N3801" i="2"/>
  <c r="O3801" i="2"/>
  <c r="L3802" i="2"/>
  <c r="M3802" i="2"/>
  <c r="N3802" i="2"/>
  <c r="O3802" i="2"/>
  <c r="L3803" i="2"/>
  <c r="M3803" i="2"/>
  <c r="N3803" i="2"/>
  <c r="O3803" i="2"/>
  <c r="L3804" i="2"/>
  <c r="M3804" i="2"/>
  <c r="N3804" i="2"/>
  <c r="O3804" i="2"/>
  <c r="L3805" i="2"/>
  <c r="M3805" i="2"/>
  <c r="N3805" i="2"/>
  <c r="O3805" i="2"/>
  <c r="L3806" i="2"/>
  <c r="M3806" i="2"/>
  <c r="N3806" i="2"/>
  <c r="O3806" i="2"/>
  <c r="L3807" i="2"/>
  <c r="M3807" i="2"/>
  <c r="N3807" i="2"/>
  <c r="O3807" i="2"/>
  <c r="L3808" i="2"/>
  <c r="M3808" i="2"/>
  <c r="N3808" i="2"/>
  <c r="O3808" i="2"/>
  <c r="L3809" i="2"/>
  <c r="M3809" i="2"/>
  <c r="N3809" i="2"/>
  <c r="O3809" i="2"/>
  <c r="L3810" i="2"/>
  <c r="M3810" i="2"/>
  <c r="N3810" i="2"/>
  <c r="O3810" i="2"/>
  <c r="L3811" i="2"/>
  <c r="M3811" i="2"/>
  <c r="N3811" i="2"/>
  <c r="O3811" i="2"/>
  <c r="L3812" i="2"/>
  <c r="M3812" i="2"/>
  <c r="N3812" i="2"/>
  <c r="O3812" i="2"/>
  <c r="L3813" i="2"/>
  <c r="M3813" i="2"/>
  <c r="N3813" i="2"/>
  <c r="O3813" i="2"/>
  <c r="L3814" i="2"/>
  <c r="M3814" i="2"/>
  <c r="N3814" i="2"/>
  <c r="O3814" i="2"/>
  <c r="L3815" i="2"/>
  <c r="M3815" i="2"/>
  <c r="N3815" i="2"/>
  <c r="O3815" i="2"/>
  <c r="L3816" i="2"/>
  <c r="M3816" i="2"/>
  <c r="N3816" i="2"/>
  <c r="O3816" i="2"/>
  <c r="L3817" i="2"/>
  <c r="M3817" i="2"/>
  <c r="N3817" i="2"/>
  <c r="O3817" i="2"/>
  <c r="L3818" i="2"/>
  <c r="M3818" i="2"/>
  <c r="N3818" i="2"/>
  <c r="O3818" i="2"/>
  <c r="L3819" i="2"/>
  <c r="M3819" i="2"/>
  <c r="N3819" i="2"/>
  <c r="O3819" i="2"/>
  <c r="L3820" i="2"/>
  <c r="M3820" i="2"/>
  <c r="N3820" i="2"/>
  <c r="O3820" i="2"/>
  <c r="L3821" i="2"/>
  <c r="M3821" i="2"/>
  <c r="N3821" i="2"/>
  <c r="O3821" i="2"/>
  <c r="L3822" i="2"/>
  <c r="M3822" i="2"/>
  <c r="N3822" i="2"/>
  <c r="O3822" i="2"/>
  <c r="L3823" i="2"/>
  <c r="M3823" i="2"/>
  <c r="N3823" i="2"/>
  <c r="O3823" i="2"/>
  <c r="L3824" i="2"/>
  <c r="M3824" i="2"/>
  <c r="N3824" i="2"/>
  <c r="O3824" i="2"/>
  <c r="L3825" i="2"/>
  <c r="M3825" i="2"/>
  <c r="N3825" i="2"/>
  <c r="O3825" i="2"/>
  <c r="L3826" i="2"/>
  <c r="M3826" i="2"/>
  <c r="N3826" i="2"/>
  <c r="O3826" i="2"/>
  <c r="L3827" i="2"/>
  <c r="M3827" i="2"/>
  <c r="N3827" i="2"/>
  <c r="O3827" i="2"/>
  <c r="L3828" i="2"/>
  <c r="M3828" i="2"/>
  <c r="N3828" i="2"/>
  <c r="O3828" i="2"/>
  <c r="L3829" i="2"/>
  <c r="M3829" i="2"/>
  <c r="N3829" i="2"/>
  <c r="O3829" i="2"/>
  <c r="L3830" i="2"/>
  <c r="M3830" i="2"/>
  <c r="N3830" i="2"/>
  <c r="O3830" i="2"/>
  <c r="L3831" i="2"/>
  <c r="M3831" i="2"/>
  <c r="N3831" i="2"/>
  <c r="O3831" i="2"/>
  <c r="L3832" i="2"/>
  <c r="M3832" i="2"/>
  <c r="N3832" i="2"/>
  <c r="O3832" i="2"/>
  <c r="L3833" i="2"/>
  <c r="M3833" i="2"/>
  <c r="N3833" i="2"/>
  <c r="O3833" i="2"/>
  <c r="L3834" i="2"/>
  <c r="M3834" i="2"/>
  <c r="N3834" i="2"/>
  <c r="O3834" i="2"/>
  <c r="L3835" i="2"/>
  <c r="M3835" i="2"/>
  <c r="N3835" i="2"/>
  <c r="O3835" i="2"/>
  <c r="L3836" i="2"/>
  <c r="M3836" i="2"/>
  <c r="N3836" i="2"/>
  <c r="O3836" i="2"/>
  <c r="L3837" i="2"/>
  <c r="M3837" i="2"/>
  <c r="N3837" i="2"/>
  <c r="O3837" i="2"/>
  <c r="L3838" i="2"/>
  <c r="M3838" i="2"/>
  <c r="N3838" i="2"/>
  <c r="O3838" i="2"/>
  <c r="L3839" i="2"/>
  <c r="M3839" i="2"/>
  <c r="N3839" i="2"/>
  <c r="O3839" i="2"/>
  <c r="L3840" i="2"/>
  <c r="M3840" i="2"/>
  <c r="N3840" i="2"/>
  <c r="O3840" i="2"/>
  <c r="L3841" i="2"/>
  <c r="M3841" i="2"/>
  <c r="N3841" i="2"/>
  <c r="O3841" i="2"/>
  <c r="L3842" i="2"/>
  <c r="M3842" i="2"/>
  <c r="N3842" i="2"/>
  <c r="O3842" i="2"/>
  <c r="L3843" i="2"/>
  <c r="M3843" i="2"/>
  <c r="N3843" i="2"/>
  <c r="O3843" i="2"/>
  <c r="L3844" i="2"/>
  <c r="M3844" i="2"/>
  <c r="N3844" i="2"/>
  <c r="O3844" i="2"/>
  <c r="L3845" i="2"/>
  <c r="M3845" i="2"/>
  <c r="N3845" i="2"/>
  <c r="O3845" i="2"/>
  <c r="L3846" i="2"/>
  <c r="M3846" i="2"/>
  <c r="N3846" i="2"/>
  <c r="O3846" i="2"/>
  <c r="L3847" i="2"/>
  <c r="M3847" i="2"/>
  <c r="N3847" i="2"/>
  <c r="O3847" i="2"/>
  <c r="L3848" i="2"/>
  <c r="M3848" i="2"/>
  <c r="N3848" i="2"/>
  <c r="O3848" i="2"/>
  <c r="L3849" i="2"/>
  <c r="M3849" i="2"/>
  <c r="N3849" i="2"/>
  <c r="O3849" i="2"/>
  <c r="L3850" i="2"/>
  <c r="M3850" i="2"/>
  <c r="N3850" i="2"/>
  <c r="O3850" i="2"/>
  <c r="L3851" i="2"/>
  <c r="M3851" i="2"/>
  <c r="N3851" i="2"/>
  <c r="O3851" i="2"/>
  <c r="L3852" i="2"/>
  <c r="M3852" i="2"/>
  <c r="N3852" i="2"/>
  <c r="O3852" i="2"/>
  <c r="L3853" i="2"/>
  <c r="M3853" i="2"/>
  <c r="N3853" i="2"/>
  <c r="O3853" i="2"/>
  <c r="L3854" i="2"/>
  <c r="M3854" i="2"/>
  <c r="N3854" i="2"/>
  <c r="O3854" i="2"/>
  <c r="L3855" i="2"/>
  <c r="M3855" i="2"/>
  <c r="N3855" i="2"/>
  <c r="O3855" i="2"/>
  <c r="L3856" i="2"/>
  <c r="M3856" i="2"/>
  <c r="N3856" i="2"/>
  <c r="O3856" i="2"/>
  <c r="L3857" i="2"/>
  <c r="M3857" i="2"/>
  <c r="N3857" i="2"/>
  <c r="O3857" i="2"/>
  <c r="L3858" i="2"/>
  <c r="M3858" i="2"/>
  <c r="N3858" i="2"/>
  <c r="O3858" i="2"/>
  <c r="L3859" i="2"/>
  <c r="M3859" i="2"/>
  <c r="N3859" i="2"/>
  <c r="O3859" i="2"/>
  <c r="L3860" i="2"/>
  <c r="M3860" i="2"/>
  <c r="N3860" i="2"/>
  <c r="O3860" i="2"/>
  <c r="L3861" i="2"/>
  <c r="M3861" i="2"/>
  <c r="N3861" i="2"/>
  <c r="O3861" i="2"/>
  <c r="L3862" i="2"/>
  <c r="M3862" i="2"/>
  <c r="N3862" i="2"/>
  <c r="O3862" i="2"/>
  <c r="L3863" i="2"/>
  <c r="M3863" i="2"/>
  <c r="N3863" i="2"/>
  <c r="O3863" i="2"/>
  <c r="L3864" i="2"/>
  <c r="M3864" i="2"/>
  <c r="N3864" i="2"/>
  <c r="O3864" i="2"/>
  <c r="L3865" i="2"/>
  <c r="M3865" i="2"/>
  <c r="N3865" i="2"/>
  <c r="O3865" i="2"/>
  <c r="L3866" i="2"/>
  <c r="M3866" i="2"/>
  <c r="N3866" i="2"/>
  <c r="O3866" i="2"/>
  <c r="L3867" i="2"/>
  <c r="M3867" i="2"/>
  <c r="N3867" i="2"/>
  <c r="O3867" i="2"/>
  <c r="L3868" i="2"/>
  <c r="M3868" i="2"/>
  <c r="N3868" i="2"/>
  <c r="O3868" i="2"/>
  <c r="L3869" i="2"/>
  <c r="M3869" i="2"/>
  <c r="N3869" i="2"/>
  <c r="O3869" i="2"/>
  <c r="L3870" i="2"/>
  <c r="M3870" i="2"/>
  <c r="N3870" i="2"/>
  <c r="O3870" i="2"/>
  <c r="L3871" i="2"/>
  <c r="M3871" i="2"/>
  <c r="N3871" i="2"/>
  <c r="O3871" i="2"/>
  <c r="L3872" i="2"/>
  <c r="M3872" i="2"/>
  <c r="N3872" i="2"/>
  <c r="O3872" i="2"/>
  <c r="L3873" i="2"/>
  <c r="M3873" i="2"/>
  <c r="N3873" i="2"/>
  <c r="O3873" i="2"/>
  <c r="L3874" i="2"/>
  <c r="M3874" i="2"/>
  <c r="N3874" i="2"/>
  <c r="O3874" i="2"/>
  <c r="L3875" i="2"/>
  <c r="M3875" i="2"/>
  <c r="N3875" i="2"/>
  <c r="O3875" i="2"/>
  <c r="L3876" i="2"/>
  <c r="M3876" i="2"/>
  <c r="N3876" i="2"/>
  <c r="O3876" i="2"/>
  <c r="L3877" i="2"/>
  <c r="M3877" i="2"/>
  <c r="N3877" i="2"/>
  <c r="O3877" i="2"/>
  <c r="L3878" i="2"/>
  <c r="M3878" i="2"/>
  <c r="N3878" i="2"/>
  <c r="O3878" i="2"/>
  <c r="L3879" i="2"/>
  <c r="M3879" i="2"/>
  <c r="N3879" i="2"/>
  <c r="O3879" i="2"/>
  <c r="L3880" i="2"/>
  <c r="M3880" i="2"/>
  <c r="N3880" i="2"/>
  <c r="O3880" i="2"/>
  <c r="L3881" i="2"/>
  <c r="M3881" i="2"/>
  <c r="N3881" i="2"/>
  <c r="O3881" i="2"/>
  <c r="L3882" i="2"/>
  <c r="M3882" i="2"/>
  <c r="N3882" i="2"/>
  <c r="O3882" i="2"/>
  <c r="L3883" i="2"/>
  <c r="M3883" i="2"/>
  <c r="N3883" i="2"/>
  <c r="O3883" i="2"/>
  <c r="L3884" i="2"/>
  <c r="M3884" i="2"/>
  <c r="N3884" i="2"/>
  <c r="O3884" i="2"/>
  <c r="L3885" i="2"/>
  <c r="M3885" i="2"/>
  <c r="N3885" i="2"/>
  <c r="O3885" i="2"/>
  <c r="L3886" i="2"/>
  <c r="M3886" i="2"/>
  <c r="N3886" i="2"/>
  <c r="O3886" i="2"/>
  <c r="L3887" i="2"/>
  <c r="M3887" i="2"/>
  <c r="N3887" i="2"/>
  <c r="O3887" i="2"/>
  <c r="L3888" i="2"/>
  <c r="M3888" i="2"/>
  <c r="N3888" i="2"/>
  <c r="O3888" i="2"/>
  <c r="L3889" i="2"/>
  <c r="M3889" i="2"/>
  <c r="N3889" i="2"/>
  <c r="O3889" i="2"/>
  <c r="L3890" i="2"/>
  <c r="M3890" i="2"/>
  <c r="N3890" i="2"/>
  <c r="O3890" i="2"/>
  <c r="L3891" i="2"/>
  <c r="M3891" i="2"/>
  <c r="N3891" i="2"/>
  <c r="O3891" i="2"/>
  <c r="L3892" i="2"/>
  <c r="M3892" i="2"/>
  <c r="N3892" i="2"/>
  <c r="O3892" i="2"/>
  <c r="L3893" i="2"/>
  <c r="M3893" i="2"/>
  <c r="N3893" i="2"/>
  <c r="O3893" i="2"/>
  <c r="L3894" i="2"/>
  <c r="M3894" i="2"/>
  <c r="N3894" i="2"/>
  <c r="O3894" i="2"/>
  <c r="L3895" i="2"/>
  <c r="M3895" i="2"/>
  <c r="N3895" i="2"/>
  <c r="O3895" i="2"/>
  <c r="L3896" i="2"/>
  <c r="M3896" i="2"/>
  <c r="N3896" i="2"/>
  <c r="O3896" i="2"/>
  <c r="L3897" i="2"/>
  <c r="M3897" i="2"/>
  <c r="N3897" i="2"/>
  <c r="O3897" i="2"/>
  <c r="L3898" i="2"/>
  <c r="M3898" i="2"/>
  <c r="N3898" i="2"/>
  <c r="O3898" i="2"/>
  <c r="L3899" i="2"/>
  <c r="M3899" i="2"/>
  <c r="N3899" i="2"/>
  <c r="O3899" i="2"/>
  <c r="L3900" i="2"/>
  <c r="M3900" i="2"/>
  <c r="N3900" i="2"/>
  <c r="O3900" i="2"/>
  <c r="L3901" i="2"/>
  <c r="M3901" i="2"/>
  <c r="N3901" i="2"/>
  <c r="O3901" i="2"/>
  <c r="L3902" i="2"/>
  <c r="M3902" i="2"/>
  <c r="N3902" i="2"/>
  <c r="O3902" i="2"/>
  <c r="L3903" i="2"/>
  <c r="M3903" i="2"/>
  <c r="N3903" i="2"/>
  <c r="O3903" i="2"/>
  <c r="L3904" i="2"/>
  <c r="M3904" i="2"/>
  <c r="N3904" i="2"/>
  <c r="O3904" i="2"/>
  <c r="L3905" i="2"/>
  <c r="M3905" i="2"/>
  <c r="N3905" i="2"/>
  <c r="O3905" i="2"/>
  <c r="L3906" i="2"/>
  <c r="M3906" i="2"/>
  <c r="N3906" i="2"/>
  <c r="O3906" i="2"/>
  <c r="L3907" i="2"/>
  <c r="M3907" i="2"/>
  <c r="N3907" i="2"/>
  <c r="O3907" i="2"/>
  <c r="L3908" i="2"/>
  <c r="M3908" i="2"/>
  <c r="N3908" i="2"/>
  <c r="O3908" i="2"/>
  <c r="L3909" i="2"/>
  <c r="M3909" i="2"/>
  <c r="N3909" i="2"/>
  <c r="O3909" i="2"/>
  <c r="L3910" i="2"/>
  <c r="M3910" i="2"/>
  <c r="N3910" i="2"/>
  <c r="O3910" i="2"/>
  <c r="L3911" i="2"/>
  <c r="M3911" i="2"/>
  <c r="N3911" i="2"/>
  <c r="O3911" i="2"/>
  <c r="L3912" i="2"/>
  <c r="M3912" i="2"/>
  <c r="N3912" i="2"/>
  <c r="O3912" i="2"/>
  <c r="L3913" i="2"/>
  <c r="M3913" i="2"/>
  <c r="N3913" i="2"/>
  <c r="O3913" i="2"/>
  <c r="L3914" i="2"/>
  <c r="M3914" i="2"/>
  <c r="N3914" i="2"/>
  <c r="O3914" i="2"/>
  <c r="L3915" i="2"/>
  <c r="M3915" i="2"/>
  <c r="N3915" i="2"/>
  <c r="O3915" i="2"/>
  <c r="L3916" i="2"/>
  <c r="M3916" i="2"/>
  <c r="N3916" i="2"/>
  <c r="O3916" i="2"/>
  <c r="L3917" i="2"/>
  <c r="M3917" i="2"/>
  <c r="N3917" i="2"/>
  <c r="O3917" i="2"/>
  <c r="L3918" i="2"/>
  <c r="M3918" i="2"/>
  <c r="N3918" i="2"/>
  <c r="O3918" i="2"/>
  <c r="L3919" i="2"/>
  <c r="M3919" i="2"/>
  <c r="N3919" i="2"/>
  <c r="O3919" i="2"/>
  <c r="L3920" i="2"/>
  <c r="M3920" i="2"/>
  <c r="N3920" i="2"/>
  <c r="O3920" i="2"/>
  <c r="L3921" i="2"/>
  <c r="M3921" i="2"/>
  <c r="N3921" i="2"/>
  <c r="O3921" i="2"/>
  <c r="L3922" i="2"/>
  <c r="M3922" i="2"/>
  <c r="N3922" i="2"/>
  <c r="O3922" i="2"/>
  <c r="L3923" i="2"/>
  <c r="M3923" i="2"/>
  <c r="N3923" i="2"/>
  <c r="O3923" i="2"/>
  <c r="L3924" i="2"/>
  <c r="M3924" i="2"/>
  <c r="N3924" i="2"/>
  <c r="O3924" i="2"/>
  <c r="L3925" i="2"/>
  <c r="M3925" i="2"/>
  <c r="N3925" i="2"/>
  <c r="O3925" i="2"/>
  <c r="L3926" i="2"/>
  <c r="M3926" i="2"/>
  <c r="N3926" i="2"/>
  <c r="O3926" i="2"/>
  <c r="L3927" i="2"/>
  <c r="M3927" i="2"/>
  <c r="N3927" i="2"/>
  <c r="O3927" i="2"/>
  <c r="L3928" i="2"/>
  <c r="M3928" i="2"/>
  <c r="N3928" i="2"/>
  <c r="O3928" i="2"/>
  <c r="L3929" i="2"/>
  <c r="M3929" i="2"/>
  <c r="N3929" i="2"/>
  <c r="O3929" i="2"/>
  <c r="L3930" i="2"/>
  <c r="M3930" i="2"/>
  <c r="N3930" i="2"/>
  <c r="O3930" i="2"/>
  <c r="L3931" i="2"/>
  <c r="M3931" i="2"/>
  <c r="N3931" i="2"/>
  <c r="O3931" i="2"/>
  <c r="L3932" i="2"/>
  <c r="M3932" i="2"/>
  <c r="N3932" i="2"/>
  <c r="O3932" i="2"/>
  <c r="L3933" i="2"/>
  <c r="M3933" i="2"/>
  <c r="N3933" i="2"/>
  <c r="O3933" i="2"/>
  <c r="L3934" i="2"/>
  <c r="M3934" i="2"/>
  <c r="N3934" i="2"/>
  <c r="O3934" i="2"/>
  <c r="L3935" i="2"/>
  <c r="M3935" i="2"/>
  <c r="N3935" i="2"/>
  <c r="O3935" i="2"/>
  <c r="L3936" i="2"/>
  <c r="M3936" i="2"/>
  <c r="N3936" i="2"/>
  <c r="O3936" i="2"/>
  <c r="L3937" i="2"/>
  <c r="M3937" i="2"/>
  <c r="N3937" i="2"/>
  <c r="O3937" i="2"/>
  <c r="L3938" i="2"/>
  <c r="M3938" i="2"/>
  <c r="N3938" i="2"/>
  <c r="O3938" i="2"/>
  <c r="L3939" i="2"/>
  <c r="M3939" i="2"/>
  <c r="N3939" i="2"/>
  <c r="O3939" i="2"/>
  <c r="L3940" i="2"/>
  <c r="M3940" i="2"/>
  <c r="N3940" i="2"/>
  <c r="O3940" i="2"/>
  <c r="L3941" i="2"/>
  <c r="M3941" i="2"/>
  <c r="N3941" i="2"/>
  <c r="O3941" i="2"/>
  <c r="L3942" i="2"/>
  <c r="M3942" i="2"/>
  <c r="N3942" i="2"/>
  <c r="O3942" i="2"/>
  <c r="L3943" i="2"/>
  <c r="M3943" i="2"/>
  <c r="N3943" i="2"/>
  <c r="O3943" i="2"/>
  <c r="L3944" i="2"/>
  <c r="M3944" i="2"/>
  <c r="N3944" i="2"/>
  <c r="O3944" i="2"/>
  <c r="L3945" i="2"/>
  <c r="M3945" i="2"/>
  <c r="N3945" i="2"/>
  <c r="O3945" i="2"/>
  <c r="L3946" i="2"/>
  <c r="M3946" i="2"/>
  <c r="N3946" i="2"/>
  <c r="O3946" i="2"/>
  <c r="L3947" i="2"/>
  <c r="M3947" i="2"/>
  <c r="N3947" i="2"/>
  <c r="O3947" i="2"/>
  <c r="L3948" i="2"/>
  <c r="M3948" i="2"/>
  <c r="N3948" i="2"/>
  <c r="O3948" i="2"/>
  <c r="L3949" i="2"/>
  <c r="M3949" i="2"/>
  <c r="N3949" i="2"/>
  <c r="O3949" i="2"/>
  <c r="L3950" i="2"/>
  <c r="M3950" i="2"/>
  <c r="N3950" i="2"/>
  <c r="O3950" i="2"/>
  <c r="L3951" i="2"/>
  <c r="M3951" i="2"/>
  <c r="N3951" i="2"/>
  <c r="O3951" i="2"/>
  <c r="L3952" i="2"/>
  <c r="M3952" i="2"/>
  <c r="N3952" i="2"/>
  <c r="O3952" i="2"/>
  <c r="L3953" i="2"/>
  <c r="M3953" i="2"/>
  <c r="N3953" i="2"/>
  <c r="O3953" i="2"/>
  <c r="L3954" i="2"/>
  <c r="M3954" i="2"/>
  <c r="N3954" i="2"/>
  <c r="O3954" i="2"/>
  <c r="L3955" i="2"/>
  <c r="M3955" i="2"/>
  <c r="N3955" i="2"/>
  <c r="O3955" i="2"/>
  <c r="L3956" i="2"/>
  <c r="M3956" i="2"/>
  <c r="N3956" i="2"/>
  <c r="O3956" i="2"/>
  <c r="L3957" i="2"/>
  <c r="M3957" i="2"/>
  <c r="N3957" i="2"/>
  <c r="O3957" i="2"/>
  <c r="L3958" i="2"/>
  <c r="M3958" i="2"/>
  <c r="N3958" i="2"/>
  <c r="O3958" i="2"/>
  <c r="L3959" i="2"/>
  <c r="M3959" i="2"/>
  <c r="N3959" i="2"/>
  <c r="O3959" i="2"/>
  <c r="L3960" i="2"/>
  <c r="M3960" i="2"/>
  <c r="N3960" i="2"/>
  <c r="O3960" i="2"/>
  <c r="L3961" i="2"/>
  <c r="M3961" i="2"/>
  <c r="N3961" i="2"/>
  <c r="O3961" i="2"/>
  <c r="L3962" i="2"/>
  <c r="M3962" i="2"/>
  <c r="N3962" i="2"/>
  <c r="O3962" i="2"/>
  <c r="L3963" i="2"/>
  <c r="M3963" i="2"/>
  <c r="N3963" i="2"/>
  <c r="O3963" i="2"/>
  <c r="L3964" i="2"/>
  <c r="M3964" i="2"/>
  <c r="N3964" i="2"/>
  <c r="O3964" i="2"/>
  <c r="L3965" i="2"/>
  <c r="M3965" i="2"/>
  <c r="N3965" i="2"/>
  <c r="O3965" i="2"/>
  <c r="L3966" i="2"/>
  <c r="M3966" i="2"/>
  <c r="N3966" i="2"/>
  <c r="O3966" i="2"/>
  <c r="L3967" i="2"/>
  <c r="M3967" i="2"/>
  <c r="N3967" i="2"/>
  <c r="O3967" i="2"/>
  <c r="L3968" i="2"/>
  <c r="M3968" i="2"/>
  <c r="N3968" i="2"/>
  <c r="O3968" i="2"/>
  <c r="L3969" i="2"/>
  <c r="M3969" i="2"/>
  <c r="N3969" i="2"/>
  <c r="O3969" i="2"/>
  <c r="L3970" i="2"/>
  <c r="M3970" i="2"/>
  <c r="N3970" i="2"/>
  <c r="O3970" i="2"/>
  <c r="L3971" i="2"/>
  <c r="M3971" i="2"/>
  <c r="N3971" i="2"/>
  <c r="O3971" i="2"/>
  <c r="L3972" i="2"/>
  <c r="M3972" i="2"/>
  <c r="N3972" i="2"/>
  <c r="O3972" i="2"/>
  <c r="L3973" i="2"/>
  <c r="M3973" i="2"/>
  <c r="N3973" i="2"/>
  <c r="O3973" i="2"/>
  <c r="L3974" i="2"/>
  <c r="M3974" i="2"/>
  <c r="N3974" i="2"/>
  <c r="O3974" i="2"/>
  <c r="L3975" i="2"/>
  <c r="M3975" i="2"/>
  <c r="N3975" i="2"/>
  <c r="O3975" i="2"/>
  <c r="L3976" i="2"/>
  <c r="M3976" i="2"/>
  <c r="N3976" i="2"/>
  <c r="O3976" i="2"/>
  <c r="L3977" i="2"/>
  <c r="M3977" i="2"/>
  <c r="N3977" i="2"/>
  <c r="O3977" i="2"/>
  <c r="L3978" i="2"/>
  <c r="M3978" i="2"/>
  <c r="N3978" i="2"/>
  <c r="O3978" i="2"/>
  <c r="L3979" i="2"/>
  <c r="M3979" i="2"/>
  <c r="N3979" i="2"/>
  <c r="O3979" i="2"/>
  <c r="L3980" i="2"/>
  <c r="M3980" i="2"/>
  <c r="N3980" i="2"/>
  <c r="O3980" i="2"/>
  <c r="L3981" i="2"/>
  <c r="M3981" i="2"/>
  <c r="N3981" i="2"/>
  <c r="O3981" i="2"/>
  <c r="L3982" i="2"/>
  <c r="M3982" i="2"/>
  <c r="N3982" i="2"/>
  <c r="O3982" i="2"/>
  <c r="L3983" i="2"/>
  <c r="M3983" i="2"/>
  <c r="N3983" i="2"/>
  <c r="O3983" i="2"/>
  <c r="L3984" i="2"/>
  <c r="M3984" i="2"/>
  <c r="N3984" i="2"/>
  <c r="O3984" i="2"/>
  <c r="L3985" i="2"/>
  <c r="M3985" i="2"/>
  <c r="N3985" i="2"/>
  <c r="O3985" i="2"/>
  <c r="L3986" i="2"/>
  <c r="M3986" i="2"/>
  <c r="N3986" i="2"/>
  <c r="O3986" i="2"/>
  <c r="L3987" i="2"/>
  <c r="M3987" i="2"/>
  <c r="N3987" i="2"/>
  <c r="O3987" i="2"/>
  <c r="L3988" i="2"/>
  <c r="M3988" i="2"/>
  <c r="N3988" i="2"/>
  <c r="O3988" i="2"/>
  <c r="L3989" i="2"/>
  <c r="M3989" i="2"/>
  <c r="N3989" i="2"/>
  <c r="O3989" i="2"/>
  <c r="L3990" i="2"/>
  <c r="M3990" i="2"/>
  <c r="N3990" i="2"/>
  <c r="O3990" i="2"/>
  <c r="L3991" i="2"/>
  <c r="M3991" i="2"/>
  <c r="N3991" i="2"/>
  <c r="O3991" i="2"/>
  <c r="L3992" i="2"/>
  <c r="M3992" i="2"/>
  <c r="N3992" i="2"/>
  <c r="O3992" i="2"/>
  <c r="L3993" i="2"/>
  <c r="M3993" i="2"/>
  <c r="N3993" i="2"/>
  <c r="O3993" i="2"/>
  <c r="L3994" i="2"/>
  <c r="M3994" i="2"/>
  <c r="N3994" i="2"/>
  <c r="O3994" i="2"/>
  <c r="L3995" i="2"/>
  <c r="M3995" i="2"/>
  <c r="N3995" i="2"/>
  <c r="O3995" i="2"/>
  <c r="L3996" i="2"/>
  <c r="M3996" i="2"/>
  <c r="N3996" i="2"/>
  <c r="O3996" i="2"/>
  <c r="L3997" i="2"/>
  <c r="M3997" i="2"/>
  <c r="N3997" i="2"/>
  <c r="O3997" i="2"/>
  <c r="L3998" i="2"/>
  <c r="M3998" i="2"/>
  <c r="N3998" i="2"/>
  <c r="O3998" i="2"/>
  <c r="L3999" i="2"/>
  <c r="M3999" i="2"/>
  <c r="N3999" i="2"/>
  <c r="O3999" i="2"/>
  <c r="L4000" i="2"/>
  <c r="M4000" i="2"/>
  <c r="N4000" i="2"/>
  <c r="O4000" i="2"/>
  <c r="L4001" i="2"/>
  <c r="M4001" i="2"/>
  <c r="N4001" i="2"/>
  <c r="O4001" i="2"/>
  <c r="L4002" i="2"/>
  <c r="M4002" i="2"/>
  <c r="N4002" i="2"/>
  <c r="O4002" i="2"/>
  <c r="L4003" i="2"/>
  <c r="M4003" i="2"/>
  <c r="N4003" i="2"/>
  <c r="O4003" i="2"/>
  <c r="L4004" i="2"/>
  <c r="M4004" i="2"/>
  <c r="N4004" i="2"/>
  <c r="O4004" i="2"/>
  <c r="L4005" i="2"/>
  <c r="M4005" i="2"/>
  <c r="N4005" i="2"/>
  <c r="O4005" i="2"/>
  <c r="L4006" i="2"/>
  <c r="M4006" i="2"/>
  <c r="N4006" i="2"/>
  <c r="O4006" i="2"/>
  <c r="L4007" i="2"/>
  <c r="M4007" i="2"/>
  <c r="N4007" i="2"/>
  <c r="O4007" i="2"/>
  <c r="L4008" i="2"/>
  <c r="M4008" i="2"/>
  <c r="N4008" i="2"/>
  <c r="O4008" i="2"/>
  <c r="L4009" i="2"/>
  <c r="M4009" i="2"/>
  <c r="N4009" i="2"/>
  <c r="O4009" i="2"/>
  <c r="L4010" i="2"/>
  <c r="M4010" i="2"/>
  <c r="N4010" i="2"/>
  <c r="O4010" i="2"/>
  <c r="L4011" i="2"/>
  <c r="M4011" i="2"/>
  <c r="N4011" i="2"/>
  <c r="O4011" i="2"/>
  <c r="L4012" i="2"/>
  <c r="M4012" i="2"/>
  <c r="N4012" i="2"/>
  <c r="O4012" i="2"/>
  <c r="L4013" i="2"/>
  <c r="M4013" i="2"/>
  <c r="N4013" i="2"/>
  <c r="O4013" i="2"/>
  <c r="L4014" i="2"/>
  <c r="M4014" i="2"/>
  <c r="N4014" i="2"/>
  <c r="O4014" i="2"/>
  <c r="L4015" i="2"/>
  <c r="M4015" i="2"/>
  <c r="N4015" i="2"/>
  <c r="O4015" i="2"/>
  <c r="L4016" i="2"/>
  <c r="M4016" i="2"/>
  <c r="N4016" i="2"/>
  <c r="O4016" i="2"/>
  <c r="L4017" i="2"/>
  <c r="M4017" i="2"/>
  <c r="N4017" i="2"/>
  <c r="O4017" i="2"/>
  <c r="L4018" i="2"/>
  <c r="M4018" i="2"/>
  <c r="N4018" i="2"/>
  <c r="O4018" i="2"/>
  <c r="L4019" i="2"/>
  <c r="M4019" i="2"/>
  <c r="N4019" i="2"/>
  <c r="O4019" i="2"/>
  <c r="L4020" i="2"/>
  <c r="M4020" i="2"/>
  <c r="N4020" i="2"/>
  <c r="O4020" i="2"/>
  <c r="L4021" i="2"/>
  <c r="M4021" i="2"/>
  <c r="N4021" i="2"/>
  <c r="O4021" i="2"/>
  <c r="L4022" i="2"/>
  <c r="M4022" i="2"/>
  <c r="N4022" i="2"/>
  <c r="O4022" i="2"/>
  <c r="L4023" i="2"/>
  <c r="M4023" i="2"/>
  <c r="N4023" i="2"/>
  <c r="O4023" i="2"/>
  <c r="L4024" i="2"/>
  <c r="M4024" i="2"/>
  <c r="N4024" i="2"/>
  <c r="O4024" i="2"/>
  <c r="L4025" i="2"/>
  <c r="M4025" i="2"/>
  <c r="N4025" i="2"/>
  <c r="O4025" i="2"/>
  <c r="L4026" i="2"/>
  <c r="M4026" i="2"/>
  <c r="N4026" i="2"/>
  <c r="O4026" i="2"/>
  <c r="L4027" i="2"/>
  <c r="M4027" i="2"/>
  <c r="N4027" i="2"/>
  <c r="O4027" i="2"/>
  <c r="L4028" i="2"/>
  <c r="M4028" i="2"/>
  <c r="N4028" i="2"/>
  <c r="O4028" i="2"/>
  <c r="L4029" i="2"/>
  <c r="M4029" i="2"/>
  <c r="N4029" i="2"/>
  <c r="O4029" i="2"/>
  <c r="L4030" i="2"/>
  <c r="M4030" i="2"/>
  <c r="N4030" i="2"/>
  <c r="O4030" i="2"/>
  <c r="L4031" i="2"/>
  <c r="M4031" i="2"/>
  <c r="N4031" i="2"/>
  <c r="O4031" i="2"/>
  <c r="L4032" i="2"/>
  <c r="M4032" i="2"/>
  <c r="N4032" i="2"/>
  <c r="O4032" i="2"/>
  <c r="L4033" i="2"/>
  <c r="M4033" i="2"/>
  <c r="N4033" i="2"/>
  <c r="O4033" i="2"/>
  <c r="L4034" i="2"/>
  <c r="M4034" i="2"/>
  <c r="N4034" i="2"/>
  <c r="O4034" i="2"/>
  <c r="L4035" i="2"/>
  <c r="M4035" i="2"/>
  <c r="N4035" i="2"/>
  <c r="O4035" i="2"/>
  <c r="L4036" i="2"/>
  <c r="M4036" i="2"/>
  <c r="N4036" i="2"/>
  <c r="O4036" i="2"/>
  <c r="L4037" i="2"/>
  <c r="M4037" i="2"/>
  <c r="N4037" i="2"/>
  <c r="O4037" i="2"/>
  <c r="L4038" i="2"/>
  <c r="M4038" i="2"/>
  <c r="N4038" i="2"/>
  <c r="O4038" i="2"/>
  <c r="L4039" i="2"/>
  <c r="M4039" i="2"/>
  <c r="N4039" i="2"/>
  <c r="O4039" i="2"/>
  <c r="L4040" i="2"/>
  <c r="M4040" i="2"/>
  <c r="N4040" i="2"/>
  <c r="O4040" i="2"/>
  <c r="L4041" i="2"/>
  <c r="M4041" i="2"/>
  <c r="N4041" i="2"/>
  <c r="O4041" i="2"/>
  <c r="L4042" i="2"/>
  <c r="M4042" i="2"/>
  <c r="N4042" i="2"/>
  <c r="O4042" i="2"/>
  <c r="L4043" i="2"/>
  <c r="M4043" i="2"/>
  <c r="N4043" i="2"/>
  <c r="O4043" i="2"/>
  <c r="L4044" i="2"/>
  <c r="M4044" i="2"/>
  <c r="N4044" i="2"/>
  <c r="O4044" i="2"/>
  <c r="L4045" i="2"/>
  <c r="M4045" i="2"/>
  <c r="N4045" i="2"/>
  <c r="O4045" i="2"/>
  <c r="L4046" i="2"/>
  <c r="M4046" i="2"/>
  <c r="N4046" i="2"/>
  <c r="O4046" i="2"/>
  <c r="L4047" i="2"/>
  <c r="M4047" i="2"/>
  <c r="N4047" i="2"/>
  <c r="O4047" i="2"/>
  <c r="L4048" i="2"/>
  <c r="M4048" i="2"/>
  <c r="N4048" i="2"/>
  <c r="O4048" i="2"/>
  <c r="L4049" i="2"/>
  <c r="M4049" i="2"/>
  <c r="N4049" i="2"/>
  <c r="O4049" i="2"/>
  <c r="L4050" i="2"/>
  <c r="M4050" i="2"/>
  <c r="N4050" i="2"/>
  <c r="O4050" i="2"/>
  <c r="L4051" i="2"/>
  <c r="M4051" i="2"/>
  <c r="N4051" i="2"/>
  <c r="O4051" i="2"/>
  <c r="L4052" i="2"/>
  <c r="M4052" i="2"/>
  <c r="N4052" i="2"/>
  <c r="O4052" i="2"/>
  <c r="L4053" i="2"/>
  <c r="M4053" i="2"/>
  <c r="N4053" i="2"/>
  <c r="O4053" i="2"/>
  <c r="L4054" i="2"/>
  <c r="M4054" i="2"/>
  <c r="N4054" i="2"/>
  <c r="O4054" i="2"/>
  <c r="L4055" i="2"/>
  <c r="M4055" i="2"/>
  <c r="N4055" i="2"/>
  <c r="O4055" i="2"/>
  <c r="L4056" i="2"/>
  <c r="M4056" i="2"/>
  <c r="N4056" i="2"/>
  <c r="O4056" i="2"/>
  <c r="L4057" i="2"/>
  <c r="M4057" i="2"/>
  <c r="N4057" i="2"/>
  <c r="O4057" i="2"/>
  <c r="L4058" i="2"/>
  <c r="M4058" i="2"/>
  <c r="N4058" i="2"/>
  <c r="O4058" i="2"/>
  <c r="L4059" i="2"/>
  <c r="M4059" i="2"/>
  <c r="N4059" i="2"/>
  <c r="O4059" i="2"/>
  <c r="L4060" i="2"/>
  <c r="M4060" i="2"/>
  <c r="N4060" i="2"/>
  <c r="O4060" i="2"/>
  <c r="L4061" i="2"/>
  <c r="M4061" i="2"/>
  <c r="N4061" i="2"/>
  <c r="O4061" i="2"/>
  <c r="L4062" i="2"/>
  <c r="M4062" i="2"/>
  <c r="N4062" i="2"/>
  <c r="O4062" i="2"/>
  <c r="L4063" i="2"/>
  <c r="M4063" i="2"/>
  <c r="N4063" i="2"/>
  <c r="O4063" i="2"/>
  <c r="L4064" i="2"/>
  <c r="M4064" i="2"/>
  <c r="N4064" i="2"/>
  <c r="O4064" i="2"/>
  <c r="L4065" i="2"/>
  <c r="M4065" i="2"/>
  <c r="N4065" i="2"/>
  <c r="O4065" i="2"/>
  <c r="L4066" i="2"/>
  <c r="M4066" i="2"/>
  <c r="N4066" i="2"/>
  <c r="O4066" i="2"/>
  <c r="L4067" i="2"/>
  <c r="M4067" i="2"/>
  <c r="N4067" i="2"/>
  <c r="O4067" i="2"/>
  <c r="L4068" i="2"/>
  <c r="M4068" i="2"/>
  <c r="N4068" i="2"/>
  <c r="O4068" i="2"/>
  <c r="L4069" i="2"/>
  <c r="M4069" i="2"/>
  <c r="N4069" i="2"/>
  <c r="O4069" i="2"/>
  <c r="L4070" i="2"/>
  <c r="M4070" i="2"/>
  <c r="N4070" i="2"/>
  <c r="O4070" i="2"/>
  <c r="L4071" i="2"/>
  <c r="M4071" i="2"/>
  <c r="N4071" i="2"/>
  <c r="O4071" i="2"/>
  <c r="L4072" i="2"/>
  <c r="M4072" i="2"/>
  <c r="N4072" i="2"/>
  <c r="O4072" i="2"/>
  <c r="L4073" i="2"/>
  <c r="M4073" i="2"/>
  <c r="N4073" i="2"/>
  <c r="O4073" i="2"/>
  <c r="L4074" i="2"/>
  <c r="M4074" i="2"/>
  <c r="N4074" i="2"/>
  <c r="O4074" i="2"/>
  <c r="L4075" i="2"/>
  <c r="M4075" i="2"/>
  <c r="N4075" i="2"/>
  <c r="O4075" i="2"/>
  <c r="L4076" i="2"/>
  <c r="M4076" i="2"/>
  <c r="N4076" i="2"/>
  <c r="O4076" i="2"/>
  <c r="L4077" i="2"/>
  <c r="M4077" i="2"/>
  <c r="N4077" i="2"/>
  <c r="O4077" i="2"/>
  <c r="L4078" i="2"/>
  <c r="M4078" i="2"/>
  <c r="N4078" i="2"/>
  <c r="O4078" i="2"/>
  <c r="L4079" i="2"/>
  <c r="M4079" i="2"/>
  <c r="N4079" i="2"/>
  <c r="O4079" i="2"/>
  <c r="L4080" i="2"/>
  <c r="M4080" i="2"/>
  <c r="N4080" i="2"/>
  <c r="O4080" i="2"/>
  <c r="L4081" i="2"/>
  <c r="M4081" i="2"/>
  <c r="N4081" i="2"/>
  <c r="O4081" i="2"/>
  <c r="L4082" i="2"/>
  <c r="M4082" i="2"/>
  <c r="N4082" i="2"/>
  <c r="O4082" i="2"/>
  <c r="L4083" i="2"/>
  <c r="M4083" i="2"/>
  <c r="N4083" i="2"/>
  <c r="O4083" i="2"/>
  <c r="L4084" i="2"/>
  <c r="M4084" i="2"/>
  <c r="N4084" i="2"/>
  <c r="O4084" i="2"/>
  <c r="L4085" i="2"/>
  <c r="M4085" i="2"/>
  <c r="N4085" i="2"/>
  <c r="O4085" i="2"/>
  <c r="L4086" i="2"/>
  <c r="M4086" i="2"/>
  <c r="N4086" i="2"/>
  <c r="O4086" i="2"/>
  <c r="L4087" i="2"/>
  <c r="M4087" i="2"/>
  <c r="N4087" i="2"/>
  <c r="O4087" i="2"/>
  <c r="L4088" i="2"/>
  <c r="M4088" i="2"/>
  <c r="N4088" i="2"/>
  <c r="O4088" i="2"/>
  <c r="L4089" i="2"/>
  <c r="M4089" i="2"/>
  <c r="N4089" i="2"/>
  <c r="O4089" i="2"/>
  <c r="L4090" i="2"/>
  <c r="M4090" i="2"/>
  <c r="N4090" i="2"/>
  <c r="O4090" i="2"/>
  <c r="L4091" i="2"/>
  <c r="M4091" i="2"/>
  <c r="N4091" i="2"/>
  <c r="O4091" i="2"/>
  <c r="L4092" i="2"/>
  <c r="M4092" i="2"/>
  <c r="N4092" i="2"/>
  <c r="O4092" i="2"/>
  <c r="L4093" i="2"/>
  <c r="M4093" i="2"/>
  <c r="N4093" i="2"/>
  <c r="O4093" i="2"/>
  <c r="L4094" i="2"/>
  <c r="M4094" i="2"/>
  <c r="N4094" i="2"/>
  <c r="O4094" i="2"/>
  <c r="L4095" i="2"/>
  <c r="M4095" i="2"/>
  <c r="N4095" i="2"/>
  <c r="O4095" i="2"/>
  <c r="L4096" i="2"/>
  <c r="M4096" i="2"/>
  <c r="N4096" i="2"/>
  <c r="O4096" i="2"/>
  <c r="L4097" i="2"/>
  <c r="M4097" i="2"/>
  <c r="N4097" i="2"/>
  <c r="O4097" i="2"/>
  <c r="L4098" i="2"/>
  <c r="M4098" i="2"/>
  <c r="N4098" i="2"/>
  <c r="O4098" i="2"/>
  <c r="L4099" i="2"/>
  <c r="M4099" i="2"/>
  <c r="N4099" i="2"/>
  <c r="O4099" i="2"/>
  <c r="L4100" i="2"/>
  <c r="M4100" i="2"/>
  <c r="N4100" i="2"/>
  <c r="O4100" i="2"/>
  <c r="L4101" i="2"/>
  <c r="M4101" i="2"/>
  <c r="N4101" i="2"/>
  <c r="O4101" i="2"/>
  <c r="L4102" i="2"/>
  <c r="M4102" i="2"/>
  <c r="N4102" i="2"/>
  <c r="O4102" i="2"/>
  <c r="L4103" i="2"/>
  <c r="M4103" i="2"/>
  <c r="N4103" i="2"/>
  <c r="O4103" i="2"/>
  <c r="L4104" i="2"/>
  <c r="M4104" i="2"/>
  <c r="N4104" i="2"/>
  <c r="O4104" i="2"/>
  <c r="L4105" i="2"/>
  <c r="M4105" i="2"/>
  <c r="N4105" i="2"/>
  <c r="O4105" i="2"/>
  <c r="L4106" i="2"/>
  <c r="M4106" i="2"/>
  <c r="N4106" i="2"/>
  <c r="O4106" i="2"/>
  <c r="L4107" i="2"/>
  <c r="M4107" i="2"/>
  <c r="N4107" i="2"/>
  <c r="O4107" i="2"/>
  <c r="L4108" i="2"/>
  <c r="M4108" i="2"/>
  <c r="N4108" i="2"/>
  <c r="O4108" i="2"/>
  <c r="L4109" i="2"/>
  <c r="M4109" i="2"/>
  <c r="N4109" i="2"/>
  <c r="O4109" i="2"/>
  <c r="L4110" i="2"/>
  <c r="M4110" i="2"/>
  <c r="N4110" i="2"/>
  <c r="O4110" i="2"/>
  <c r="L4111" i="2"/>
  <c r="M4111" i="2"/>
  <c r="N4111" i="2"/>
  <c r="O4111" i="2"/>
  <c r="L4112" i="2"/>
  <c r="M4112" i="2"/>
  <c r="N4112" i="2"/>
  <c r="O4112" i="2"/>
  <c r="L4113" i="2"/>
  <c r="M4113" i="2"/>
  <c r="N4113" i="2"/>
  <c r="O4113" i="2"/>
  <c r="L4114" i="2"/>
  <c r="M4114" i="2"/>
  <c r="N4114" i="2"/>
  <c r="O4114" i="2"/>
  <c r="L4115" i="2"/>
  <c r="M4115" i="2"/>
  <c r="N4115" i="2"/>
  <c r="O4115" i="2"/>
  <c r="L4116" i="2"/>
  <c r="M4116" i="2"/>
  <c r="N4116" i="2"/>
  <c r="O4116" i="2"/>
  <c r="L4117" i="2"/>
  <c r="M4117" i="2"/>
  <c r="N4117" i="2"/>
  <c r="O4117" i="2"/>
  <c r="L4118" i="2"/>
  <c r="M4118" i="2"/>
  <c r="N4118" i="2"/>
  <c r="O4118" i="2"/>
  <c r="L4119" i="2"/>
  <c r="M4119" i="2"/>
  <c r="N4119" i="2"/>
  <c r="O4119" i="2"/>
  <c r="L4120" i="2"/>
  <c r="M4120" i="2"/>
  <c r="N4120" i="2"/>
  <c r="O4120" i="2"/>
  <c r="L4121" i="2"/>
  <c r="M4121" i="2"/>
  <c r="N4121" i="2"/>
  <c r="O4121" i="2"/>
  <c r="L4122" i="2"/>
  <c r="M4122" i="2"/>
  <c r="N4122" i="2"/>
  <c r="O4122" i="2"/>
  <c r="L4123" i="2"/>
  <c r="M4123" i="2"/>
  <c r="N4123" i="2"/>
  <c r="O4123" i="2"/>
  <c r="L4124" i="2"/>
  <c r="M4124" i="2"/>
  <c r="N4124" i="2"/>
  <c r="O4124" i="2"/>
  <c r="L4125" i="2"/>
  <c r="M4125" i="2"/>
  <c r="N4125" i="2"/>
  <c r="O4125" i="2"/>
  <c r="L4126" i="2"/>
  <c r="M4126" i="2"/>
  <c r="N4126" i="2"/>
  <c r="O4126" i="2"/>
  <c r="L4127" i="2"/>
  <c r="M4127" i="2"/>
  <c r="N4127" i="2"/>
  <c r="O4127" i="2"/>
  <c r="L4128" i="2"/>
  <c r="M4128" i="2"/>
  <c r="N4128" i="2"/>
  <c r="O4128" i="2"/>
  <c r="L4129" i="2"/>
  <c r="M4129" i="2"/>
  <c r="N4129" i="2"/>
  <c r="O4129" i="2"/>
  <c r="L4130" i="2"/>
  <c r="M4130" i="2"/>
  <c r="N4130" i="2"/>
  <c r="O4130" i="2"/>
  <c r="L4131" i="2"/>
  <c r="M4131" i="2"/>
  <c r="N4131" i="2"/>
  <c r="O4131" i="2"/>
  <c r="L4132" i="2"/>
  <c r="M4132" i="2"/>
  <c r="N4132" i="2"/>
  <c r="O4132" i="2"/>
  <c r="L4133" i="2"/>
  <c r="M4133" i="2"/>
  <c r="N4133" i="2"/>
  <c r="O4133" i="2"/>
  <c r="L4134" i="2"/>
  <c r="M4134" i="2"/>
  <c r="N4134" i="2"/>
  <c r="O4134" i="2"/>
  <c r="L4135" i="2"/>
  <c r="M4135" i="2"/>
  <c r="N4135" i="2"/>
  <c r="O4135" i="2"/>
  <c r="L4136" i="2"/>
  <c r="M4136" i="2"/>
  <c r="N4136" i="2"/>
  <c r="O4136" i="2"/>
  <c r="L4137" i="2"/>
  <c r="M4137" i="2"/>
  <c r="N4137" i="2"/>
  <c r="O4137" i="2"/>
  <c r="L4138" i="2"/>
  <c r="M4138" i="2"/>
  <c r="N4138" i="2"/>
  <c r="O4138" i="2"/>
  <c r="L4139" i="2"/>
  <c r="M4139" i="2"/>
  <c r="N4139" i="2"/>
  <c r="O4139" i="2"/>
  <c r="L4140" i="2"/>
  <c r="M4140" i="2"/>
  <c r="N4140" i="2"/>
  <c r="O4140" i="2"/>
  <c r="L4141" i="2"/>
  <c r="M4141" i="2"/>
  <c r="N4141" i="2"/>
  <c r="O4141" i="2"/>
  <c r="L4142" i="2"/>
  <c r="M4142" i="2"/>
  <c r="N4142" i="2"/>
  <c r="O4142" i="2"/>
  <c r="L4143" i="2"/>
  <c r="M4143" i="2"/>
  <c r="N4143" i="2"/>
  <c r="O4143" i="2"/>
  <c r="L4144" i="2"/>
  <c r="M4144" i="2"/>
  <c r="N4144" i="2"/>
  <c r="O4144" i="2"/>
  <c r="L4145" i="2"/>
  <c r="M4145" i="2"/>
  <c r="N4145" i="2"/>
  <c r="O4145" i="2"/>
  <c r="L4146" i="2"/>
  <c r="M4146" i="2"/>
  <c r="N4146" i="2"/>
  <c r="O4146" i="2"/>
  <c r="L4147" i="2"/>
  <c r="M4147" i="2"/>
  <c r="N4147" i="2"/>
  <c r="O4147" i="2"/>
  <c r="L4148" i="2"/>
  <c r="M4148" i="2"/>
  <c r="N4148" i="2"/>
  <c r="O4148" i="2"/>
  <c r="L4149" i="2"/>
  <c r="M4149" i="2"/>
  <c r="N4149" i="2"/>
  <c r="O4149" i="2"/>
  <c r="L4150" i="2"/>
  <c r="M4150" i="2"/>
  <c r="N4150" i="2"/>
  <c r="O4150" i="2"/>
  <c r="L4151" i="2"/>
  <c r="M4151" i="2"/>
  <c r="N4151" i="2"/>
  <c r="O4151" i="2"/>
  <c r="L4152" i="2"/>
  <c r="M4152" i="2"/>
  <c r="N4152" i="2"/>
  <c r="O4152" i="2"/>
  <c r="L4153" i="2"/>
  <c r="M4153" i="2"/>
  <c r="N4153" i="2"/>
  <c r="O4153" i="2"/>
  <c r="L4154" i="2"/>
  <c r="M4154" i="2"/>
  <c r="N4154" i="2"/>
  <c r="O4154" i="2"/>
  <c r="L4155" i="2"/>
  <c r="M4155" i="2"/>
  <c r="N4155" i="2"/>
  <c r="O4155" i="2"/>
  <c r="L4156" i="2"/>
  <c r="M4156" i="2"/>
  <c r="N4156" i="2"/>
  <c r="O4156" i="2"/>
  <c r="L4157" i="2"/>
  <c r="M4157" i="2"/>
  <c r="N4157" i="2"/>
  <c r="O4157" i="2"/>
  <c r="L4158" i="2"/>
  <c r="M4158" i="2"/>
  <c r="N4158" i="2"/>
  <c r="O4158" i="2"/>
  <c r="L4159" i="2"/>
  <c r="M4159" i="2"/>
  <c r="N4159" i="2"/>
  <c r="O4159" i="2"/>
  <c r="L4160" i="2"/>
  <c r="M4160" i="2"/>
  <c r="N4160" i="2"/>
  <c r="O4160" i="2"/>
  <c r="L4161" i="2"/>
  <c r="M4161" i="2"/>
  <c r="N4161" i="2"/>
  <c r="O4161" i="2"/>
  <c r="L4162" i="2"/>
  <c r="M4162" i="2"/>
  <c r="N4162" i="2"/>
  <c r="O4162" i="2"/>
  <c r="L4163" i="2"/>
  <c r="M4163" i="2"/>
  <c r="N4163" i="2"/>
  <c r="O4163" i="2"/>
  <c r="L4164" i="2"/>
  <c r="M4164" i="2"/>
  <c r="N4164" i="2"/>
  <c r="O4164" i="2"/>
  <c r="L4165" i="2"/>
  <c r="M4165" i="2"/>
  <c r="N4165" i="2"/>
  <c r="O4165" i="2"/>
  <c r="L4166" i="2"/>
  <c r="M4166" i="2"/>
  <c r="N4166" i="2"/>
  <c r="O4166" i="2"/>
  <c r="L4167" i="2"/>
  <c r="M4167" i="2"/>
  <c r="N4167" i="2"/>
  <c r="O4167" i="2"/>
  <c r="L4168" i="2"/>
  <c r="M4168" i="2"/>
  <c r="N4168" i="2"/>
  <c r="O4168" i="2"/>
  <c r="L4169" i="2"/>
  <c r="M4169" i="2"/>
  <c r="N4169" i="2"/>
  <c r="O4169" i="2"/>
  <c r="L4170" i="2"/>
  <c r="M4170" i="2"/>
  <c r="N4170" i="2"/>
  <c r="O4170" i="2"/>
  <c r="L4171" i="2"/>
  <c r="M4171" i="2"/>
  <c r="N4171" i="2"/>
  <c r="O4171" i="2"/>
  <c r="L4172" i="2"/>
  <c r="M4172" i="2"/>
  <c r="N4172" i="2"/>
  <c r="O4172" i="2"/>
  <c r="L4173" i="2"/>
  <c r="M4173" i="2"/>
  <c r="N4173" i="2"/>
  <c r="O4173" i="2"/>
  <c r="L4174" i="2"/>
  <c r="M4174" i="2"/>
  <c r="N4174" i="2"/>
  <c r="O4174" i="2"/>
  <c r="L4175" i="2"/>
  <c r="M4175" i="2"/>
  <c r="N4175" i="2"/>
  <c r="O4175" i="2"/>
  <c r="L4176" i="2"/>
  <c r="M4176" i="2"/>
  <c r="N4176" i="2"/>
  <c r="O4176" i="2"/>
  <c r="L4177" i="2"/>
  <c r="M4177" i="2"/>
  <c r="N4177" i="2"/>
  <c r="O4177" i="2"/>
  <c r="L4178" i="2"/>
  <c r="M4178" i="2"/>
  <c r="N4178" i="2"/>
  <c r="O4178" i="2"/>
  <c r="L4179" i="2"/>
  <c r="M4179" i="2"/>
  <c r="N4179" i="2"/>
  <c r="O4179" i="2"/>
  <c r="L4180" i="2"/>
  <c r="M4180" i="2"/>
  <c r="N4180" i="2"/>
  <c r="O4180" i="2"/>
  <c r="L4181" i="2"/>
  <c r="M4181" i="2"/>
  <c r="N4181" i="2"/>
  <c r="O4181" i="2"/>
  <c r="L4182" i="2"/>
  <c r="M4182" i="2"/>
  <c r="N4182" i="2"/>
  <c r="O4182" i="2"/>
  <c r="L4183" i="2"/>
  <c r="M4183" i="2"/>
  <c r="N4183" i="2"/>
  <c r="O4183" i="2"/>
  <c r="L4184" i="2"/>
  <c r="M4184" i="2"/>
  <c r="N4184" i="2"/>
  <c r="O4184" i="2"/>
  <c r="L4185" i="2"/>
  <c r="M4185" i="2"/>
  <c r="N4185" i="2"/>
  <c r="O4185" i="2"/>
  <c r="L4186" i="2"/>
  <c r="M4186" i="2"/>
  <c r="N4186" i="2"/>
  <c r="O4186" i="2"/>
  <c r="L4187" i="2"/>
  <c r="M4187" i="2"/>
  <c r="N4187" i="2"/>
  <c r="O4187" i="2"/>
  <c r="L4188" i="2"/>
  <c r="M4188" i="2"/>
  <c r="N4188" i="2"/>
  <c r="O4188" i="2"/>
  <c r="L4189" i="2"/>
  <c r="M4189" i="2"/>
  <c r="N4189" i="2"/>
  <c r="O4189" i="2"/>
  <c r="L4190" i="2"/>
  <c r="M4190" i="2"/>
  <c r="N4190" i="2"/>
  <c r="O4190" i="2"/>
  <c r="L4191" i="2"/>
  <c r="M4191" i="2"/>
  <c r="N4191" i="2"/>
  <c r="O4191" i="2"/>
  <c r="L4192" i="2"/>
  <c r="M4192" i="2"/>
  <c r="N4192" i="2"/>
  <c r="O4192" i="2"/>
  <c r="L4193" i="2"/>
  <c r="M4193" i="2"/>
  <c r="N4193" i="2"/>
  <c r="O4193" i="2"/>
  <c r="L4194" i="2"/>
  <c r="M4194" i="2"/>
  <c r="N4194" i="2"/>
  <c r="O4194" i="2"/>
  <c r="L4195" i="2"/>
  <c r="M4195" i="2"/>
  <c r="N4195" i="2"/>
  <c r="O4195" i="2"/>
  <c r="L4196" i="2"/>
  <c r="M4196" i="2"/>
  <c r="N4196" i="2"/>
  <c r="O4196" i="2"/>
  <c r="L4197" i="2"/>
  <c r="M4197" i="2"/>
  <c r="N4197" i="2"/>
  <c r="O4197" i="2"/>
  <c r="L4198" i="2"/>
  <c r="M4198" i="2"/>
  <c r="N4198" i="2"/>
  <c r="O4198" i="2"/>
  <c r="L4199" i="2"/>
  <c r="M4199" i="2"/>
  <c r="N4199" i="2"/>
  <c r="O4199" i="2"/>
  <c r="L4200" i="2"/>
  <c r="M4200" i="2"/>
  <c r="N4200" i="2"/>
  <c r="O4200" i="2"/>
  <c r="L4201" i="2"/>
  <c r="M4201" i="2"/>
  <c r="N4201" i="2"/>
  <c r="O4201" i="2"/>
  <c r="L4202" i="2"/>
  <c r="M4202" i="2"/>
  <c r="N4202" i="2"/>
  <c r="O4202" i="2"/>
  <c r="L4203" i="2"/>
  <c r="M4203" i="2"/>
  <c r="N4203" i="2"/>
  <c r="O4203" i="2"/>
  <c r="L4204" i="2"/>
  <c r="M4204" i="2"/>
  <c r="N4204" i="2"/>
  <c r="O4204" i="2"/>
  <c r="L4205" i="2"/>
  <c r="M4205" i="2"/>
  <c r="N4205" i="2"/>
  <c r="O4205" i="2"/>
  <c r="L4206" i="2"/>
  <c r="M4206" i="2"/>
  <c r="N4206" i="2"/>
  <c r="O4206" i="2"/>
  <c r="L4207" i="2"/>
  <c r="M4207" i="2"/>
  <c r="N4207" i="2"/>
  <c r="O4207" i="2"/>
  <c r="L4208" i="2"/>
  <c r="M4208" i="2"/>
  <c r="N4208" i="2"/>
  <c r="O4208" i="2"/>
  <c r="L4209" i="2"/>
  <c r="M4209" i="2"/>
  <c r="N4209" i="2"/>
  <c r="O4209" i="2"/>
  <c r="L4210" i="2"/>
  <c r="M4210" i="2"/>
  <c r="N4210" i="2"/>
  <c r="O4210" i="2"/>
  <c r="L4211" i="2"/>
  <c r="M4211" i="2"/>
  <c r="N4211" i="2"/>
  <c r="O4211" i="2"/>
  <c r="L4212" i="2"/>
  <c r="M4212" i="2"/>
  <c r="N4212" i="2"/>
  <c r="O4212" i="2"/>
  <c r="L4213" i="2"/>
  <c r="M4213" i="2"/>
  <c r="N4213" i="2"/>
  <c r="O4213" i="2"/>
  <c r="L4214" i="2"/>
  <c r="M4214" i="2"/>
  <c r="N4214" i="2"/>
  <c r="O4214" i="2"/>
  <c r="L4215" i="2"/>
  <c r="M4215" i="2"/>
  <c r="N4215" i="2"/>
  <c r="O4215" i="2"/>
  <c r="L4216" i="2"/>
  <c r="M4216" i="2"/>
  <c r="N4216" i="2"/>
  <c r="O4216" i="2"/>
  <c r="L4217" i="2"/>
  <c r="M4217" i="2"/>
  <c r="N4217" i="2"/>
  <c r="O4217" i="2"/>
  <c r="L4218" i="2"/>
  <c r="M4218" i="2"/>
  <c r="N4218" i="2"/>
  <c r="O4218" i="2"/>
  <c r="L4219" i="2"/>
  <c r="M4219" i="2"/>
  <c r="N4219" i="2"/>
  <c r="O4219" i="2"/>
  <c r="L4220" i="2"/>
  <c r="M4220" i="2"/>
  <c r="N4220" i="2"/>
  <c r="O4220" i="2"/>
  <c r="L4221" i="2"/>
  <c r="M4221" i="2"/>
  <c r="N4221" i="2"/>
  <c r="O4221" i="2"/>
  <c r="L4222" i="2"/>
  <c r="M4222" i="2"/>
  <c r="N4222" i="2"/>
  <c r="O4222" i="2"/>
  <c r="L4223" i="2"/>
  <c r="M4223" i="2"/>
  <c r="N4223" i="2"/>
  <c r="O4223" i="2"/>
  <c r="L4224" i="2"/>
  <c r="M4224" i="2"/>
  <c r="N4224" i="2"/>
  <c r="O4224" i="2"/>
  <c r="L4225" i="2"/>
  <c r="M4225" i="2"/>
  <c r="N4225" i="2"/>
  <c r="O4225" i="2"/>
  <c r="L4226" i="2"/>
  <c r="M4226" i="2"/>
  <c r="N4226" i="2"/>
  <c r="O4226" i="2"/>
  <c r="L4227" i="2"/>
  <c r="M4227" i="2"/>
  <c r="N4227" i="2"/>
  <c r="O4227" i="2"/>
  <c r="L4228" i="2"/>
  <c r="M4228" i="2"/>
  <c r="N4228" i="2"/>
  <c r="O4228" i="2"/>
  <c r="L4229" i="2"/>
  <c r="M4229" i="2"/>
  <c r="N4229" i="2"/>
  <c r="O4229" i="2"/>
  <c r="L4230" i="2"/>
  <c r="M4230" i="2"/>
  <c r="N4230" i="2"/>
  <c r="O4230" i="2"/>
  <c r="L4231" i="2"/>
  <c r="M4231" i="2"/>
  <c r="N4231" i="2"/>
  <c r="O4231" i="2"/>
  <c r="L4232" i="2"/>
  <c r="M4232" i="2"/>
  <c r="N4232" i="2"/>
  <c r="O4232" i="2"/>
  <c r="L4233" i="2"/>
  <c r="M4233" i="2"/>
  <c r="N4233" i="2"/>
  <c r="O4233" i="2"/>
  <c r="L4234" i="2"/>
  <c r="M4234" i="2"/>
  <c r="N4234" i="2"/>
  <c r="O4234" i="2"/>
  <c r="L4235" i="2"/>
  <c r="M4235" i="2"/>
  <c r="N4235" i="2"/>
  <c r="O4235" i="2"/>
  <c r="L4236" i="2"/>
  <c r="M4236" i="2"/>
  <c r="N4236" i="2"/>
  <c r="O4236" i="2"/>
  <c r="L4237" i="2"/>
  <c r="M4237" i="2"/>
  <c r="N4237" i="2"/>
  <c r="O4237" i="2"/>
  <c r="L4238" i="2"/>
  <c r="M4238" i="2"/>
  <c r="N4238" i="2"/>
  <c r="O4238" i="2"/>
  <c r="L4239" i="2"/>
  <c r="M4239" i="2"/>
  <c r="N4239" i="2"/>
  <c r="O4239" i="2"/>
  <c r="L4240" i="2"/>
  <c r="M4240" i="2"/>
  <c r="N4240" i="2"/>
  <c r="O4240" i="2"/>
  <c r="L4241" i="2"/>
  <c r="M4241" i="2"/>
  <c r="N4241" i="2"/>
  <c r="O4241" i="2"/>
  <c r="L4242" i="2"/>
  <c r="M4242" i="2"/>
  <c r="N4242" i="2"/>
  <c r="O4242" i="2"/>
  <c r="L4243" i="2"/>
  <c r="M4243" i="2"/>
  <c r="N4243" i="2"/>
  <c r="O4243" i="2"/>
  <c r="L4244" i="2"/>
  <c r="M4244" i="2"/>
  <c r="N4244" i="2"/>
  <c r="O4244" i="2"/>
  <c r="L4245" i="2"/>
  <c r="M4245" i="2"/>
  <c r="N4245" i="2"/>
  <c r="O4245" i="2"/>
  <c r="L4246" i="2"/>
  <c r="M4246" i="2"/>
  <c r="N4246" i="2"/>
  <c r="O4246" i="2"/>
  <c r="L4247" i="2"/>
  <c r="M4247" i="2"/>
  <c r="N4247" i="2"/>
  <c r="O4247" i="2"/>
  <c r="L4248" i="2"/>
  <c r="M4248" i="2"/>
  <c r="N4248" i="2"/>
  <c r="O4248" i="2"/>
  <c r="L4249" i="2"/>
  <c r="M4249" i="2"/>
  <c r="N4249" i="2"/>
  <c r="O4249" i="2"/>
  <c r="L4250" i="2"/>
  <c r="M4250" i="2"/>
  <c r="N4250" i="2"/>
  <c r="O4250" i="2"/>
  <c r="L4251" i="2"/>
  <c r="M4251" i="2"/>
  <c r="N4251" i="2"/>
  <c r="O4251" i="2"/>
  <c r="L4252" i="2"/>
  <c r="M4252" i="2"/>
  <c r="N4252" i="2"/>
  <c r="O4252" i="2"/>
  <c r="L4253" i="2"/>
  <c r="M4253" i="2"/>
  <c r="N4253" i="2"/>
  <c r="O4253" i="2"/>
  <c r="L4254" i="2"/>
  <c r="M4254" i="2"/>
  <c r="N4254" i="2"/>
  <c r="O4254" i="2"/>
  <c r="L4255" i="2"/>
  <c r="M4255" i="2"/>
  <c r="N4255" i="2"/>
  <c r="O4255" i="2"/>
  <c r="L4256" i="2"/>
  <c r="M4256" i="2"/>
  <c r="N4256" i="2"/>
  <c r="O4256" i="2"/>
  <c r="L4257" i="2"/>
  <c r="M4257" i="2"/>
  <c r="N4257" i="2"/>
  <c r="O4257" i="2"/>
  <c r="L4258" i="2"/>
  <c r="M4258" i="2"/>
  <c r="N4258" i="2"/>
  <c r="O4258" i="2"/>
  <c r="L4259" i="2"/>
  <c r="M4259" i="2"/>
  <c r="N4259" i="2"/>
  <c r="O4259" i="2"/>
  <c r="L4260" i="2"/>
  <c r="M4260" i="2"/>
  <c r="N4260" i="2"/>
  <c r="O4260" i="2"/>
  <c r="L4261" i="2"/>
  <c r="M4261" i="2"/>
  <c r="N4261" i="2"/>
  <c r="O4261" i="2"/>
  <c r="L4262" i="2"/>
  <c r="M4262" i="2"/>
  <c r="N4262" i="2"/>
  <c r="O4262" i="2"/>
  <c r="L4263" i="2"/>
  <c r="M4263" i="2"/>
  <c r="N4263" i="2"/>
  <c r="O4263" i="2"/>
  <c r="L4264" i="2"/>
  <c r="M4264" i="2"/>
  <c r="N4264" i="2"/>
  <c r="O4264" i="2"/>
  <c r="L4265" i="2"/>
  <c r="M4265" i="2"/>
  <c r="N4265" i="2"/>
  <c r="O4265" i="2"/>
  <c r="L4266" i="2"/>
  <c r="M4266" i="2"/>
  <c r="N4266" i="2"/>
  <c r="O4266" i="2"/>
  <c r="L4267" i="2"/>
  <c r="M4267" i="2"/>
  <c r="N4267" i="2"/>
  <c r="O4267" i="2"/>
  <c r="L4268" i="2"/>
  <c r="M4268" i="2"/>
  <c r="N4268" i="2"/>
  <c r="O4268" i="2"/>
  <c r="L4269" i="2"/>
  <c r="M4269" i="2"/>
  <c r="N4269" i="2"/>
  <c r="O4269" i="2"/>
  <c r="L4270" i="2"/>
  <c r="M4270" i="2"/>
  <c r="N4270" i="2"/>
  <c r="O4270" i="2"/>
  <c r="L4271" i="2"/>
  <c r="M4271" i="2"/>
  <c r="N4271" i="2"/>
  <c r="O4271" i="2"/>
  <c r="L4272" i="2"/>
  <c r="M4272" i="2"/>
  <c r="N4272" i="2"/>
  <c r="O4272" i="2"/>
  <c r="L4273" i="2"/>
  <c r="M4273" i="2"/>
  <c r="N4273" i="2"/>
  <c r="O4273" i="2"/>
  <c r="L4274" i="2"/>
  <c r="M4274" i="2"/>
  <c r="N4274" i="2"/>
  <c r="O4274" i="2"/>
  <c r="L4275" i="2"/>
  <c r="M4275" i="2"/>
  <c r="N4275" i="2"/>
  <c r="O4275" i="2"/>
  <c r="L4276" i="2"/>
  <c r="M4276" i="2"/>
  <c r="N4276" i="2"/>
  <c r="O4276" i="2"/>
  <c r="L4277" i="2"/>
  <c r="M4277" i="2"/>
  <c r="N4277" i="2"/>
  <c r="O4277" i="2"/>
  <c r="L4278" i="2"/>
  <c r="M4278" i="2"/>
  <c r="N4278" i="2"/>
  <c r="O4278" i="2"/>
  <c r="L4279" i="2"/>
  <c r="M4279" i="2"/>
  <c r="N4279" i="2"/>
  <c r="O4279" i="2"/>
  <c r="L4280" i="2"/>
  <c r="M4280" i="2"/>
  <c r="N4280" i="2"/>
  <c r="O4280" i="2"/>
  <c r="L4281" i="2"/>
  <c r="M4281" i="2"/>
  <c r="N4281" i="2"/>
  <c r="O4281" i="2"/>
  <c r="L4282" i="2"/>
  <c r="M4282" i="2"/>
  <c r="N4282" i="2"/>
  <c r="O4282" i="2"/>
  <c r="L4283" i="2"/>
  <c r="M4283" i="2"/>
  <c r="N4283" i="2"/>
  <c r="O4283" i="2"/>
  <c r="L4284" i="2"/>
  <c r="M4284" i="2"/>
  <c r="N4284" i="2"/>
  <c r="O4284" i="2"/>
  <c r="L4285" i="2"/>
  <c r="M4285" i="2"/>
  <c r="N4285" i="2"/>
  <c r="O4285" i="2"/>
  <c r="L4286" i="2"/>
  <c r="M4286" i="2"/>
  <c r="N4286" i="2"/>
  <c r="O4286" i="2"/>
  <c r="L4287" i="2"/>
  <c r="M4287" i="2"/>
  <c r="N4287" i="2"/>
  <c r="O4287" i="2"/>
  <c r="L4288" i="2"/>
  <c r="M4288" i="2"/>
  <c r="N4288" i="2"/>
  <c r="O4288" i="2"/>
  <c r="L4289" i="2"/>
  <c r="M4289" i="2"/>
  <c r="N4289" i="2"/>
  <c r="O4289" i="2"/>
  <c r="L4290" i="2"/>
  <c r="M4290" i="2"/>
  <c r="N4290" i="2"/>
  <c r="O4290" i="2"/>
  <c r="L4291" i="2"/>
  <c r="M4291" i="2"/>
  <c r="N4291" i="2"/>
  <c r="O4291" i="2"/>
  <c r="L4292" i="2"/>
  <c r="M4292" i="2"/>
  <c r="N4292" i="2"/>
  <c r="O4292" i="2"/>
  <c r="L4293" i="2"/>
  <c r="M4293" i="2"/>
  <c r="N4293" i="2"/>
  <c r="O4293" i="2"/>
  <c r="L4294" i="2"/>
  <c r="M4294" i="2"/>
  <c r="N4294" i="2"/>
  <c r="O4294" i="2"/>
  <c r="L4295" i="2"/>
  <c r="M4295" i="2"/>
  <c r="N4295" i="2"/>
  <c r="O4295" i="2"/>
  <c r="L4296" i="2"/>
  <c r="M4296" i="2"/>
  <c r="N4296" i="2"/>
  <c r="O4296" i="2"/>
  <c r="L4297" i="2"/>
  <c r="M4297" i="2"/>
  <c r="N4297" i="2"/>
  <c r="O4297" i="2"/>
  <c r="L4298" i="2"/>
  <c r="M4298" i="2"/>
  <c r="N4298" i="2"/>
  <c r="O4298" i="2"/>
  <c r="L4299" i="2"/>
  <c r="M4299" i="2"/>
  <c r="N4299" i="2"/>
  <c r="O4299" i="2"/>
  <c r="L4300" i="2"/>
  <c r="M4300" i="2"/>
  <c r="N4300" i="2"/>
  <c r="O4300" i="2"/>
  <c r="L4301" i="2"/>
  <c r="M4301" i="2"/>
  <c r="N4301" i="2"/>
  <c r="O4301" i="2"/>
  <c r="L4302" i="2"/>
  <c r="M4302" i="2"/>
  <c r="N4302" i="2"/>
  <c r="O4302" i="2"/>
  <c r="L4303" i="2"/>
  <c r="M4303" i="2"/>
  <c r="N4303" i="2"/>
  <c r="O4303" i="2"/>
  <c r="L4304" i="2"/>
  <c r="M4304" i="2"/>
  <c r="N4304" i="2"/>
  <c r="O4304" i="2"/>
  <c r="L4305" i="2"/>
  <c r="M4305" i="2"/>
  <c r="N4305" i="2"/>
  <c r="O4305" i="2"/>
  <c r="L4306" i="2"/>
  <c r="M4306" i="2"/>
  <c r="N4306" i="2"/>
  <c r="O4306" i="2"/>
  <c r="L4307" i="2"/>
  <c r="M4307" i="2"/>
  <c r="N4307" i="2"/>
  <c r="O4307" i="2"/>
  <c r="L4308" i="2"/>
  <c r="M4308" i="2"/>
  <c r="N4308" i="2"/>
  <c r="O4308" i="2"/>
  <c r="L4309" i="2"/>
  <c r="M4309" i="2"/>
  <c r="N4309" i="2"/>
  <c r="O4309" i="2"/>
  <c r="L4310" i="2"/>
  <c r="M4310" i="2"/>
  <c r="N4310" i="2"/>
  <c r="O4310" i="2"/>
  <c r="L4311" i="2"/>
  <c r="M4311" i="2"/>
  <c r="N4311" i="2"/>
  <c r="O4311" i="2"/>
  <c r="L4312" i="2"/>
  <c r="M4312" i="2"/>
  <c r="N4312" i="2"/>
  <c r="O4312" i="2"/>
  <c r="L4313" i="2"/>
  <c r="M4313" i="2"/>
  <c r="N4313" i="2"/>
  <c r="O4313" i="2"/>
  <c r="L4314" i="2"/>
  <c r="M4314" i="2"/>
  <c r="N4314" i="2"/>
  <c r="O4314" i="2"/>
  <c r="L4315" i="2"/>
  <c r="M4315" i="2"/>
  <c r="N4315" i="2"/>
  <c r="O4315" i="2"/>
  <c r="L4316" i="2"/>
  <c r="M4316" i="2"/>
  <c r="N4316" i="2"/>
  <c r="O4316" i="2"/>
  <c r="L4317" i="2"/>
  <c r="M4317" i="2"/>
  <c r="N4317" i="2"/>
  <c r="O4317" i="2"/>
  <c r="L4318" i="2"/>
  <c r="M4318" i="2"/>
  <c r="N4318" i="2"/>
  <c r="O4318" i="2"/>
  <c r="L4319" i="2"/>
  <c r="M4319" i="2"/>
  <c r="N4319" i="2"/>
  <c r="O4319" i="2"/>
  <c r="L4320" i="2"/>
  <c r="M4320" i="2"/>
  <c r="N4320" i="2"/>
  <c r="O4320" i="2"/>
  <c r="L4321" i="2"/>
  <c r="M4321" i="2"/>
  <c r="N4321" i="2"/>
  <c r="O4321" i="2"/>
  <c r="L4322" i="2"/>
  <c r="M4322" i="2"/>
  <c r="N4322" i="2"/>
  <c r="O4322" i="2"/>
  <c r="L4323" i="2"/>
  <c r="M4323" i="2"/>
  <c r="N4323" i="2"/>
  <c r="O4323" i="2"/>
  <c r="L4324" i="2"/>
  <c r="M4324" i="2"/>
  <c r="N4324" i="2"/>
  <c r="O4324" i="2"/>
  <c r="L4325" i="2"/>
  <c r="M4325" i="2"/>
  <c r="N4325" i="2"/>
  <c r="O4325" i="2"/>
  <c r="L4326" i="2"/>
  <c r="M4326" i="2"/>
  <c r="N4326" i="2"/>
  <c r="O4326" i="2"/>
  <c r="L4327" i="2"/>
  <c r="M4327" i="2"/>
  <c r="N4327" i="2"/>
  <c r="O4327" i="2"/>
  <c r="L4328" i="2"/>
  <c r="M4328" i="2"/>
  <c r="N4328" i="2"/>
  <c r="O4328" i="2"/>
  <c r="L4329" i="2"/>
  <c r="M4329" i="2"/>
  <c r="N4329" i="2"/>
  <c r="O4329" i="2"/>
  <c r="L4330" i="2"/>
  <c r="M4330" i="2"/>
  <c r="N4330" i="2"/>
  <c r="O4330" i="2"/>
  <c r="L4331" i="2"/>
  <c r="M4331" i="2"/>
  <c r="N4331" i="2"/>
  <c r="O4331" i="2"/>
  <c r="L4332" i="2"/>
  <c r="M4332" i="2"/>
  <c r="N4332" i="2"/>
  <c r="O4332" i="2"/>
  <c r="L4333" i="2"/>
  <c r="M4333" i="2"/>
  <c r="N4333" i="2"/>
  <c r="O4333" i="2"/>
  <c r="L4334" i="2"/>
  <c r="M4334" i="2"/>
  <c r="N4334" i="2"/>
  <c r="O4334" i="2"/>
  <c r="L4335" i="2"/>
  <c r="M4335" i="2"/>
  <c r="N4335" i="2"/>
  <c r="O4335" i="2"/>
  <c r="L4336" i="2"/>
  <c r="M4336" i="2"/>
  <c r="N4336" i="2"/>
  <c r="O4336" i="2"/>
  <c r="L4337" i="2"/>
  <c r="M4337" i="2"/>
  <c r="N4337" i="2"/>
  <c r="O4337" i="2"/>
  <c r="L4338" i="2"/>
  <c r="M4338" i="2"/>
  <c r="N4338" i="2"/>
  <c r="O4338" i="2"/>
  <c r="L4339" i="2"/>
  <c r="M4339" i="2"/>
  <c r="N4339" i="2"/>
  <c r="O4339" i="2"/>
  <c r="L4340" i="2"/>
  <c r="M4340" i="2"/>
  <c r="N4340" i="2"/>
  <c r="O4340" i="2"/>
  <c r="L4341" i="2"/>
  <c r="M4341" i="2"/>
  <c r="N4341" i="2"/>
  <c r="O4341" i="2"/>
  <c r="L4342" i="2"/>
  <c r="M4342" i="2"/>
  <c r="N4342" i="2"/>
  <c r="O4342" i="2"/>
  <c r="L4343" i="2"/>
  <c r="M4343" i="2"/>
  <c r="N4343" i="2"/>
  <c r="O4343" i="2"/>
  <c r="L4344" i="2"/>
  <c r="M4344" i="2"/>
  <c r="N4344" i="2"/>
  <c r="O4344" i="2"/>
  <c r="L4345" i="2"/>
  <c r="M4345" i="2"/>
  <c r="N4345" i="2"/>
  <c r="O4345" i="2"/>
  <c r="L4346" i="2"/>
  <c r="M4346" i="2"/>
  <c r="N4346" i="2"/>
  <c r="O4346" i="2"/>
  <c r="L4347" i="2"/>
  <c r="M4347" i="2"/>
  <c r="N4347" i="2"/>
  <c r="O4347" i="2"/>
  <c r="L4348" i="2"/>
  <c r="M4348" i="2"/>
  <c r="N4348" i="2"/>
  <c r="O4348" i="2"/>
  <c r="L4349" i="2"/>
  <c r="M4349" i="2"/>
  <c r="N4349" i="2"/>
  <c r="O4349" i="2"/>
  <c r="L4350" i="2"/>
  <c r="M4350" i="2"/>
  <c r="N4350" i="2"/>
  <c r="O4350" i="2"/>
  <c r="L4351" i="2"/>
  <c r="M4351" i="2"/>
  <c r="N4351" i="2"/>
  <c r="O4351" i="2"/>
  <c r="L4352" i="2"/>
  <c r="M4352" i="2"/>
  <c r="N4352" i="2"/>
  <c r="O4352" i="2"/>
  <c r="L4353" i="2"/>
  <c r="M4353" i="2"/>
  <c r="N4353" i="2"/>
  <c r="O4353" i="2"/>
  <c r="L4354" i="2"/>
  <c r="M4354" i="2"/>
  <c r="N4354" i="2"/>
  <c r="O4354" i="2"/>
  <c r="L4355" i="2"/>
  <c r="M4355" i="2"/>
  <c r="N4355" i="2"/>
  <c r="O4355" i="2"/>
  <c r="L4356" i="2"/>
  <c r="M4356" i="2"/>
  <c r="N4356" i="2"/>
  <c r="O4356" i="2"/>
  <c r="L4357" i="2"/>
  <c r="M4357" i="2"/>
  <c r="N4357" i="2"/>
  <c r="O4357" i="2"/>
  <c r="L4358" i="2"/>
  <c r="M4358" i="2"/>
  <c r="N4358" i="2"/>
  <c r="O4358" i="2"/>
  <c r="L4359" i="2"/>
  <c r="M4359" i="2"/>
  <c r="N4359" i="2"/>
  <c r="O4359" i="2"/>
  <c r="L4360" i="2"/>
  <c r="M4360" i="2"/>
  <c r="N4360" i="2"/>
  <c r="O4360" i="2"/>
  <c r="L4361" i="2"/>
  <c r="M4361" i="2"/>
  <c r="N4361" i="2"/>
  <c r="O4361" i="2"/>
  <c r="L4362" i="2"/>
  <c r="M4362" i="2"/>
  <c r="N4362" i="2"/>
  <c r="O4362" i="2"/>
  <c r="L4363" i="2"/>
  <c r="M4363" i="2"/>
  <c r="N4363" i="2"/>
  <c r="O4363" i="2"/>
  <c r="L4364" i="2"/>
  <c r="M4364" i="2"/>
  <c r="N4364" i="2"/>
  <c r="O4364" i="2"/>
  <c r="L4365" i="2"/>
  <c r="M4365" i="2"/>
  <c r="N4365" i="2"/>
  <c r="O4365" i="2"/>
  <c r="L4366" i="2"/>
  <c r="M4366" i="2"/>
  <c r="N4366" i="2"/>
  <c r="O4366" i="2"/>
  <c r="L4367" i="2"/>
  <c r="M4367" i="2"/>
  <c r="N4367" i="2"/>
  <c r="O4367" i="2"/>
  <c r="L4368" i="2"/>
  <c r="M4368" i="2"/>
  <c r="N4368" i="2"/>
  <c r="O4368" i="2"/>
  <c r="L4369" i="2"/>
  <c r="M4369" i="2"/>
  <c r="N4369" i="2"/>
  <c r="O4369" i="2"/>
  <c r="L4370" i="2"/>
  <c r="M4370" i="2"/>
  <c r="N4370" i="2"/>
  <c r="O4370" i="2"/>
  <c r="L4371" i="2"/>
  <c r="M4371" i="2"/>
  <c r="N4371" i="2"/>
  <c r="O4371" i="2"/>
  <c r="L4372" i="2"/>
  <c r="M4372" i="2"/>
  <c r="N4372" i="2"/>
  <c r="O4372" i="2"/>
  <c r="L4373" i="2"/>
  <c r="M4373" i="2"/>
  <c r="N4373" i="2"/>
  <c r="O4373" i="2"/>
  <c r="L4374" i="2"/>
  <c r="M4374" i="2"/>
  <c r="N4374" i="2"/>
  <c r="O4374" i="2"/>
  <c r="L4375" i="2"/>
  <c r="M4375" i="2"/>
  <c r="N4375" i="2"/>
  <c r="O4375" i="2"/>
  <c r="L4376" i="2"/>
  <c r="M4376" i="2"/>
  <c r="N4376" i="2"/>
  <c r="O4376" i="2"/>
  <c r="L4377" i="2"/>
  <c r="M4377" i="2"/>
  <c r="N4377" i="2"/>
  <c r="O4377" i="2"/>
  <c r="L4378" i="2"/>
  <c r="M4378" i="2"/>
  <c r="N4378" i="2"/>
  <c r="O4378" i="2"/>
  <c r="L4379" i="2"/>
  <c r="M4379" i="2"/>
  <c r="N4379" i="2"/>
  <c r="O4379" i="2"/>
  <c r="L4380" i="2"/>
  <c r="M4380" i="2"/>
  <c r="N4380" i="2"/>
  <c r="O4380" i="2"/>
  <c r="L4381" i="2"/>
  <c r="M4381" i="2"/>
  <c r="N4381" i="2"/>
  <c r="O4381" i="2"/>
  <c r="L4382" i="2"/>
  <c r="M4382" i="2"/>
  <c r="N4382" i="2"/>
  <c r="O4382" i="2"/>
  <c r="L4383" i="2"/>
  <c r="M4383" i="2"/>
  <c r="N4383" i="2"/>
  <c r="O4383" i="2"/>
  <c r="L4384" i="2"/>
  <c r="M4384" i="2"/>
  <c r="N4384" i="2"/>
  <c r="O4384" i="2"/>
  <c r="L4385" i="2"/>
  <c r="M4385" i="2"/>
  <c r="N4385" i="2"/>
  <c r="O4385" i="2"/>
  <c r="L4386" i="2"/>
  <c r="M4386" i="2"/>
  <c r="N4386" i="2"/>
  <c r="O4386" i="2"/>
  <c r="L4387" i="2"/>
  <c r="M4387" i="2"/>
  <c r="N4387" i="2"/>
  <c r="O4387" i="2"/>
  <c r="L4388" i="2"/>
  <c r="M4388" i="2"/>
  <c r="N4388" i="2"/>
  <c r="O4388" i="2"/>
  <c r="L4389" i="2"/>
  <c r="M4389" i="2"/>
  <c r="N4389" i="2"/>
  <c r="O4389" i="2"/>
  <c r="L4390" i="2"/>
  <c r="M4390" i="2"/>
  <c r="N4390" i="2"/>
  <c r="O4390" i="2"/>
  <c r="L4391" i="2"/>
  <c r="M4391" i="2"/>
  <c r="N4391" i="2"/>
  <c r="O4391" i="2"/>
  <c r="L4392" i="2"/>
  <c r="M4392" i="2"/>
  <c r="N4392" i="2"/>
  <c r="O4392" i="2"/>
  <c r="L4393" i="2"/>
  <c r="M4393" i="2"/>
  <c r="N4393" i="2"/>
  <c r="O4393" i="2"/>
  <c r="L4394" i="2"/>
  <c r="M4394" i="2"/>
  <c r="N4394" i="2"/>
  <c r="O4394" i="2"/>
  <c r="L4395" i="2"/>
  <c r="M4395" i="2"/>
  <c r="N4395" i="2"/>
  <c r="O4395" i="2"/>
  <c r="L4396" i="2"/>
  <c r="M4396" i="2"/>
  <c r="N4396" i="2"/>
  <c r="O4396" i="2"/>
  <c r="L4397" i="2"/>
  <c r="M4397" i="2"/>
  <c r="N4397" i="2"/>
  <c r="O4397" i="2"/>
  <c r="L4398" i="2"/>
  <c r="M4398" i="2"/>
  <c r="N4398" i="2"/>
  <c r="O4398" i="2"/>
  <c r="L4399" i="2"/>
  <c r="M4399" i="2"/>
  <c r="N4399" i="2"/>
  <c r="O4399" i="2"/>
  <c r="L4400" i="2"/>
  <c r="M4400" i="2"/>
  <c r="N4400" i="2"/>
  <c r="O4400" i="2"/>
  <c r="L4401" i="2"/>
  <c r="M4401" i="2"/>
  <c r="N4401" i="2"/>
  <c r="O4401" i="2"/>
  <c r="L4402" i="2"/>
  <c r="M4402" i="2"/>
  <c r="N4402" i="2"/>
  <c r="O4402" i="2"/>
  <c r="L4403" i="2"/>
  <c r="M4403" i="2"/>
  <c r="N4403" i="2"/>
  <c r="O4403" i="2"/>
  <c r="L4404" i="2"/>
  <c r="M4404" i="2"/>
  <c r="N4404" i="2"/>
  <c r="O4404" i="2"/>
  <c r="L4405" i="2"/>
  <c r="M4405" i="2"/>
  <c r="N4405" i="2"/>
  <c r="O4405" i="2"/>
  <c r="L4406" i="2"/>
  <c r="M4406" i="2"/>
  <c r="N4406" i="2"/>
  <c r="O4406" i="2"/>
  <c r="L4407" i="2"/>
  <c r="M4407" i="2"/>
  <c r="N4407" i="2"/>
  <c r="O4407" i="2"/>
  <c r="L4408" i="2"/>
  <c r="M4408" i="2"/>
  <c r="N4408" i="2"/>
  <c r="O4408" i="2"/>
  <c r="L4409" i="2"/>
  <c r="M4409" i="2"/>
  <c r="N4409" i="2"/>
  <c r="O4409" i="2"/>
  <c r="L4410" i="2"/>
  <c r="M4410" i="2"/>
  <c r="N4410" i="2"/>
  <c r="O4410" i="2"/>
  <c r="L4411" i="2"/>
  <c r="M4411" i="2"/>
  <c r="N4411" i="2"/>
  <c r="O4411" i="2"/>
  <c r="L4412" i="2"/>
  <c r="M4412" i="2"/>
  <c r="N4412" i="2"/>
  <c r="O4412" i="2"/>
  <c r="L4413" i="2"/>
  <c r="M4413" i="2"/>
  <c r="N4413" i="2"/>
  <c r="O4413" i="2"/>
  <c r="L4414" i="2"/>
  <c r="M4414" i="2"/>
  <c r="N4414" i="2"/>
  <c r="O4414" i="2"/>
  <c r="L4415" i="2"/>
  <c r="M4415" i="2"/>
  <c r="N4415" i="2"/>
  <c r="O4415" i="2"/>
  <c r="L4416" i="2"/>
  <c r="M4416" i="2"/>
  <c r="N4416" i="2"/>
  <c r="O4416" i="2"/>
  <c r="L4417" i="2"/>
  <c r="M4417" i="2"/>
  <c r="N4417" i="2"/>
  <c r="O4417" i="2"/>
  <c r="L4418" i="2"/>
  <c r="M4418" i="2"/>
  <c r="N4418" i="2"/>
  <c r="O4418" i="2"/>
  <c r="L4419" i="2"/>
  <c r="M4419" i="2"/>
  <c r="N4419" i="2"/>
  <c r="O4419" i="2"/>
  <c r="L4420" i="2"/>
  <c r="M4420" i="2"/>
  <c r="N4420" i="2"/>
  <c r="O4420" i="2"/>
  <c r="L4421" i="2"/>
  <c r="M4421" i="2"/>
  <c r="N4421" i="2"/>
  <c r="O4421" i="2"/>
  <c r="L4422" i="2"/>
  <c r="M4422" i="2"/>
  <c r="N4422" i="2"/>
  <c r="O4422" i="2"/>
  <c r="L4423" i="2"/>
  <c r="M4423" i="2"/>
  <c r="N4423" i="2"/>
  <c r="O4423" i="2"/>
  <c r="L4424" i="2"/>
  <c r="M4424" i="2"/>
  <c r="N4424" i="2"/>
  <c r="O4424" i="2"/>
  <c r="L4425" i="2"/>
  <c r="M4425" i="2"/>
  <c r="N4425" i="2"/>
  <c r="O4425" i="2"/>
  <c r="L4426" i="2"/>
  <c r="M4426" i="2"/>
  <c r="N4426" i="2"/>
  <c r="O4426" i="2"/>
  <c r="L4427" i="2"/>
  <c r="M4427" i="2"/>
  <c r="N4427" i="2"/>
  <c r="O4427" i="2"/>
  <c r="L4428" i="2"/>
  <c r="M4428" i="2"/>
  <c r="N4428" i="2"/>
  <c r="O4428" i="2"/>
  <c r="L4429" i="2"/>
  <c r="M4429" i="2"/>
  <c r="N4429" i="2"/>
  <c r="O4429" i="2"/>
  <c r="L4430" i="2"/>
  <c r="M4430" i="2"/>
  <c r="N4430" i="2"/>
  <c r="O4430" i="2"/>
  <c r="L4431" i="2"/>
  <c r="M4431" i="2"/>
  <c r="N4431" i="2"/>
  <c r="O4431" i="2"/>
  <c r="L4432" i="2"/>
  <c r="M4432" i="2"/>
  <c r="N4432" i="2"/>
  <c r="O4432" i="2"/>
  <c r="L4433" i="2"/>
  <c r="M4433" i="2"/>
  <c r="N4433" i="2"/>
  <c r="O4433" i="2"/>
  <c r="L4434" i="2"/>
  <c r="M4434" i="2"/>
  <c r="N4434" i="2"/>
  <c r="O4434" i="2"/>
  <c r="L4435" i="2"/>
  <c r="M4435" i="2"/>
  <c r="N4435" i="2"/>
  <c r="O4435" i="2"/>
  <c r="L4436" i="2"/>
  <c r="M4436" i="2"/>
  <c r="N4436" i="2"/>
  <c r="O4436" i="2"/>
  <c r="L4437" i="2"/>
  <c r="M4437" i="2"/>
  <c r="N4437" i="2"/>
  <c r="O4437" i="2"/>
  <c r="L4438" i="2"/>
  <c r="M4438" i="2"/>
  <c r="N4438" i="2"/>
  <c r="O4438" i="2"/>
  <c r="L4439" i="2"/>
  <c r="M4439" i="2"/>
  <c r="N4439" i="2"/>
  <c r="O4439" i="2"/>
  <c r="L4440" i="2"/>
  <c r="M4440" i="2"/>
  <c r="N4440" i="2"/>
  <c r="O4440" i="2"/>
  <c r="L4441" i="2"/>
  <c r="M4441" i="2"/>
  <c r="N4441" i="2"/>
  <c r="O4441" i="2"/>
  <c r="L4442" i="2"/>
  <c r="M4442" i="2"/>
  <c r="N4442" i="2"/>
  <c r="O4442" i="2"/>
  <c r="L4443" i="2"/>
  <c r="M4443" i="2"/>
  <c r="N4443" i="2"/>
  <c r="O4443" i="2"/>
  <c r="L4444" i="2"/>
  <c r="M4444" i="2"/>
  <c r="N4444" i="2"/>
  <c r="O4444" i="2"/>
  <c r="L4445" i="2"/>
  <c r="M4445" i="2"/>
  <c r="N4445" i="2"/>
  <c r="O4445" i="2"/>
  <c r="L4446" i="2"/>
  <c r="M4446" i="2"/>
  <c r="N4446" i="2"/>
  <c r="O4446" i="2"/>
  <c r="L4447" i="2"/>
  <c r="M4447" i="2"/>
  <c r="N4447" i="2"/>
  <c r="O4447" i="2"/>
  <c r="L4448" i="2"/>
  <c r="M4448" i="2"/>
  <c r="N4448" i="2"/>
  <c r="O4448" i="2"/>
  <c r="L4449" i="2"/>
  <c r="M4449" i="2"/>
  <c r="N4449" i="2"/>
  <c r="O4449" i="2"/>
  <c r="L4450" i="2"/>
  <c r="M4450" i="2"/>
  <c r="N4450" i="2"/>
  <c r="O4450" i="2"/>
  <c r="L4451" i="2"/>
  <c r="M4451" i="2"/>
  <c r="N4451" i="2"/>
  <c r="O4451" i="2"/>
  <c r="L4452" i="2"/>
  <c r="M4452" i="2"/>
  <c r="N4452" i="2"/>
  <c r="O4452" i="2"/>
  <c r="L4453" i="2"/>
  <c r="M4453" i="2"/>
  <c r="N4453" i="2"/>
  <c r="O4453" i="2"/>
  <c r="L4454" i="2"/>
  <c r="M4454" i="2"/>
  <c r="N4454" i="2"/>
  <c r="O4454" i="2"/>
  <c r="L4455" i="2"/>
  <c r="M4455" i="2"/>
  <c r="N4455" i="2"/>
  <c r="O4455" i="2"/>
  <c r="L4456" i="2"/>
  <c r="M4456" i="2"/>
  <c r="N4456" i="2"/>
  <c r="O4456" i="2"/>
  <c r="L4457" i="2"/>
  <c r="M4457" i="2"/>
  <c r="N4457" i="2"/>
  <c r="O4457" i="2"/>
  <c r="L4458" i="2"/>
  <c r="M4458" i="2"/>
  <c r="N4458" i="2"/>
  <c r="O4458" i="2"/>
  <c r="L4459" i="2"/>
  <c r="M4459" i="2"/>
  <c r="N4459" i="2"/>
  <c r="O4459" i="2"/>
  <c r="L4460" i="2"/>
  <c r="M4460" i="2"/>
  <c r="N4460" i="2"/>
  <c r="O4460" i="2"/>
  <c r="L4461" i="2"/>
  <c r="M4461" i="2"/>
  <c r="N4461" i="2"/>
  <c r="O4461" i="2"/>
  <c r="L4462" i="2"/>
  <c r="M4462" i="2"/>
  <c r="N4462" i="2"/>
  <c r="O4462" i="2"/>
  <c r="L4463" i="2"/>
  <c r="M4463" i="2"/>
  <c r="N4463" i="2"/>
  <c r="O4463" i="2"/>
  <c r="L4464" i="2"/>
  <c r="M4464" i="2"/>
  <c r="N4464" i="2"/>
  <c r="O4464" i="2"/>
  <c r="L4465" i="2"/>
  <c r="M4465" i="2"/>
  <c r="N4465" i="2"/>
  <c r="O4465" i="2"/>
  <c r="L4466" i="2"/>
  <c r="M4466" i="2"/>
  <c r="N4466" i="2"/>
  <c r="O4466" i="2"/>
  <c r="L4467" i="2"/>
  <c r="M4467" i="2"/>
  <c r="N4467" i="2"/>
  <c r="O4467" i="2"/>
  <c r="L4468" i="2"/>
  <c r="M4468" i="2"/>
  <c r="N4468" i="2"/>
  <c r="O4468" i="2"/>
  <c r="L4469" i="2"/>
  <c r="M4469" i="2"/>
  <c r="N4469" i="2"/>
  <c r="O4469" i="2"/>
  <c r="L4470" i="2"/>
  <c r="M4470" i="2"/>
  <c r="N4470" i="2"/>
  <c r="O4470" i="2"/>
  <c r="L4471" i="2"/>
  <c r="M4471" i="2"/>
  <c r="N4471" i="2"/>
  <c r="O4471" i="2"/>
  <c r="L4472" i="2"/>
  <c r="M4472" i="2"/>
  <c r="N4472" i="2"/>
  <c r="O4472" i="2"/>
  <c r="L4473" i="2"/>
  <c r="M4473" i="2"/>
  <c r="N4473" i="2"/>
  <c r="O4473" i="2"/>
  <c r="L4474" i="2"/>
  <c r="M4474" i="2"/>
  <c r="N4474" i="2"/>
  <c r="O4474" i="2"/>
  <c r="L4475" i="2"/>
  <c r="M4475" i="2"/>
  <c r="N4475" i="2"/>
  <c r="O4475" i="2"/>
  <c r="L4476" i="2"/>
  <c r="M4476" i="2"/>
  <c r="N4476" i="2"/>
  <c r="O4476" i="2"/>
  <c r="L4477" i="2"/>
  <c r="M4477" i="2"/>
  <c r="N4477" i="2"/>
  <c r="O4477" i="2"/>
  <c r="L4478" i="2"/>
  <c r="M4478" i="2"/>
  <c r="N4478" i="2"/>
  <c r="O4478" i="2"/>
  <c r="L4479" i="2"/>
  <c r="M4479" i="2"/>
  <c r="N4479" i="2"/>
  <c r="O4479" i="2"/>
  <c r="L4480" i="2"/>
  <c r="M4480" i="2"/>
  <c r="N4480" i="2"/>
  <c r="O4480" i="2"/>
  <c r="L4481" i="2"/>
  <c r="M4481" i="2"/>
  <c r="N4481" i="2"/>
  <c r="O4481" i="2"/>
  <c r="L4482" i="2"/>
  <c r="M4482" i="2"/>
  <c r="N4482" i="2"/>
  <c r="O4482" i="2"/>
  <c r="L4483" i="2"/>
  <c r="M4483" i="2"/>
  <c r="N4483" i="2"/>
  <c r="O4483" i="2"/>
  <c r="L4484" i="2"/>
  <c r="M4484" i="2"/>
  <c r="N4484" i="2"/>
  <c r="O4484" i="2"/>
  <c r="L4485" i="2"/>
  <c r="M4485" i="2"/>
  <c r="N4485" i="2"/>
  <c r="O4485" i="2"/>
  <c r="L4486" i="2"/>
  <c r="M4486" i="2"/>
  <c r="N4486" i="2"/>
  <c r="O4486" i="2"/>
  <c r="L4487" i="2"/>
  <c r="M4487" i="2"/>
  <c r="N4487" i="2"/>
  <c r="O4487" i="2"/>
  <c r="L4488" i="2"/>
  <c r="M4488" i="2"/>
  <c r="N4488" i="2"/>
  <c r="O4488" i="2"/>
  <c r="L4489" i="2"/>
  <c r="M4489" i="2"/>
  <c r="N4489" i="2"/>
  <c r="O4489" i="2"/>
  <c r="L4490" i="2"/>
  <c r="M4490" i="2"/>
  <c r="N4490" i="2"/>
  <c r="O4490" i="2"/>
  <c r="L4491" i="2"/>
  <c r="M4491" i="2"/>
  <c r="N4491" i="2"/>
  <c r="O4491" i="2"/>
  <c r="L4492" i="2"/>
  <c r="M4492" i="2"/>
  <c r="N4492" i="2"/>
  <c r="O4492" i="2"/>
  <c r="L4493" i="2"/>
  <c r="M4493" i="2"/>
  <c r="N4493" i="2"/>
  <c r="O4493" i="2"/>
  <c r="L4494" i="2"/>
  <c r="M4494" i="2"/>
  <c r="N4494" i="2"/>
  <c r="O4494" i="2"/>
  <c r="L4495" i="2"/>
  <c r="M4495" i="2"/>
  <c r="N4495" i="2"/>
  <c r="O4495" i="2"/>
  <c r="L4496" i="2"/>
  <c r="M4496" i="2"/>
  <c r="N4496" i="2"/>
  <c r="O4496" i="2"/>
  <c r="L4497" i="2"/>
  <c r="M4497" i="2"/>
  <c r="N4497" i="2"/>
  <c r="O4497" i="2"/>
  <c r="L4498" i="2"/>
  <c r="M4498" i="2"/>
  <c r="N4498" i="2"/>
  <c r="O4498" i="2"/>
  <c r="L4499" i="2"/>
  <c r="M4499" i="2"/>
  <c r="N4499" i="2"/>
  <c r="O4499" i="2"/>
  <c r="L4500" i="2"/>
  <c r="M4500" i="2"/>
  <c r="N4500" i="2"/>
  <c r="O4500" i="2"/>
  <c r="L4501" i="2"/>
  <c r="M4501" i="2"/>
  <c r="N4501" i="2"/>
  <c r="O4501" i="2"/>
  <c r="L4502" i="2"/>
  <c r="M4502" i="2"/>
  <c r="N4502" i="2"/>
  <c r="O4502" i="2"/>
  <c r="L4503" i="2"/>
  <c r="M4503" i="2"/>
  <c r="N4503" i="2"/>
  <c r="O4503" i="2"/>
  <c r="L4504" i="2"/>
  <c r="M4504" i="2"/>
  <c r="N4504" i="2"/>
  <c r="O4504" i="2"/>
  <c r="L4505" i="2"/>
  <c r="M4505" i="2"/>
  <c r="N4505" i="2"/>
  <c r="O4505" i="2"/>
  <c r="L4506" i="2"/>
  <c r="M4506" i="2"/>
  <c r="N4506" i="2"/>
  <c r="O4506" i="2"/>
  <c r="L4507" i="2"/>
  <c r="M4507" i="2"/>
  <c r="N4507" i="2"/>
  <c r="O4507" i="2"/>
  <c r="L4508" i="2"/>
  <c r="M4508" i="2"/>
  <c r="N4508" i="2"/>
  <c r="O4508" i="2"/>
  <c r="L4509" i="2"/>
  <c r="M4509" i="2"/>
  <c r="N4509" i="2"/>
  <c r="O4509" i="2"/>
  <c r="L4510" i="2"/>
  <c r="M4510" i="2"/>
  <c r="N4510" i="2"/>
  <c r="O4510" i="2"/>
  <c r="L4511" i="2"/>
  <c r="M4511" i="2"/>
  <c r="N4511" i="2"/>
  <c r="O4511" i="2"/>
  <c r="L4512" i="2"/>
  <c r="M4512" i="2"/>
  <c r="N4512" i="2"/>
  <c r="O4512" i="2"/>
  <c r="L4513" i="2"/>
  <c r="M4513" i="2"/>
  <c r="N4513" i="2"/>
  <c r="O4513" i="2"/>
  <c r="L4514" i="2"/>
  <c r="M4514" i="2"/>
  <c r="N4514" i="2"/>
  <c r="O4514" i="2"/>
  <c r="L4515" i="2"/>
  <c r="M4515" i="2"/>
  <c r="N4515" i="2"/>
  <c r="O4515" i="2"/>
  <c r="L4516" i="2"/>
  <c r="M4516" i="2"/>
  <c r="N4516" i="2"/>
  <c r="O4516" i="2"/>
  <c r="L4517" i="2"/>
  <c r="M4517" i="2"/>
  <c r="N4517" i="2"/>
  <c r="O4517" i="2"/>
  <c r="L4518" i="2"/>
  <c r="M4518" i="2"/>
  <c r="N4518" i="2"/>
  <c r="O4518" i="2"/>
  <c r="L4519" i="2"/>
  <c r="M4519" i="2"/>
  <c r="N4519" i="2"/>
  <c r="O4519" i="2"/>
  <c r="L4520" i="2"/>
  <c r="M4520" i="2"/>
  <c r="N4520" i="2"/>
  <c r="O4520" i="2"/>
  <c r="L4521" i="2"/>
  <c r="M4521" i="2"/>
  <c r="N4521" i="2"/>
  <c r="O4521" i="2"/>
  <c r="L4522" i="2"/>
  <c r="M4522" i="2"/>
  <c r="N4522" i="2"/>
  <c r="O4522" i="2"/>
  <c r="L4523" i="2"/>
  <c r="M4523" i="2"/>
  <c r="N4523" i="2"/>
  <c r="O4523" i="2"/>
  <c r="L4524" i="2"/>
  <c r="M4524" i="2"/>
  <c r="N4524" i="2"/>
  <c r="O4524" i="2"/>
  <c r="L4525" i="2"/>
  <c r="M4525" i="2"/>
  <c r="N4525" i="2"/>
  <c r="O4525" i="2"/>
  <c r="L4526" i="2"/>
  <c r="M4526" i="2"/>
  <c r="N4526" i="2"/>
  <c r="O4526" i="2"/>
  <c r="L4527" i="2"/>
  <c r="M4527" i="2"/>
  <c r="N4527" i="2"/>
  <c r="O4527" i="2"/>
  <c r="L4528" i="2"/>
  <c r="M4528" i="2"/>
  <c r="N4528" i="2"/>
  <c r="O4528" i="2"/>
  <c r="L4529" i="2"/>
  <c r="M4529" i="2"/>
  <c r="N4529" i="2"/>
  <c r="O4529" i="2"/>
  <c r="L4530" i="2"/>
  <c r="M4530" i="2"/>
  <c r="N4530" i="2"/>
  <c r="O4530" i="2"/>
  <c r="L4531" i="2"/>
  <c r="M4531" i="2"/>
  <c r="N4531" i="2"/>
  <c r="O4531" i="2"/>
  <c r="L4532" i="2"/>
  <c r="M4532" i="2"/>
  <c r="N4532" i="2"/>
  <c r="O4532" i="2"/>
  <c r="L4533" i="2"/>
  <c r="M4533" i="2"/>
  <c r="N4533" i="2"/>
  <c r="O4533" i="2"/>
  <c r="L4534" i="2"/>
  <c r="M4534" i="2"/>
  <c r="N4534" i="2"/>
  <c r="O4534" i="2"/>
  <c r="L4535" i="2"/>
  <c r="M4535" i="2"/>
  <c r="N4535" i="2"/>
  <c r="O4535" i="2"/>
  <c r="L4536" i="2"/>
  <c r="M4536" i="2"/>
  <c r="N4536" i="2"/>
  <c r="O4536" i="2"/>
  <c r="L4537" i="2"/>
  <c r="M4537" i="2"/>
  <c r="N4537" i="2"/>
  <c r="O4537" i="2"/>
  <c r="L4538" i="2"/>
  <c r="M4538" i="2"/>
  <c r="N4538" i="2"/>
  <c r="O4538" i="2"/>
  <c r="L4539" i="2"/>
  <c r="M4539" i="2"/>
  <c r="N4539" i="2"/>
  <c r="O4539" i="2"/>
  <c r="L4540" i="2"/>
  <c r="M4540" i="2"/>
  <c r="N4540" i="2"/>
  <c r="O4540" i="2"/>
  <c r="L4541" i="2"/>
  <c r="M4541" i="2"/>
  <c r="N4541" i="2"/>
  <c r="O4541" i="2"/>
  <c r="L4542" i="2"/>
  <c r="M4542" i="2"/>
  <c r="N4542" i="2"/>
  <c r="O4542" i="2"/>
  <c r="L4543" i="2"/>
  <c r="M4543" i="2"/>
  <c r="N4543" i="2"/>
  <c r="O4543" i="2"/>
  <c r="L4544" i="2"/>
  <c r="M4544" i="2"/>
  <c r="N4544" i="2"/>
  <c r="O4544" i="2"/>
  <c r="L4545" i="2"/>
  <c r="M4545" i="2"/>
  <c r="N4545" i="2"/>
  <c r="O4545" i="2"/>
  <c r="L4546" i="2"/>
  <c r="M4546" i="2"/>
  <c r="N4546" i="2"/>
  <c r="O4546" i="2"/>
  <c r="L4547" i="2"/>
  <c r="M4547" i="2"/>
  <c r="N4547" i="2"/>
  <c r="O4547" i="2"/>
  <c r="L4548" i="2"/>
  <c r="M4548" i="2"/>
  <c r="N4548" i="2"/>
  <c r="O4548" i="2"/>
  <c r="L4549" i="2"/>
  <c r="M4549" i="2"/>
  <c r="N4549" i="2"/>
  <c r="O4549" i="2"/>
  <c r="L4550" i="2"/>
  <c r="M4550" i="2"/>
  <c r="N4550" i="2"/>
  <c r="O4550" i="2"/>
  <c r="L4551" i="2"/>
  <c r="M4551" i="2"/>
  <c r="N4551" i="2"/>
  <c r="O4551" i="2"/>
  <c r="L4552" i="2"/>
  <c r="M4552" i="2"/>
  <c r="N4552" i="2"/>
  <c r="O4552" i="2"/>
  <c r="L4553" i="2"/>
  <c r="M4553" i="2"/>
  <c r="N4553" i="2"/>
  <c r="O4553" i="2"/>
  <c r="L4554" i="2"/>
  <c r="M4554" i="2"/>
  <c r="N4554" i="2"/>
  <c r="O4554" i="2"/>
  <c r="L4555" i="2"/>
  <c r="M4555" i="2"/>
  <c r="N4555" i="2"/>
  <c r="O4555" i="2"/>
  <c r="L4556" i="2"/>
  <c r="M4556" i="2"/>
  <c r="N4556" i="2"/>
  <c r="O4556" i="2"/>
  <c r="L4557" i="2"/>
  <c r="M4557" i="2"/>
  <c r="N4557" i="2"/>
  <c r="O4557" i="2"/>
  <c r="L4558" i="2"/>
  <c r="M4558" i="2"/>
  <c r="N4558" i="2"/>
  <c r="O4558" i="2"/>
  <c r="L4559" i="2"/>
  <c r="M4559" i="2"/>
  <c r="N4559" i="2"/>
  <c r="O4559" i="2"/>
  <c r="L4560" i="2"/>
  <c r="M4560" i="2"/>
  <c r="N4560" i="2"/>
  <c r="O4560" i="2"/>
  <c r="L4561" i="2"/>
  <c r="M4561" i="2"/>
  <c r="N4561" i="2"/>
  <c r="O4561" i="2"/>
  <c r="L4562" i="2"/>
  <c r="M4562" i="2"/>
  <c r="N4562" i="2"/>
  <c r="O4562" i="2"/>
  <c r="L4563" i="2"/>
  <c r="M4563" i="2"/>
  <c r="N4563" i="2"/>
  <c r="O4563" i="2"/>
  <c r="L4564" i="2"/>
  <c r="M4564" i="2"/>
  <c r="N4564" i="2"/>
  <c r="O4564" i="2"/>
  <c r="L4565" i="2"/>
  <c r="M4565" i="2"/>
  <c r="N4565" i="2"/>
  <c r="O4565" i="2"/>
  <c r="L4566" i="2"/>
  <c r="M4566" i="2"/>
  <c r="N4566" i="2"/>
  <c r="O4566" i="2"/>
  <c r="L4567" i="2"/>
  <c r="M4567" i="2"/>
  <c r="N4567" i="2"/>
  <c r="O4567" i="2"/>
  <c r="L4568" i="2"/>
  <c r="M4568" i="2"/>
  <c r="N4568" i="2"/>
  <c r="O4568" i="2"/>
  <c r="L4569" i="2"/>
  <c r="M4569" i="2"/>
  <c r="N4569" i="2"/>
  <c r="O4569" i="2"/>
  <c r="L4570" i="2"/>
  <c r="M4570" i="2"/>
  <c r="N4570" i="2"/>
  <c r="O4570" i="2"/>
  <c r="L4571" i="2"/>
  <c r="M4571" i="2"/>
  <c r="N4571" i="2"/>
  <c r="O4571" i="2"/>
  <c r="L4572" i="2"/>
  <c r="M4572" i="2"/>
  <c r="N4572" i="2"/>
  <c r="O4572" i="2"/>
  <c r="L4573" i="2"/>
  <c r="M4573" i="2"/>
  <c r="N4573" i="2"/>
  <c r="O4573" i="2"/>
  <c r="L4574" i="2"/>
  <c r="M4574" i="2"/>
  <c r="N4574" i="2"/>
  <c r="O4574" i="2"/>
  <c r="L4575" i="2"/>
  <c r="M4575" i="2"/>
  <c r="N4575" i="2"/>
  <c r="O4575" i="2"/>
  <c r="L4576" i="2"/>
  <c r="M4576" i="2"/>
  <c r="N4576" i="2"/>
  <c r="O4576" i="2"/>
  <c r="L4577" i="2"/>
  <c r="M4577" i="2"/>
  <c r="N4577" i="2"/>
  <c r="O4577" i="2"/>
  <c r="L4578" i="2"/>
  <c r="M4578" i="2"/>
  <c r="N4578" i="2"/>
  <c r="O4578" i="2"/>
  <c r="L4579" i="2"/>
  <c r="M4579" i="2"/>
  <c r="N4579" i="2"/>
  <c r="O4579" i="2"/>
  <c r="L4580" i="2"/>
  <c r="M4580" i="2"/>
  <c r="N4580" i="2"/>
  <c r="O4580" i="2"/>
  <c r="L4581" i="2"/>
  <c r="M4581" i="2"/>
  <c r="N4581" i="2"/>
  <c r="O4581" i="2"/>
  <c r="L4582" i="2"/>
  <c r="M4582" i="2"/>
  <c r="N4582" i="2"/>
  <c r="O4582" i="2"/>
  <c r="L4583" i="2"/>
  <c r="M4583" i="2"/>
  <c r="N4583" i="2"/>
  <c r="O4583" i="2"/>
  <c r="L4584" i="2"/>
  <c r="M4584" i="2"/>
  <c r="N4584" i="2"/>
  <c r="O4584" i="2"/>
  <c r="L4585" i="2"/>
  <c r="M4585" i="2"/>
  <c r="N4585" i="2"/>
  <c r="O4585" i="2"/>
  <c r="L4586" i="2"/>
  <c r="M4586" i="2"/>
  <c r="N4586" i="2"/>
  <c r="O4586" i="2"/>
  <c r="L4587" i="2"/>
  <c r="M4587" i="2"/>
  <c r="N4587" i="2"/>
  <c r="O4587" i="2"/>
  <c r="L4588" i="2"/>
  <c r="M4588" i="2"/>
  <c r="N4588" i="2"/>
  <c r="O4588" i="2"/>
  <c r="L4589" i="2"/>
  <c r="M4589" i="2"/>
  <c r="N4589" i="2"/>
  <c r="O4589" i="2"/>
  <c r="L4590" i="2"/>
  <c r="M4590" i="2"/>
  <c r="N4590" i="2"/>
  <c r="O4590" i="2"/>
  <c r="L4591" i="2"/>
  <c r="M4591" i="2"/>
  <c r="N4591" i="2"/>
  <c r="O4591" i="2"/>
  <c r="L4592" i="2"/>
  <c r="M4592" i="2"/>
  <c r="N4592" i="2"/>
  <c r="O4592" i="2"/>
  <c r="L4593" i="2"/>
  <c r="M4593" i="2"/>
  <c r="N4593" i="2"/>
  <c r="O4593" i="2"/>
  <c r="L4594" i="2"/>
  <c r="M4594" i="2"/>
  <c r="N4594" i="2"/>
  <c r="O4594" i="2"/>
  <c r="L4595" i="2"/>
  <c r="M4595" i="2"/>
  <c r="N4595" i="2"/>
  <c r="O4595" i="2"/>
  <c r="L4596" i="2"/>
  <c r="M4596" i="2"/>
  <c r="N4596" i="2"/>
  <c r="O4596" i="2"/>
  <c r="L4597" i="2"/>
  <c r="M4597" i="2"/>
  <c r="N4597" i="2"/>
  <c r="O4597" i="2"/>
  <c r="L4598" i="2"/>
  <c r="M4598" i="2"/>
  <c r="N4598" i="2"/>
  <c r="O4598" i="2"/>
  <c r="L4599" i="2"/>
  <c r="M4599" i="2"/>
  <c r="N4599" i="2"/>
  <c r="O4599" i="2"/>
  <c r="L4600" i="2"/>
  <c r="M4600" i="2"/>
  <c r="N4600" i="2"/>
  <c r="O4600" i="2"/>
  <c r="L4601" i="2"/>
  <c r="M4601" i="2"/>
  <c r="N4601" i="2"/>
  <c r="O4601" i="2"/>
  <c r="L4602" i="2"/>
  <c r="M4602" i="2"/>
  <c r="N4602" i="2"/>
  <c r="O4602" i="2"/>
  <c r="L4603" i="2"/>
  <c r="M4603" i="2"/>
  <c r="N4603" i="2"/>
  <c r="O4603" i="2"/>
  <c r="L4604" i="2"/>
  <c r="M4604" i="2"/>
  <c r="N4604" i="2"/>
  <c r="O4604" i="2"/>
  <c r="L4605" i="2"/>
  <c r="M4605" i="2"/>
  <c r="N4605" i="2"/>
  <c r="O4605" i="2"/>
  <c r="L4606" i="2"/>
  <c r="M4606" i="2"/>
  <c r="N4606" i="2"/>
  <c r="O4606" i="2"/>
  <c r="L4607" i="2"/>
  <c r="M4607" i="2"/>
  <c r="N4607" i="2"/>
  <c r="O4607" i="2"/>
  <c r="L4608" i="2"/>
  <c r="M4608" i="2"/>
  <c r="N4608" i="2"/>
  <c r="O4608" i="2"/>
  <c r="L4609" i="2"/>
  <c r="M4609" i="2"/>
  <c r="N4609" i="2"/>
  <c r="O4609" i="2"/>
  <c r="L4610" i="2"/>
  <c r="M4610" i="2"/>
  <c r="N4610" i="2"/>
  <c r="O4610" i="2"/>
  <c r="L4611" i="2"/>
  <c r="M4611" i="2"/>
  <c r="N4611" i="2"/>
  <c r="O4611" i="2"/>
  <c r="L4612" i="2"/>
  <c r="M4612" i="2"/>
  <c r="N4612" i="2"/>
  <c r="O4612" i="2"/>
  <c r="L4613" i="2"/>
  <c r="M4613" i="2"/>
  <c r="N4613" i="2"/>
  <c r="O4613" i="2"/>
  <c r="L4614" i="2"/>
  <c r="M4614" i="2"/>
  <c r="N4614" i="2"/>
  <c r="O4614" i="2"/>
  <c r="L4615" i="2"/>
  <c r="M4615" i="2"/>
  <c r="N4615" i="2"/>
  <c r="O4615" i="2"/>
  <c r="L4616" i="2"/>
  <c r="M4616" i="2"/>
  <c r="N4616" i="2"/>
  <c r="O4616" i="2"/>
  <c r="L4617" i="2"/>
  <c r="M4617" i="2"/>
  <c r="N4617" i="2"/>
  <c r="O4617" i="2"/>
  <c r="L4618" i="2"/>
  <c r="M4618" i="2"/>
  <c r="N4618" i="2"/>
  <c r="O4618" i="2"/>
  <c r="L4619" i="2"/>
  <c r="M4619" i="2"/>
  <c r="N4619" i="2"/>
  <c r="O4619" i="2"/>
  <c r="L4620" i="2"/>
  <c r="M4620" i="2"/>
  <c r="N4620" i="2"/>
  <c r="O4620" i="2"/>
  <c r="L4621" i="2"/>
  <c r="M4621" i="2"/>
  <c r="N4621" i="2"/>
  <c r="O4621" i="2"/>
  <c r="L4622" i="2"/>
  <c r="M4622" i="2"/>
  <c r="N4622" i="2"/>
  <c r="O4622" i="2"/>
  <c r="L4623" i="2"/>
  <c r="M4623" i="2"/>
  <c r="N4623" i="2"/>
  <c r="O4623" i="2"/>
  <c r="L4624" i="2"/>
  <c r="M4624" i="2"/>
  <c r="N4624" i="2"/>
  <c r="O4624" i="2"/>
  <c r="L4625" i="2"/>
  <c r="M4625" i="2"/>
  <c r="N4625" i="2"/>
  <c r="O4625" i="2"/>
  <c r="L4626" i="2"/>
  <c r="M4626" i="2"/>
  <c r="N4626" i="2"/>
  <c r="O4626" i="2"/>
  <c r="L4627" i="2"/>
  <c r="M4627" i="2"/>
  <c r="N4627" i="2"/>
  <c r="O4627" i="2"/>
  <c r="L4628" i="2"/>
  <c r="M4628" i="2"/>
  <c r="N4628" i="2"/>
  <c r="O4628" i="2"/>
  <c r="L4629" i="2"/>
  <c r="M4629" i="2"/>
  <c r="N4629" i="2"/>
  <c r="O4629" i="2"/>
  <c r="L4630" i="2"/>
  <c r="M4630" i="2"/>
  <c r="N4630" i="2"/>
  <c r="O4630" i="2"/>
  <c r="L4631" i="2"/>
  <c r="M4631" i="2"/>
  <c r="N4631" i="2"/>
  <c r="O4631" i="2"/>
  <c r="L4632" i="2"/>
  <c r="M4632" i="2"/>
  <c r="N4632" i="2"/>
  <c r="O4632" i="2"/>
  <c r="L4633" i="2"/>
  <c r="M4633" i="2"/>
  <c r="N4633" i="2"/>
  <c r="O4633" i="2"/>
  <c r="L4634" i="2"/>
  <c r="M4634" i="2"/>
  <c r="N4634" i="2"/>
  <c r="O4634" i="2"/>
  <c r="L4635" i="2"/>
  <c r="M4635" i="2"/>
  <c r="N4635" i="2"/>
  <c r="O4635" i="2"/>
  <c r="L4636" i="2"/>
  <c r="M4636" i="2"/>
  <c r="N4636" i="2"/>
  <c r="O4636" i="2"/>
  <c r="L4637" i="2"/>
  <c r="M4637" i="2"/>
  <c r="N4637" i="2"/>
  <c r="O4637" i="2"/>
  <c r="L4638" i="2"/>
  <c r="M4638" i="2"/>
  <c r="N4638" i="2"/>
  <c r="O4638" i="2"/>
  <c r="L4639" i="2"/>
  <c r="M4639" i="2"/>
  <c r="N4639" i="2"/>
  <c r="O4639" i="2"/>
  <c r="L4640" i="2"/>
  <c r="M4640" i="2"/>
  <c r="N4640" i="2"/>
  <c r="O4640" i="2"/>
  <c r="L4641" i="2"/>
  <c r="M4641" i="2"/>
  <c r="N4641" i="2"/>
  <c r="O4641" i="2"/>
  <c r="L4642" i="2"/>
  <c r="M4642" i="2"/>
  <c r="N4642" i="2"/>
  <c r="O4642" i="2"/>
  <c r="L4643" i="2"/>
  <c r="M4643" i="2"/>
  <c r="N4643" i="2"/>
  <c r="O4643" i="2"/>
  <c r="L4644" i="2"/>
  <c r="M4644" i="2"/>
  <c r="N4644" i="2"/>
  <c r="O4644" i="2"/>
  <c r="L4645" i="2"/>
  <c r="M4645" i="2"/>
  <c r="N4645" i="2"/>
  <c r="O4645" i="2"/>
  <c r="L4646" i="2"/>
  <c r="M4646" i="2"/>
  <c r="N4646" i="2"/>
  <c r="O4646" i="2"/>
  <c r="L4647" i="2"/>
  <c r="M4647" i="2"/>
  <c r="N4647" i="2"/>
  <c r="O4647" i="2"/>
  <c r="L4648" i="2"/>
  <c r="M4648" i="2"/>
  <c r="N4648" i="2"/>
  <c r="O4648" i="2"/>
  <c r="L4649" i="2"/>
  <c r="M4649" i="2"/>
  <c r="N4649" i="2"/>
  <c r="O4649" i="2"/>
  <c r="L4650" i="2"/>
  <c r="M4650" i="2"/>
  <c r="N4650" i="2"/>
  <c r="O4650" i="2"/>
  <c r="L4651" i="2"/>
  <c r="M4651" i="2"/>
  <c r="N4651" i="2"/>
  <c r="O4651" i="2"/>
  <c r="L4652" i="2"/>
  <c r="M4652" i="2"/>
  <c r="N4652" i="2"/>
  <c r="O4652" i="2"/>
  <c r="L4653" i="2"/>
  <c r="M4653" i="2"/>
  <c r="N4653" i="2"/>
  <c r="O4653" i="2"/>
  <c r="L4654" i="2"/>
  <c r="M4654" i="2"/>
  <c r="N4654" i="2"/>
  <c r="O4654" i="2"/>
  <c r="L4655" i="2"/>
  <c r="M4655" i="2"/>
  <c r="N4655" i="2"/>
  <c r="O4655" i="2"/>
  <c r="L4656" i="2"/>
  <c r="M4656" i="2"/>
  <c r="N4656" i="2"/>
  <c r="O4656" i="2"/>
  <c r="L4657" i="2"/>
  <c r="M4657" i="2"/>
  <c r="N4657" i="2"/>
  <c r="O4657" i="2"/>
  <c r="L4658" i="2"/>
  <c r="M4658" i="2"/>
  <c r="N4658" i="2"/>
  <c r="O4658" i="2"/>
  <c r="L4659" i="2"/>
  <c r="M4659" i="2"/>
  <c r="N4659" i="2"/>
  <c r="O4659" i="2"/>
  <c r="L4660" i="2"/>
  <c r="M4660" i="2"/>
  <c r="N4660" i="2"/>
  <c r="O4660" i="2"/>
  <c r="L4661" i="2"/>
  <c r="M4661" i="2"/>
  <c r="N4661" i="2"/>
  <c r="O4661" i="2"/>
  <c r="L4662" i="2"/>
  <c r="M4662" i="2"/>
  <c r="N4662" i="2"/>
  <c r="O4662" i="2"/>
  <c r="L4663" i="2"/>
  <c r="M4663" i="2"/>
  <c r="N4663" i="2"/>
  <c r="O4663" i="2"/>
  <c r="L4664" i="2"/>
  <c r="M4664" i="2"/>
  <c r="N4664" i="2"/>
  <c r="O4664" i="2"/>
  <c r="L4665" i="2"/>
  <c r="M4665" i="2"/>
  <c r="N4665" i="2"/>
  <c r="O4665" i="2"/>
  <c r="L4666" i="2"/>
  <c r="M4666" i="2"/>
  <c r="N4666" i="2"/>
  <c r="O4666" i="2"/>
  <c r="L4667" i="2"/>
  <c r="M4667" i="2"/>
  <c r="N4667" i="2"/>
  <c r="O4667" i="2"/>
  <c r="L4668" i="2"/>
  <c r="M4668" i="2"/>
  <c r="N4668" i="2"/>
  <c r="O4668" i="2"/>
  <c r="L4669" i="2"/>
  <c r="M4669" i="2"/>
  <c r="N4669" i="2"/>
  <c r="O4669" i="2"/>
  <c r="L4670" i="2"/>
  <c r="M4670" i="2"/>
  <c r="N4670" i="2"/>
  <c r="O4670" i="2"/>
  <c r="L4671" i="2"/>
  <c r="M4671" i="2"/>
  <c r="N4671" i="2"/>
  <c r="O4671" i="2"/>
  <c r="L4672" i="2"/>
  <c r="M4672" i="2"/>
  <c r="N4672" i="2"/>
  <c r="O4672" i="2"/>
  <c r="L4673" i="2"/>
  <c r="M4673" i="2"/>
  <c r="N4673" i="2"/>
  <c r="O4673" i="2"/>
  <c r="L4674" i="2"/>
  <c r="M4674" i="2"/>
  <c r="N4674" i="2"/>
  <c r="O4674" i="2"/>
  <c r="L4675" i="2"/>
  <c r="M4675" i="2"/>
  <c r="N4675" i="2"/>
  <c r="O4675" i="2"/>
  <c r="L4676" i="2"/>
  <c r="M4676" i="2"/>
  <c r="N4676" i="2"/>
  <c r="O4676" i="2"/>
  <c r="L4677" i="2"/>
  <c r="M4677" i="2"/>
  <c r="N4677" i="2"/>
  <c r="O4677" i="2"/>
  <c r="L4678" i="2"/>
  <c r="M4678" i="2"/>
  <c r="N4678" i="2"/>
  <c r="O4678" i="2"/>
  <c r="L4679" i="2"/>
  <c r="M4679" i="2"/>
  <c r="N4679" i="2"/>
  <c r="O4679" i="2"/>
  <c r="L4680" i="2"/>
  <c r="M4680" i="2"/>
  <c r="N4680" i="2"/>
  <c r="O4680" i="2"/>
  <c r="L4681" i="2"/>
  <c r="M4681" i="2"/>
  <c r="N4681" i="2"/>
  <c r="O4681" i="2"/>
  <c r="L4682" i="2"/>
  <c r="M4682" i="2"/>
  <c r="N4682" i="2"/>
  <c r="O4682" i="2"/>
  <c r="L4683" i="2"/>
  <c r="M4683" i="2"/>
  <c r="N4683" i="2"/>
  <c r="O4683" i="2"/>
  <c r="L4684" i="2"/>
  <c r="M4684" i="2"/>
  <c r="N4684" i="2"/>
  <c r="O4684" i="2"/>
  <c r="L4685" i="2"/>
  <c r="M4685" i="2"/>
  <c r="N4685" i="2"/>
  <c r="O4685" i="2"/>
  <c r="L4686" i="2"/>
  <c r="M4686" i="2"/>
  <c r="N4686" i="2"/>
  <c r="O4686" i="2"/>
  <c r="L4687" i="2"/>
  <c r="M4687" i="2"/>
  <c r="N4687" i="2"/>
  <c r="O4687" i="2"/>
  <c r="L4688" i="2"/>
  <c r="M4688" i="2"/>
  <c r="N4688" i="2"/>
  <c r="O4688" i="2"/>
  <c r="L4689" i="2"/>
  <c r="M4689" i="2"/>
  <c r="N4689" i="2"/>
  <c r="O4689" i="2"/>
  <c r="L4690" i="2"/>
  <c r="M4690" i="2"/>
  <c r="N4690" i="2"/>
  <c r="O4690" i="2"/>
  <c r="L4691" i="2"/>
  <c r="M4691" i="2"/>
  <c r="N4691" i="2"/>
  <c r="O4691" i="2"/>
  <c r="L4692" i="2"/>
  <c r="M4692" i="2"/>
  <c r="N4692" i="2"/>
  <c r="O4692" i="2"/>
  <c r="L4693" i="2"/>
  <c r="M4693" i="2"/>
  <c r="N4693" i="2"/>
  <c r="O4693" i="2"/>
  <c r="L4694" i="2"/>
  <c r="M4694" i="2"/>
  <c r="N4694" i="2"/>
  <c r="O4694" i="2"/>
  <c r="L4695" i="2"/>
  <c r="M4695" i="2"/>
  <c r="N4695" i="2"/>
  <c r="O4695" i="2"/>
  <c r="L4696" i="2"/>
  <c r="M4696" i="2"/>
  <c r="N4696" i="2"/>
  <c r="O4696" i="2"/>
  <c r="L4697" i="2"/>
  <c r="M4697" i="2"/>
  <c r="N4697" i="2"/>
  <c r="O4697" i="2"/>
  <c r="L4698" i="2"/>
  <c r="M4698" i="2"/>
  <c r="N4698" i="2"/>
  <c r="O4698" i="2"/>
  <c r="L4699" i="2"/>
  <c r="M4699" i="2"/>
  <c r="N4699" i="2"/>
  <c r="O4699" i="2"/>
  <c r="L4700" i="2"/>
  <c r="M4700" i="2"/>
  <c r="N4700" i="2"/>
  <c r="O4700" i="2"/>
  <c r="L4701" i="2"/>
  <c r="M4701" i="2"/>
  <c r="N4701" i="2"/>
  <c r="O4701" i="2"/>
  <c r="L4702" i="2"/>
  <c r="M4702" i="2"/>
  <c r="N4702" i="2"/>
  <c r="O4702" i="2"/>
  <c r="L4703" i="2"/>
  <c r="M4703" i="2"/>
  <c r="N4703" i="2"/>
  <c r="O4703" i="2"/>
  <c r="L4704" i="2"/>
  <c r="M4704" i="2"/>
  <c r="N4704" i="2"/>
  <c r="O4704" i="2"/>
  <c r="L4705" i="2"/>
  <c r="M4705" i="2"/>
  <c r="N4705" i="2"/>
  <c r="O4705" i="2"/>
  <c r="L4706" i="2"/>
  <c r="M4706" i="2"/>
  <c r="N4706" i="2"/>
  <c r="O4706" i="2"/>
  <c r="L4707" i="2"/>
  <c r="M4707" i="2"/>
  <c r="N4707" i="2"/>
  <c r="O4707" i="2"/>
  <c r="L4708" i="2"/>
  <c r="M4708" i="2"/>
  <c r="N4708" i="2"/>
  <c r="O4708" i="2"/>
  <c r="L4709" i="2"/>
  <c r="M4709" i="2"/>
  <c r="N4709" i="2"/>
  <c r="O4709" i="2"/>
  <c r="L4710" i="2"/>
  <c r="M4710" i="2"/>
  <c r="N4710" i="2"/>
  <c r="O4710" i="2"/>
  <c r="L4711" i="2"/>
  <c r="M4711" i="2"/>
  <c r="N4711" i="2"/>
  <c r="O4711" i="2"/>
  <c r="L4712" i="2"/>
  <c r="M4712" i="2"/>
  <c r="N4712" i="2"/>
  <c r="O4712" i="2"/>
  <c r="L4713" i="2"/>
  <c r="M4713" i="2"/>
  <c r="N4713" i="2"/>
  <c r="O4713" i="2"/>
  <c r="L4714" i="2"/>
  <c r="M4714" i="2"/>
  <c r="N4714" i="2"/>
  <c r="O4714" i="2"/>
  <c r="L4715" i="2"/>
  <c r="M4715" i="2"/>
  <c r="N4715" i="2"/>
  <c r="O4715" i="2"/>
  <c r="L4716" i="2"/>
  <c r="M4716" i="2"/>
  <c r="N4716" i="2"/>
  <c r="O4716" i="2"/>
  <c r="L4717" i="2"/>
  <c r="M4717" i="2"/>
  <c r="N4717" i="2"/>
  <c r="O4717" i="2"/>
  <c r="L4718" i="2"/>
  <c r="M4718" i="2"/>
  <c r="N4718" i="2"/>
  <c r="O4718" i="2"/>
  <c r="L4719" i="2"/>
  <c r="M4719" i="2"/>
  <c r="N4719" i="2"/>
  <c r="O4719" i="2"/>
  <c r="L4720" i="2"/>
  <c r="M4720" i="2"/>
  <c r="N4720" i="2"/>
  <c r="O4720" i="2"/>
  <c r="L4721" i="2"/>
  <c r="M4721" i="2"/>
  <c r="N4721" i="2"/>
  <c r="O4721" i="2"/>
  <c r="L4722" i="2"/>
  <c r="M4722" i="2"/>
  <c r="N4722" i="2"/>
  <c r="O4722" i="2"/>
  <c r="L4723" i="2"/>
  <c r="M4723" i="2"/>
  <c r="N4723" i="2"/>
  <c r="O4723" i="2"/>
  <c r="L4724" i="2"/>
  <c r="M4724" i="2"/>
  <c r="N4724" i="2"/>
  <c r="O4724" i="2"/>
  <c r="L4725" i="2"/>
  <c r="M4725" i="2"/>
  <c r="N4725" i="2"/>
  <c r="O4725" i="2"/>
  <c r="L4726" i="2"/>
  <c r="M4726" i="2"/>
  <c r="N4726" i="2"/>
  <c r="O4726" i="2"/>
  <c r="L4727" i="2"/>
  <c r="M4727" i="2"/>
  <c r="N4727" i="2"/>
  <c r="O4727" i="2"/>
  <c r="L4728" i="2"/>
  <c r="M4728" i="2"/>
  <c r="N4728" i="2"/>
  <c r="O4728" i="2"/>
  <c r="L4729" i="2"/>
  <c r="M4729" i="2"/>
  <c r="N4729" i="2"/>
  <c r="O4729" i="2"/>
  <c r="L4730" i="2"/>
  <c r="M4730" i="2"/>
  <c r="N4730" i="2"/>
  <c r="O4730" i="2"/>
  <c r="L4731" i="2"/>
  <c r="M4731" i="2"/>
  <c r="N4731" i="2"/>
  <c r="O4731" i="2"/>
  <c r="L4732" i="2"/>
  <c r="M4732" i="2"/>
  <c r="N4732" i="2"/>
  <c r="O4732" i="2"/>
  <c r="L4733" i="2"/>
  <c r="M4733" i="2"/>
  <c r="N4733" i="2"/>
  <c r="O4733" i="2"/>
  <c r="L4734" i="2"/>
  <c r="M4734" i="2"/>
  <c r="N4734" i="2"/>
  <c r="O4734" i="2"/>
  <c r="L4735" i="2"/>
  <c r="M4735" i="2"/>
  <c r="N4735" i="2"/>
  <c r="O4735" i="2"/>
  <c r="L4736" i="2"/>
  <c r="M4736" i="2"/>
  <c r="N4736" i="2"/>
  <c r="O4736" i="2"/>
  <c r="L4737" i="2"/>
  <c r="M4737" i="2"/>
  <c r="N4737" i="2"/>
  <c r="O4737" i="2"/>
  <c r="L4738" i="2"/>
  <c r="M4738" i="2"/>
  <c r="N4738" i="2"/>
  <c r="O4738" i="2"/>
  <c r="L4739" i="2"/>
  <c r="M4739" i="2"/>
  <c r="N4739" i="2"/>
  <c r="O4739" i="2"/>
  <c r="L4740" i="2"/>
  <c r="M4740" i="2"/>
  <c r="N4740" i="2"/>
  <c r="O4740" i="2"/>
  <c r="L4741" i="2"/>
  <c r="M4741" i="2"/>
  <c r="N4741" i="2"/>
  <c r="O4741" i="2"/>
  <c r="L4742" i="2"/>
  <c r="M4742" i="2"/>
  <c r="N4742" i="2"/>
  <c r="O4742" i="2"/>
  <c r="L4743" i="2"/>
  <c r="M4743" i="2"/>
  <c r="N4743" i="2"/>
  <c r="O4743" i="2"/>
  <c r="L4744" i="2"/>
  <c r="M4744" i="2"/>
  <c r="N4744" i="2"/>
  <c r="O4744" i="2"/>
  <c r="L4745" i="2"/>
  <c r="M4745" i="2"/>
  <c r="N4745" i="2"/>
  <c r="O4745" i="2"/>
  <c r="L4746" i="2"/>
  <c r="M4746" i="2"/>
  <c r="N4746" i="2"/>
  <c r="O4746" i="2"/>
  <c r="L4747" i="2"/>
  <c r="M4747" i="2"/>
  <c r="N4747" i="2"/>
  <c r="O4747" i="2"/>
  <c r="L4748" i="2"/>
  <c r="M4748" i="2"/>
  <c r="N4748" i="2"/>
  <c r="O4748" i="2"/>
  <c r="L4749" i="2"/>
  <c r="M4749" i="2"/>
  <c r="N4749" i="2"/>
  <c r="O4749" i="2"/>
  <c r="L4750" i="2"/>
  <c r="M4750" i="2"/>
  <c r="N4750" i="2"/>
  <c r="O4750" i="2"/>
  <c r="L4751" i="2"/>
  <c r="M4751" i="2"/>
  <c r="N4751" i="2"/>
  <c r="O4751" i="2"/>
  <c r="L4752" i="2"/>
  <c r="M4752" i="2"/>
  <c r="N4752" i="2"/>
  <c r="O4752" i="2"/>
  <c r="L4753" i="2"/>
  <c r="M4753" i="2"/>
  <c r="N4753" i="2"/>
  <c r="O4753" i="2"/>
  <c r="L4754" i="2"/>
  <c r="M4754" i="2"/>
  <c r="N4754" i="2"/>
  <c r="O4754" i="2"/>
  <c r="L4755" i="2"/>
  <c r="M4755" i="2"/>
  <c r="N4755" i="2"/>
  <c r="O4755" i="2"/>
  <c r="L4756" i="2"/>
  <c r="M4756" i="2"/>
  <c r="N4756" i="2"/>
  <c r="O4756" i="2"/>
  <c r="L4757" i="2"/>
  <c r="M4757" i="2"/>
  <c r="N4757" i="2"/>
  <c r="O4757" i="2"/>
  <c r="L4758" i="2"/>
  <c r="M4758" i="2"/>
  <c r="N4758" i="2"/>
  <c r="O4758" i="2"/>
  <c r="L4759" i="2"/>
  <c r="M4759" i="2"/>
  <c r="N4759" i="2"/>
  <c r="O4759" i="2"/>
  <c r="L4760" i="2"/>
  <c r="M4760" i="2"/>
  <c r="N4760" i="2"/>
  <c r="O4760" i="2"/>
  <c r="L4761" i="2"/>
  <c r="M4761" i="2"/>
  <c r="N4761" i="2"/>
  <c r="O4761" i="2"/>
  <c r="L4762" i="2"/>
  <c r="M4762" i="2"/>
  <c r="N4762" i="2"/>
  <c r="O4762" i="2"/>
  <c r="L4763" i="2"/>
  <c r="M4763" i="2"/>
  <c r="N4763" i="2"/>
  <c r="O4763" i="2"/>
  <c r="L4764" i="2"/>
  <c r="M4764" i="2"/>
  <c r="N4764" i="2"/>
  <c r="O4764" i="2"/>
  <c r="L4765" i="2"/>
  <c r="M4765" i="2"/>
  <c r="N4765" i="2"/>
  <c r="O4765" i="2"/>
  <c r="L4766" i="2"/>
  <c r="M4766" i="2"/>
  <c r="N4766" i="2"/>
  <c r="O4766" i="2"/>
  <c r="L4767" i="2"/>
  <c r="M4767" i="2"/>
  <c r="N4767" i="2"/>
  <c r="O4767" i="2"/>
  <c r="L4768" i="2"/>
  <c r="M4768" i="2"/>
  <c r="N4768" i="2"/>
  <c r="O4768" i="2"/>
  <c r="L4769" i="2"/>
  <c r="M4769" i="2"/>
  <c r="N4769" i="2"/>
  <c r="O4769" i="2"/>
  <c r="L4770" i="2"/>
  <c r="M4770" i="2"/>
  <c r="N4770" i="2"/>
  <c r="O4770" i="2"/>
  <c r="L4771" i="2"/>
  <c r="M4771" i="2"/>
  <c r="N4771" i="2"/>
  <c r="O4771" i="2"/>
  <c r="L4772" i="2"/>
  <c r="M4772" i="2"/>
  <c r="N4772" i="2"/>
  <c r="O4772" i="2"/>
  <c r="L4773" i="2"/>
  <c r="M4773" i="2"/>
  <c r="N4773" i="2"/>
  <c r="O4773" i="2"/>
  <c r="L4774" i="2"/>
  <c r="M4774" i="2"/>
  <c r="N4774" i="2"/>
  <c r="O4774" i="2"/>
  <c r="L4775" i="2"/>
  <c r="M4775" i="2"/>
  <c r="N4775" i="2"/>
  <c r="O4775" i="2"/>
  <c r="L4776" i="2"/>
  <c r="M4776" i="2"/>
  <c r="N4776" i="2"/>
  <c r="O4776" i="2"/>
  <c r="L4777" i="2"/>
  <c r="M4777" i="2"/>
  <c r="N4777" i="2"/>
  <c r="O4777" i="2"/>
  <c r="L4778" i="2"/>
  <c r="M4778" i="2"/>
  <c r="N4778" i="2"/>
  <c r="O4778" i="2"/>
  <c r="L4779" i="2"/>
  <c r="M4779" i="2"/>
  <c r="N4779" i="2"/>
  <c r="O4779" i="2"/>
  <c r="L4780" i="2"/>
  <c r="M4780" i="2"/>
  <c r="N4780" i="2"/>
  <c r="O4780" i="2"/>
  <c r="L4781" i="2"/>
  <c r="M4781" i="2"/>
  <c r="N4781" i="2"/>
  <c r="O4781" i="2"/>
  <c r="L4782" i="2"/>
  <c r="M4782" i="2"/>
  <c r="N4782" i="2"/>
  <c r="O4782" i="2"/>
  <c r="L4783" i="2"/>
  <c r="M4783" i="2"/>
  <c r="N4783" i="2"/>
  <c r="O4783" i="2"/>
  <c r="L4784" i="2"/>
  <c r="M4784" i="2"/>
  <c r="N4784" i="2"/>
  <c r="O4784" i="2"/>
  <c r="L4785" i="2"/>
  <c r="M4785" i="2"/>
  <c r="N4785" i="2"/>
  <c r="O4785" i="2"/>
  <c r="L4786" i="2"/>
  <c r="M4786" i="2"/>
  <c r="N4786" i="2"/>
  <c r="O4786" i="2"/>
  <c r="L4787" i="2"/>
  <c r="M4787" i="2"/>
  <c r="N4787" i="2"/>
  <c r="O4787" i="2"/>
  <c r="L4788" i="2"/>
  <c r="M4788" i="2"/>
  <c r="N4788" i="2"/>
  <c r="O4788" i="2"/>
  <c r="L4789" i="2"/>
  <c r="M4789" i="2"/>
  <c r="N4789" i="2"/>
  <c r="O4789" i="2"/>
  <c r="L4790" i="2"/>
  <c r="M4790" i="2"/>
  <c r="N4790" i="2"/>
  <c r="O4790" i="2"/>
  <c r="L4791" i="2"/>
  <c r="M4791" i="2"/>
  <c r="N4791" i="2"/>
  <c r="O4791" i="2"/>
  <c r="L4792" i="2"/>
  <c r="M4792" i="2"/>
  <c r="N4792" i="2"/>
  <c r="O4792" i="2"/>
  <c r="L4793" i="2"/>
  <c r="M4793" i="2"/>
  <c r="N4793" i="2"/>
  <c r="O4793" i="2"/>
  <c r="L4794" i="2"/>
  <c r="M4794" i="2"/>
  <c r="N4794" i="2"/>
  <c r="O4794" i="2"/>
  <c r="L4795" i="2"/>
  <c r="M4795" i="2"/>
  <c r="N4795" i="2"/>
  <c r="O4795" i="2"/>
  <c r="L4796" i="2"/>
  <c r="M4796" i="2"/>
  <c r="N4796" i="2"/>
  <c r="O4796" i="2"/>
  <c r="L4797" i="2"/>
  <c r="M4797" i="2"/>
  <c r="N4797" i="2"/>
  <c r="O4797" i="2"/>
  <c r="L4798" i="2"/>
  <c r="M4798" i="2"/>
  <c r="N4798" i="2"/>
  <c r="O4798" i="2"/>
  <c r="L4799" i="2"/>
  <c r="M4799" i="2"/>
  <c r="N4799" i="2"/>
  <c r="O4799" i="2"/>
  <c r="L4800" i="2"/>
  <c r="M4800" i="2"/>
  <c r="N4800" i="2"/>
  <c r="O4800" i="2"/>
  <c r="L4801" i="2"/>
  <c r="M4801" i="2"/>
  <c r="N4801" i="2"/>
  <c r="O4801" i="2"/>
  <c r="L4802" i="2"/>
  <c r="M4802" i="2"/>
  <c r="N4802" i="2"/>
  <c r="O4802" i="2"/>
  <c r="L4803" i="2"/>
  <c r="M4803" i="2"/>
  <c r="N4803" i="2"/>
  <c r="O4803" i="2"/>
  <c r="L4804" i="2"/>
  <c r="M4804" i="2"/>
  <c r="N4804" i="2"/>
  <c r="O4804" i="2"/>
  <c r="L4805" i="2"/>
  <c r="M4805" i="2"/>
  <c r="N4805" i="2"/>
  <c r="O4805" i="2"/>
  <c r="L4806" i="2"/>
  <c r="M4806" i="2"/>
  <c r="N4806" i="2"/>
  <c r="O4806" i="2"/>
  <c r="L4807" i="2"/>
  <c r="M4807" i="2"/>
  <c r="N4807" i="2"/>
  <c r="O4807" i="2"/>
  <c r="L4808" i="2"/>
  <c r="M4808" i="2"/>
  <c r="N4808" i="2"/>
  <c r="O4808" i="2"/>
  <c r="L4809" i="2"/>
  <c r="M4809" i="2"/>
  <c r="N4809" i="2"/>
  <c r="O4809" i="2"/>
  <c r="L4810" i="2"/>
  <c r="M4810" i="2"/>
  <c r="N4810" i="2"/>
  <c r="O4810" i="2"/>
  <c r="L4811" i="2"/>
  <c r="M4811" i="2"/>
  <c r="N4811" i="2"/>
  <c r="O4811" i="2"/>
  <c r="L4812" i="2"/>
  <c r="M4812" i="2"/>
  <c r="N4812" i="2"/>
  <c r="O4812" i="2"/>
  <c r="L4813" i="2"/>
  <c r="M4813" i="2"/>
  <c r="N4813" i="2"/>
  <c r="O4813" i="2"/>
  <c r="L4814" i="2"/>
  <c r="M4814" i="2"/>
  <c r="N4814" i="2"/>
  <c r="O4814" i="2"/>
  <c r="L4815" i="2"/>
  <c r="M4815" i="2"/>
  <c r="N4815" i="2"/>
  <c r="O4815" i="2"/>
  <c r="L4816" i="2"/>
  <c r="M4816" i="2"/>
  <c r="N4816" i="2"/>
  <c r="O4816" i="2"/>
  <c r="L4817" i="2"/>
  <c r="M4817" i="2"/>
  <c r="N4817" i="2"/>
  <c r="O4817" i="2"/>
  <c r="L4818" i="2"/>
  <c r="M4818" i="2"/>
  <c r="N4818" i="2"/>
  <c r="O4818" i="2"/>
  <c r="L4819" i="2"/>
  <c r="M4819" i="2"/>
  <c r="N4819" i="2"/>
  <c r="O4819" i="2"/>
  <c r="L4820" i="2"/>
  <c r="M4820" i="2"/>
  <c r="N4820" i="2"/>
  <c r="O4820" i="2"/>
  <c r="L4821" i="2"/>
  <c r="M4821" i="2"/>
  <c r="N4821" i="2"/>
  <c r="O4821" i="2"/>
  <c r="L4822" i="2"/>
  <c r="M4822" i="2"/>
  <c r="N4822" i="2"/>
  <c r="O4822" i="2"/>
  <c r="L4823" i="2"/>
  <c r="M4823" i="2"/>
  <c r="N4823" i="2"/>
  <c r="O4823" i="2"/>
  <c r="L4824" i="2"/>
  <c r="M4824" i="2"/>
  <c r="N4824" i="2"/>
  <c r="O4824" i="2"/>
  <c r="L4825" i="2"/>
  <c r="M4825" i="2"/>
  <c r="N4825" i="2"/>
  <c r="O4825" i="2"/>
  <c r="L4826" i="2"/>
  <c r="M4826" i="2"/>
  <c r="N4826" i="2"/>
  <c r="O4826" i="2"/>
  <c r="L4827" i="2"/>
  <c r="M4827" i="2"/>
  <c r="N4827" i="2"/>
  <c r="O4827" i="2"/>
  <c r="L4828" i="2"/>
  <c r="M4828" i="2"/>
  <c r="N4828" i="2"/>
  <c r="O4828" i="2"/>
  <c r="L4829" i="2"/>
  <c r="M4829" i="2"/>
  <c r="N4829" i="2"/>
  <c r="O4829" i="2"/>
  <c r="L4830" i="2"/>
  <c r="M4830" i="2"/>
  <c r="N4830" i="2"/>
  <c r="O4830" i="2"/>
  <c r="L4831" i="2"/>
  <c r="M4831" i="2"/>
  <c r="N4831" i="2"/>
  <c r="O4831" i="2"/>
  <c r="L4832" i="2"/>
  <c r="M4832" i="2"/>
  <c r="N4832" i="2"/>
  <c r="O4832" i="2"/>
  <c r="L4833" i="2"/>
  <c r="M4833" i="2"/>
  <c r="N4833" i="2"/>
  <c r="O4833" i="2"/>
  <c r="L4834" i="2"/>
  <c r="M4834" i="2"/>
  <c r="N4834" i="2"/>
  <c r="O4834" i="2"/>
  <c r="L4835" i="2"/>
  <c r="M4835" i="2"/>
  <c r="N4835" i="2"/>
  <c r="O4835" i="2"/>
  <c r="L4836" i="2"/>
  <c r="M4836" i="2"/>
  <c r="N4836" i="2"/>
  <c r="O4836" i="2"/>
  <c r="L4837" i="2"/>
  <c r="M4837" i="2"/>
  <c r="N4837" i="2"/>
  <c r="O4837" i="2"/>
  <c r="L4838" i="2"/>
  <c r="M4838" i="2"/>
  <c r="N4838" i="2"/>
  <c r="O4838" i="2"/>
  <c r="L4839" i="2"/>
  <c r="M4839" i="2"/>
  <c r="N4839" i="2"/>
  <c r="O4839" i="2"/>
  <c r="L4840" i="2"/>
  <c r="M4840" i="2"/>
  <c r="N4840" i="2"/>
  <c r="O4840" i="2"/>
  <c r="L4841" i="2"/>
  <c r="M4841" i="2"/>
  <c r="N4841" i="2"/>
  <c r="O4841" i="2"/>
  <c r="L4842" i="2"/>
  <c r="M4842" i="2"/>
  <c r="N4842" i="2"/>
  <c r="O4842" i="2"/>
  <c r="L4843" i="2"/>
  <c r="M4843" i="2"/>
  <c r="N4843" i="2"/>
  <c r="O4843" i="2"/>
  <c r="L4844" i="2"/>
  <c r="M4844" i="2"/>
  <c r="N4844" i="2"/>
  <c r="O4844" i="2"/>
  <c r="L4845" i="2"/>
  <c r="M4845" i="2"/>
  <c r="N4845" i="2"/>
  <c r="O4845" i="2"/>
  <c r="L4846" i="2"/>
  <c r="M4846" i="2"/>
  <c r="N4846" i="2"/>
  <c r="O4846" i="2"/>
  <c r="L4847" i="2"/>
  <c r="M4847" i="2"/>
  <c r="N4847" i="2"/>
  <c r="O4847" i="2"/>
  <c r="L4848" i="2"/>
  <c r="M4848" i="2"/>
  <c r="N4848" i="2"/>
  <c r="O4848" i="2"/>
  <c r="L4849" i="2"/>
  <c r="M4849" i="2"/>
  <c r="N4849" i="2"/>
  <c r="O4849" i="2"/>
  <c r="L4850" i="2"/>
  <c r="M4850" i="2"/>
  <c r="N4850" i="2"/>
  <c r="O4850" i="2"/>
  <c r="L4851" i="2"/>
  <c r="M4851" i="2"/>
  <c r="N4851" i="2"/>
  <c r="O4851" i="2"/>
  <c r="L4852" i="2"/>
  <c r="M4852" i="2"/>
  <c r="N4852" i="2"/>
  <c r="O4852" i="2"/>
  <c r="L4853" i="2"/>
  <c r="M4853" i="2"/>
  <c r="N4853" i="2"/>
  <c r="O4853" i="2"/>
  <c r="L4854" i="2"/>
  <c r="M4854" i="2"/>
  <c r="N4854" i="2"/>
  <c r="O4854" i="2"/>
  <c r="L4855" i="2"/>
  <c r="M4855" i="2"/>
  <c r="N4855" i="2"/>
  <c r="O4855" i="2"/>
  <c r="L4856" i="2"/>
  <c r="M4856" i="2"/>
  <c r="N4856" i="2"/>
  <c r="O4856" i="2"/>
  <c r="L4857" i="2"/>
  <c r="M4857" i="2"/>
  <c r="N4857" i="2"/>
  <c r="O4857" i="2"/>
  <c r="L4858" i="2"/>
  <c r="M4858" i="2"/>
  <c r="N4858" i="2"/>
  <c r="O4858" i="2"/>
  <c r="L4859" i="2"/>
  <c r="M4859" i="2"/>
  <c r="N4859" i="2"/>
  <c r="O4859" i="2"/>
  <c r="L4860" i="2"/>
  <c r="M4860" i="2"/>
  <c r="N4860" i="2"/>
  <c r="O4860" i="2"/>
  <c r="L4861" i="2"/>
  <c r="M4861" i="2"/>
  <c r="N4861" i="2"/>
  <c r="O4861" i="2"/>
  <c r="L4862" i="2"/>
  <c r="M4862" i="2"/>
  <c r="N4862" i="2"/>
  <c r="O4862" i="2"/>
  <c r="L4863" i="2"/>
  <c r="M4863" i="2"/>
  <c r="N4863" i="2"/>
  <c r="O4863" i="2"/>
  <c r="L4864" i="2"/>
  <c r="M4864" i="2"/>
  <c r="N4864" i="2"/>
  <c r="O4864" i="2"/>
  <c r="L4865" i="2"/>
  <c r="M4865" i="2"/>
  <c r="N4865" i="2"/>
  <c r="O4865" i="2"/>
  <c r="L4866" i="2"/>
  <c r="M4866" i="2"/>
  <c r="N4866" i="2"/>
  <c r="O4866" i="2"/>
  <c r="L4867" i="2"/>
  <c r="M4867" i="2"/>
  <c r="N4867" i="2"/>
  <c r="O4867" i="2"/>
  <c r="L4868" i="2"/>
  <c r="M4868" i="2"/>
  <c r="N4868" i="2"/>
  <c r="O4868" i="2"/>
  <c r="L4869" i="2"/>
  <c r="M4869" i="2"/>
  <c r="N4869" i="2"/>
  <c r="O4869" i="2"/>
  <c r="L4870" i="2"/>
  <c r="M4870" i="2"/>
  <c r="N4870" i="2"/>
  <c r="O4870" i="2"/>
  <c r="L4871" i="2"/>
  <c r="M4871" i="2"/>
  <c r="N4871" i="2"/>
  <c r="O4871" i="2"/>
  <c r="L4872" i="2"/>
  <c r="M4872" i="2"/>
  <c r="N4872" i="2"/>
  <c r="O4872" i="2"/>
  <c r="L4873" i="2"/>
  <c r="M4873" i="2"/>
  <c r="N4873" i="2"/>
  <c r="O4873" i="2"/>
  <c r="L4874" i="2"/>
  <c r="M4874" i="2"/>
  <c r="N4874" i="2"/>
  <c r="O4874" i="2"/>
  <c r="L4875" i="2"/>
  <c r="M4875" i="2"/>
  <c r="N4875" i="2"/>
  <c r="O4875" i="2"/>
  <c r="L4876" i="2"/>
  <c r="M4876" i="2"/>
  <c r="N4876" i="2"/>
  <c r="O4876" i="2"/>
  <c r="L4877" i="2"/>
  <c r="M4877" i="2"/>
  <c r="N4877" i="2"/>
  <c r="O4877" i="2"/>
  <c r="L4878" i="2"/>
  <c r="M4878" i="2"/>
  <c r="N4878" i="2"/>
  <c r="O4878" i="2"/>
  <c r="L4879" i="2"/>
  <c r="M4879" i="2"/>
  <c r="N4879" i="2"/>
  <c r="O4879" i="2"/>
  <c r="L4880" i="2"/>
  <c r="M4880" i="2"/>
  <c r="N4880" i="2"/>
  <c r="O4880" i="2"/>
  <c r="L4881" i="2"/>
  <c r="M4881" i="2"/>
  <c r="N4881" i="2"/>
  <c r="O4881" i="2"/>
  <c r="L4882" i="2"/>
  <c r="M4882" i="2"/>
  <c r="N4882" i="2"/>
  <c r="O4882" i="2"/>
  <c r="L4883" i="2"/>
  <c r="M4883" i="2"/>
  <c r="N4883" i="2"/>
  <c r="O4883" i="2"/>
  <c r="L4884" i="2"/>
  <c r="M4884" i="2"/>
  <c r="N4884" i="2"/>
  <c r="O4884" i="2"/>
  <c r="L4885" i="2"/>
  <c r="M4885" i="2"/>
  <c r="N4885" i="2"/>
  <c r="O4885" i="2"/>
  <c r="L4886" i="2"/>
  <c r="M4886" i="2"/>
  <c r="N4886" i="2"/>
  <c r="O4886" i="2"/>
  <c r="L4887" i="2"/>
  <c r="M4887" i="2"/>
  <c r="N4887" i="2"/>
  <c r="O4887" i="2"/>
  <c r="L4888" i="2"/>
  <c r="M4888" i="2"/>
  <c r="N4888" i="2"/>
  <c r="O4888" i="2"/>
  <c r="L4889" i="2"/>
  <c r="M4889" i="2"/>
  <c r="N4889" i="2"/>
  <c r="O4889" i="2"/>
  <c r="L4890" i="2"/>
  <c r="M4890" i="2"/>
  <c r="N4890" i="2"/>
  <c r="O4890" i="2"/>
  <c r="L4891" i="2"/>
  <c r="M4891" i="2"/>
  <c r="N4891" i="2"/>
  <c r="O4891" i="2"/>
  <c r="L4892" i="2"/>
  <c r="M4892" i="2"/>
  <c r="N4892" i="2"/>
  <c r="O4892" i="2"/>
  <c r="L4893" i="2"/>
  <c r="M4893" i="2"/>
  <c r="N4893" i="2"/>
  <c r="O4893" i="2"/>
  <c r="L4894" i="2"/>
  <c r="M4894" i="2"/>
  <c r="N4894" i="2"/>
  <c r="O4894" i="2"/>
  <c r="L4895" i="2"/>
  <c r="M4895" i="2"/>
  <c r="N4895" i="2"/>
  <c r="O4895" i="2"/>
  <c r="L4896" i="2"/>
  <c r="M4896" i="2"/>
  <c r="N4896" i="2"/>
  <c r="O4896" i="2"/>
  <c r="L4897" i="2"/>
  <c r="M4897" i="2"/>
  <c r="N4897" i="2"/>
  <c r="O4897" i="2"/>
  <c r="L4898" i="2"/>
  <c r="M4898" i="2"/>
  <c r="N4898" i="2"/>
  <c r="O4898" i="2"/>
  <c r="L4899" i="2"/>
  <c r="M4899" i="2"/>
  <c r="N4899" i="2"/>
  <c r="O4899" i="2"/>
  <c r="L4900" i="2"/>
  <c r="M4900" i="2"/>
  <c r="N4900" i="2"/>
  <c r="O4900" i="2"/>
  <c r="L4901" i="2"/>
  <c r="M4901" i="2"/>
  <c r="N4901" i="2"/>
  <c r="O4901" i="2"/>
  <c r="L4902" i="2"/>
  <c r="M4902" i="2"/>
  <c r="N4902" i="2"/>
  <c r="O4902" i="2"/>
  <c r="L4903" i="2"/>
  <c r="M4903" i="2"/>
  <c r="N4903" i="2"/>
  <c r="O4903" i="2"/>
  <c r="L4904" i="2"/>
  <c r="M4904" i="2"/>
  <c r="N4904" i="2"/>
  <c r="O4904" i="2"/>
  <c r="L4905" i="2"/>
  <c r="M4905" i="2"/>
  <c r="N4905" i="2"/>
  <c r="O4905" i="2"/>
  <c r="L4906" i="2"/>
  <c r="M4906" i="2"/>
  <c r="N4906" i="2"/>
  <c r="O4906" i="2"/>
  <c r="L4907" i="2"/>
  <c r="M4907" i="2"/>
  <c r="N4907" i="2"/>
  <c r="O4907" i="2"/>
  <c r="L4908" i="2"/>
  <c r="M4908" i="2"/>
  <c r="N4908" i="2"/>
  <c r="O4908" i="2"/>
  <c r="L4909" i="2"/>
  <c r="M4909" i="2"/>
  <c r="N4909" i="2"/>
  <c r="O4909" i="2"/>
  <c r="L4910" i="2"/>
  <c r="M4910" i="2"/>
  <c r="N4910" i="2"/>
  <c r="O4910" i="2"/>
  <c r="L4911" i="2"/>
  <c r="M4911" i="2"/>
  <c r="N4911" i="2"/>
  <c r="O4911" i="2"/>
  <c r="L4912" i="2"/>
  <c r="M4912" i="2"/>
  <c r="N4912" i="2"/>
  <c r="O4912" i="2"/>
  <c r="L4913" i="2"/>
  <c r="M4913" i="2"/>
  <c r="N4913" i="2"/>
  <c r="O4913" i="2"/>
  <c r="L4914" i="2"/>
  <c r="M4914" i="2"/>
  <c r="N4914" i="2"/>
  <c r="O4914" i="2"/>
  <c r="L4915" i="2"/>
  <c r="M4915" i="2"/>
  <c r="N4915" i="2"/>
  <c r="O4915" i="2"/>
  <c r="L4916" i="2"/>
  <c r="M4916" i="2"/>
  <c r="N4916" i="2"/>
  <c r="O4916" i="2"/>
  <c r="L4917" i="2"/>
  <c r="M4917" i="2"/>
  <c r="N4917" i="2"/>
  <c r="O4917" i="2"/>
  <c r="L4918" i="2"/>
  <c r="M4918" i="2"/>
  <c r="N4918" i="2"/>
  <c r="O4918" i="2"/>
  <c r="L4919" i="2"/>
  <c r="M4919" i="2"/>
  <c r="N4919" i="2"/>
  <c r="O4919" i="2"/>
  <c r="L4920" i="2"/>
  <c r="M4920" i="2"/>
  <c r="N4920" i="2"/>
  <c r="O4920" i="2"/>
  <c r="L4921" i="2"/>
  <c r="M4921" i="2"/>
  <c r="N4921" i="2"/>
  <c r="O4921" i="2"/>
  <c r="L4922" i="2"/>
  <c r="M4922" i="2"/>
  <c r="N4922" i="2"/>
  <c r="O4922" i="2"/>
  <c r="L4923" i="2"/>
  <c r="M4923" i="2"/>
  <c r="N4923" i="2"/>
  <c r="O4923" i="2"/>
  <c r="L4924" i="2"/>
  <c r="M4924" i="2"/>
  <c r="N4924" i="2"/>
  <c r="O4924" i="2"/>
  <c r="L4925" i="2"/>
  <c r="M4925" i="2"/>
  <c r="N4925" i="2"/>
  <c r="O4925" i="2"/>
  <c r="L4926" i="2"/>
  <c r="M4926" i="2"/>
  <c r="N4926" i="2"/>
  <c r="O4926" i="2"/>
  <c r="L4927" i="2"/>
  <c r="M4927" i="2"/>
  <c r="N4927" i="2"/>
  <c r="O4927" i="2"/>
  <c r="L4928" i="2"/>
  <c r="M4928" i="2"/>
  <c r="N4928" i="2"/>
  <c r="O4928" i="2"/>
  <c r="L4929" i="2"/>
  <c r="M4929" i="2"/>
  <c r="N4929" i="2"/>
  <c r="O4929" i="2"/>
  <c r="L4930" i="2"/>
  <c r="M4930" i="2"/>
  <c r="N4930" i="2"/>
  <c r="O4930" i="2"/>
  <c r="L4931" i="2"/>
  <c r="M4931" i="2"/>
  <c r="N4931" i="2"/>
  <c r="O4931" i="2"/>
  <c r="L4932" i="2"/>
  <c r="M4932" i="2"/>
  <c r="N4932" i="2"/>
  <c r="O4932" i="2"/>
  <c r="L4933" i="2"/>
  <c r="M4933" i="2"/>
  <c r="N4933" i="2"/>
  <c r="O4933" i="2"/>
  <c r="L4934" i="2"/>
  <c r="M4934" i="2"/>
  <c r="N4934" i="2"/>
  <c r="O4934" i="2"/>
  <c r="L4935" i="2"/>
  <c r="M4935" i="2"/>
  <c r="N4935" i="2"/>
  <c r="O4935" i="2"/>
  <c r="L4936" i="2"/>
  <c r="M4936" i="2"/>
  <c r="N4936" i="2"/>
  <c r="O4936" i="2"/>
  <c r="L4937" i="2"/>
  <c r="M4937" i="2"/>
  <c r="N4937" i="2"/>
  <c r="O4937" i="2"/>
  <c r="L4938" i="2"/>
  <c r="M4938" i="2"/>
  <c r="N4938" i="2"/>
  <c r="O4938" i="2"/>
  <c r="L4939" i="2"/>
  <c r="M4939" i="2"/>
  <c r="N4939" i="2"/>
  <c r="O4939" i="2"/>
  <c r="L4940" i="2"/>
  <c r="M4940" i="2"/>
  <c r="N4940" i="2"/>
  <c r="O4940" i="2"/>
  <c r="L4941" i="2"/>
  <c r="M4941" i="2"/>
  <c r="N4941" i="2"/>
  <c r="O4941" i="2"/>
  <c r="L4942" i="2"/>
  <c r="M4942" i="2"/>
  <c r="N4942" i="2"/>
  <c r="O4942" i="2"/>
  <c r="L4943" i="2"/>
  <c r="M4943" i="2"/>
  <c r="N4943" i="2"/>
  <c r="O4943" i="2"/>
  <c r="L4944" i="2"/>
  <c r="M4944" i="2"/>
  <c r="N4944" i="2"/>
  <c r="O4944" i="2"/>
  <c r="L4945" i="2"/>
  <c r="M4945" i="2"/>
  <c r="N4945" i="2"/>
  <c r="O4945" i="2"/>
  <c r="L4946" i="2"/>
  <c r="M4946" i="2"/>
  <c r="N4946" i="2"/>
  <c r="O4946" i="2"/>
  <c r="L4947" i="2"/>
  <c r="M4947" i="2"/>
  <c r="N4947" i="2"/>
  <c r="O4947" i="2"/>
  <c r="L4948" i="2"/>
  <c r="M4948" i="2"/>
  <c r="N4948" i="2"/>
  <c r="O4948" i="2"/>
  <c r="L4949" i="2"/>
  <c r="M4949" i="2"/>
  <c r="N4949" i="2"/>
  <c r="O4949" i="2"/>
  <c r="L4950" i="2"/>
  <c r="M4950" i="2"/>
  <c r="N4950" i="2"/>
  <c r="O4950" i="2"/>
  <c r="L4951" i="2"/>
  <c r="M4951" i="2"/>
  <c r="N4951" i="2"/>
  <c r="O4951" i="2"/>
  <c r="L4952" i="2"/>
  <c r="M4952" i="2"/>
  <c r="N4952" i="2"/>
  <c r="O4952" i="2"/>
  <c r="L4953" i="2"/>
  <c r="M4953" i="2"/>
  <c r="N4953" i="2"/>
  <c r="O4953" i="2"/>
  <c r="L4954" i="2"/>
  <c r="M4954" i="2"/>
  <c r="N4954" i="2"/>
  <c r="O4954" i="2"/>
  <c r="L4955" i="2"/>
  <c r="M4955" i="2"/>
  <c r="N4955" i="2"/>
  <c r="O4955" i="2"/>
  <c r="L4956" i="2"/>
  <c r="M4956" i="2"/>
  <c r="N4956" i="2"/>
  <c r="O4956" i="2"/>
  <c r="L4957" i="2"/>
  <c r="M4957" i="2"/>
  <c r="N4957" i="2"/>
  <c r="O4957" i="2"/>
  <c r="L4958" i="2"/>
  <c r="M4958" i="2"/>
  <c r="N4958" i="2"/>
  <c r="O4958" i="2"/>
  <c r="L4959" i="2"/>
  <c r="M4959" i="2"/>
  <c r="N4959" i="2"/>
  <c r="O4959" i="2"/>
  <c r="L4960" i="2"/>
  <c r="M4960" i="2"/>
  <c r="N4960" i="2"/>
  <c r="O4960" i="2"/>
  <c r="L4961" i="2"/>
  <c r="M4961" i="2"/>
  <c r="N4961" i="2"/>
  <c r="O4961" i="2"/>
  <c r="L4962" i="2"/>
  <c r="M4962" i="2"/>
  <c r="N4962" i="2"/>
  <c r="O4962" i="2"/>
  <c r="L4963" i="2"/>
  <c r="M4963" i="2"/>
  <c r="N4963" i="2"/>
  <c r="O4963" i="2"/>
  <c r="L4964" i="2"/>
  <c r="M4964" i="2"/>
  <c r="N4964" i="2"/>
  <c r="O4964" i="2"/>
  <c r="L4965" i="2"/>
  <c r="M4965" i="2"/>
  <c r="N4965" i="2"/>
  <c r="O4965" i="2"/>
  <c r="L4966" i="2"/>
  <c r="M4966" i="2"/>
  <c r="N4966" i="2"/>
  <c r="O4966" i="2"/>
  <c r="L4967" i="2"/>
  <c r="M4967" i="2"/>
  <c r="N4967" i="2"/>
  <c r="O4967" i="2"/>
  <c r="L4968" i="2"/>
  <c r="M4968" i="2"/>
  <c r="N4968" i="2"/>
  <c r="O4968" i="2"/>
  <c r="L4969" i="2"/>
  <c r="M4969" i="2"/>
  <c r="N4969" i="2"/>
  <c r="O4969" i="2"/>
  <c r="L4970" i="2"/>
  <c r="M4970" i="2"/>
  <c r="N4970" i="2"/>
  <c r="O4970" i="2"/>
  <c r="L4971" i="2"/>
  <c r="M4971" i="2"/>
  <c r="N4971" i="2"/>
  <c r="O4971" i="2"/>
  <c r="L4972" i="2"/>
  <c r="M4972" i="2"/>
  <c r="N4972" i="2"/>
  <c r="O4972" i="2"/>
  <c r="L4973" i="2"/>
  <c r="M4973" i="2"/>
  <c r="N4973" i="2"/>
  <c r="O4973" i="2"/>
  <c r="L4974" i="2"/>
  <c r="M4974" i="2"/>
  <c r="N4974" i="2"/>
  <c r="O4974" i="2"/>
  <c r="L4975" i="2"/>
  <c r="M4975" i="2"/>
  <c r="N4975" i="2"/>
  <c r="O4975" i="2"/>
  <c r="L4976" i="2"/>
  <c r="M4976" i="2"/>
  <c r="N4976" i="2"/>
  <c r="O4976" i="2"/>
  <c r="L4977" i="2"/>
  <c r="M4977" i="2"/>
  <c r="N4977" i="2"/>
  <c r="O4977" i="2"/>
  <c r="L4978" i="2"/>
  <c r="M4978" i="2"/>
  <c r="N4978" i="2"/>
  <c r="O4978" i="2"/>
  <c r="L4979" i="2"/>
  <c r="M4979" i="2"/>
  <c r="N4979" i="2"/>
  <c r="O4979" i="2"/>
  <c r="L4980" i="2"/>
  <c r="M4980" i="2"/>
  <c r="N4980" i="2"/>
  <c r="O4980" i="2"/>
  <c r="L4981" i="2"/>
  <c r="M4981" i="2"/>
  <c r="N4981" i="2"/>
  <c r="O4981" i="2"/>
  <c r="L4982" i="2"/>
  <c r="M4982" i="2"/>
  <c r="N4982" i="2"/>
  <c r="O4982" i="2"/>
  <c r="L4983" i="2"/>
  <c r="M4983" i="2"/>
  <c r="N4983" i="2"/>
  <c r="O4983" i="2"/>
  <c r="L4984" i="2"/>
  <c r="M4984" i="2"/>
  <c r="N4984" i="2"/>
  <c r="O4984" i="2"/>
  <c r="L4985" i="2"/>
  <c r="M4985" i="2"/>
  <c r="N4985" i="2"/>
  <c r="O4985" i="2"/>
  <c r="L4986" i="2"/>
  <c r="M4986" i="2"/>
  <c r="N4986" i="2"/>
  <c r="O4986" i="2"/>
  <c r="L4987" i="2"/>
  <c r="M4987" i="2"/>
  <c r="N4987" i="2"/>
  <c r="O4987" i="2"/>
  <c r="L4988" i="2"/>
  <c r="M4988" i="2"/>
  <c r="N4988" i="2"/>
  <c r="O4988" i="2"/>
  <c r="L4989" i="2"/>
  <c r="M4989" i="2"/>
  <c r="N4989" i="2"/>
  <c r="O4989" i="2"/>
  <c r="L4990" i="2"/>
  <c r="M4990" i="2"/>
  <c r="N4990" i="2"/>
  <c r="O4990" i="2"/>
  <c r="L4991" i="2"/>
  <c r="M4991" i="2"/>
  <c r="N4991" i="2"/>
  <c r="O4991" i="2"/>
  <c r="L4992" i="2"/>
  <c r="M4992" i="2"/>
  <c r="N4992" i="2"/>
  <c r="O4992" i="2"/>
  <c r="L4993" i="2"/>
  <c r="M4993" i="2"/>
  <c r="N4993" i="2"/>
  <c r="O4993" i="2"/>
  <c r="L4994" i="2"/>
  <c r="M4994" i="2"/>
  <c r="N4994" i="2"/>
  <c r="O4994" i="2"/>
  <c r="L4995" i="2"/>
  <c r="M4995" i="2"/>
  <c r="N4995" i="2"/>
  <c r="O4995" i="2"/>
  <c r="L4996" i="2"/>
  <c r="M4996" i="2"/>
  <c r="N4996" i="2"/>
  <c r="O4996" i="2"/>
  <c r="L4997" i="2"/>
  <c r="M4997" i="2"/>
  <c r="N4997" i="2"/>
  <c r="O4997" i="2"/>
  <c r="L4998" i="2"/>
  <c r="M4998" i="2"/>
  <c r="N4998" i="2"/>
  <c r="O4998" i="2"/>
  <c r="L4999" i="2"/>
  <c r="M4999" i="2"/>
  <c r="N4999" i="2"/>
  <c r="O4999" i="2"/>
  <c r="L5000" i="2"/>
  <c r="M5000" i="2"/>
  <c r="N5000" i="2"/>
  <c r="O5000" i="2"/>
  <c r="L5001" i="2"/>
  <c r="M5001" i="2"/>
  <c r="N5001" i="2"/>
  <c r="O5001" i="2"/>
  <c r="L5002" i="2"/>
  <c r="M5002" i="2"/>
  <c r="N5002" i="2"/>
  <c r="O5002" i="2"/>
  <c r="L5003" i="2"/>
  <c r="M5003" i="2"/>
  <c r="N5003" i="2"/>
  <c r="O5003" i="2"/>
  <c r="L5004" i="2"/>
  <c r="M5004" i="2"/>
  <c r="N5004" i="2"/>
  <c r="O5004" i="2"/>
  <c r="L5005" i="2"/>
  <c r="M5005" i="2"/>
  <c r="N5005" i="2"/>
  <c r="O5005" i="2"/>
  <c r="L5006" i="2"/>
  <c r="M5006" i="2"/>
  <c r="N5006" i="2"/>
  <c r="O5006" i="2"/>
  <c r="L5007" i="2"/>
  <c r="M5007" i="2"/>
  <c r="N5007" i="2"/>
  <c r="O5007" i="2"/>
  <c r="L5008" i="2"/>
  <c r="M5008" i="2"/>
  <c r="N5008" i="2"/>
  <c r="O5008" i="2"/>
  <c r="L5009" i="2"/>
  <c r="M5009" i="2"/>
  <c r="N5009" i="2"/>
  <c r="O5009" i="2"/>
  <c r="L5010" i="2"/>
  <c r="M5010" i="2"/>
  <c r="N5010" i="2"/>
  <c r="O5010" i="2"/>
  <c r="L5011" i="2"/>
  <c r="M5011" i="2"/>
  <c r="N5011" i="2"/>
  <c r="O5011" i="2"/>
  <c r="L5012" i="2"/>
  <c r="M5012" i="2"/>
  <c r="N5012" i="2"/>
  <c r="O5012" i="2"/>
  <c r="L5013" i="2"/>
  <c r="M5013" i="2"/>
  <c r="N5013" i="2"/>
  <c r="O5013" i="2"/>
  <c r="L5014" i="2"/>
  <c r="M5014" i="2"/>
  <c r="N5014" i="2"/>
  <c r="O5014" i="2"/>
  <c r="L5015" i="2"/>
  <c r="M5015" i="2"/>
  <c r="N5015" i="2"/>
  <c r="O5015" i="2"/>
  <c r="L5016" i="2"/>
  <c r="M5016" i="2"/>
  <c r="N5016" i="2"/>
  <c r="O5016" i="2"/>
  <c r="L5017" i="2"/>
  <c r="M5017" i="2"/>
  <c r="N5017" i="2"/>
  <c r="O5017" i="2"/>
  <c r="L5018" i="2"/>
  <c r="M5018" i="2"/>
  <c r="N5018" i="2"/>
  <c r="O5018" i="2"/>
  <c r="L5019" i="2"/>
  <c r="M5019" i="2"/>
  <c r="N5019" i="2"/>
  <c r="O5019" i="2"/>
  <c r="L5020" i="2"/>
  <c r="M5020" i="2"/>
  <c r="N5020" i="2"/>
  <c r="O5020" i="2"/>
  <c r="L5021" i="2"/>
  <c r="M5021" i="2"/>
  <c r="N5021" i="2"/>
  <c r="O5021" i="2"/>
  <c r="L5022" i="2"/>
  <c r="M5022" i="2"/>
  <c r="N5022" i="2"/>
  <c r="O5022" i="2"/>
  <c r="L5023" i="2"/>
  <c r="M5023" i="2"/>
  <c r="N5023" i="2"/>
  <c r="O5023" i="2"/>
  <c r="L5024" i="2"/>
  <c r="M5024" i="2"/>
  <c r="N5024" i="2"/>
  <c r="O5024" i="2"/>
  <c r="L5025" i="2"/>
  <c r="M5025" i="2"/>
  <c r="N5025" i="2"/>
  <c r="O5025" i="2"/>
  <c r="L5026" i="2"/>
  <c r="M5026" i="2"/>
  <c r="N5026" i="2"/>
  <c r="O5026" i="2"/>
  <c r="L5027" i="2"/>
  <c r="M5027" i="2"/>
  <c r="N5027" i="2"/>
  <c r="O5027" i="2"/>
  <c r="L5028" i="2"/>
  <c r="M5028" i="2"/>
  <c r="N5028" i="2"/>
  <c r="O5028" i="2"/>
  <c r="L5029" i="2"/>
  <c r="M5029" i="2"/>
  <c r="N5029" i="2"/>
  <c r="O5029" i="2"/>
  <c r="L5030" i="2"/>
  <c r="M5030" i="2"/>
  <c r="N5030" i="2"/>
  <c r="O5030" i="2"/>
  <c r="L5031" i="2"/>
  <c r="M5031" i="2"/>
  <c r="N5031" i="2"/>
  <c r="O5031" i="2"/>
  <c r="L5032" i="2"/>
  <c r="M5032" i="2"/>
  <c r="N5032" i="2"/>
  <c r="O5032" i="2"/>
  <c r="L5033" i="2"/>
  <c r="M5033" i="2"/>
  <c r="N5033" i="2"/>
  <c r="O5033" i="2"/>
  <c r="L5034" i="2"/>
  <c r="M5034" i="2"/>
  <c r="N5034" i="2"/>
  <c r="O5034" i="2"/>
  <c r="L5035" i="2"/>
  <c r="M5035" i="2"/>
  <c r="N5035" i="2"/>
  <c r="O5035" i="2"/>
  <c r="L5036" i="2"/>
  <c r="M5036" i="2"/>
  <c r="N5036" i="2"/>
  <c r="O5036" i="2"/>
  <c r="L5037" i="2"/>
  <c r="M5037" i="2"/>
  <c r="N5037" i="2"/>
  <c r="O5037" i="2"/>
  <c r="L5038" i="2"/>
  <c r="M5038" i="2"/>
  <c r="N5038" i="2"/>
  <c r="O5038" i="2"/>
  <c r="L5039" i="2"/>
  <c r="M5039" i="2"/>
  <c r="N5039" i="2"/>
  <c r="O5039" i="2"/>
  <c r="L5040" i="2"/>
  <c r="M5040" i="2"/>
  <c r="N5040" i="2"/>
  <c r="O5040" i="2"/>
  <c r="L5041" i="2"/>
  <c r="M5041" i="2"/>
  <c r="N5041" i="2"/>
  <c r="O5041" i="2"/>
  <c r="L5042" i="2"/>
  <c r="M5042" i="2"/>
  <c r="N5042" i="2"/>
  <c r="O5042" i="2"/>
  <c r="L5043" i="2"/>
  <c r="M5043" i="2"/>
  <c r="N5043" i="2"/>
  <c r="O5043" i="2"/>
  <c r="L5044" i="2"/>
  <c r="M5044" i="2"/>
  <c r="N5044" i="2"/>
  <c r="O5044" i="2"/>
  <c r="L5045" i="2"/>
  <c r="M5045" i="2"/>
  <c r="N5045" i="2"/>
  <c r="O5045" i="2"/>
  <c r="L5046" i="2"/>
  <c r="M5046" i="2"/>
  <c r="N5046" i="2"/>
  <c r="O5046" i="2"/>
  <c r="L5047" i="2"/>
  <c r="M5047" i="2"/>
  <c r="N5047" i="2"/>
  <c r="O5047" i="2"/>
  <c r="L5048" i="2"/>
  <c r="M5048" i="2"/>
  <c r="N5048" i="2"/>
  <c r="O5048" i="2"/>
  <c r="L5049" i="2"/>
  <c r="M5049" i="2"/>
  <c r="N5049" i="2"/>
  <c r="O5049" i="2"/>
  <c r="L5050" i="2"/>
  <c r="M5050" i="2"/>
  <c r="N5050" i="2"/>
  <c r="O5050" i="2"/>
  <c r="L5051" i="2"/>
  <c r="M5051" i="2"/>
  <c r="N5051" i="2"/>
  <c r="O5051" i="2"/>
  <c r="L5052" i="2"/>
  <c r="M5052" i="2"/>
  <c r="N5052" i="2"/>
  <c r="O5052" i="2"/>
  <c r="L5053" i="2"/>
  <c r="M5053" i="2"/>
  <c r="N5053" i="2"/>
  <c r="O5053" i="2"/>
  <c r="L5054" i="2"/>
  <c r="M5054" i="2"/>
  <c r="N5054" i="2"/>
  <c r="O5054" i="2"/>
  <c r="L5055" i="2"/>
  <c r="M5055" i="2"/>
  <c r="N5055" i="2"/>
  <c r="O5055" i="2"/>
  <c r="L5056" i="2"/>
  <c r="M5056" i="2"/>
  <c r="N5056" i="2"/>
  <c r="O5056" i="2"/>
  <c r="L5057" i="2"/>
  <c r="M5057" i="2"/>
  <c r="N5057" i="2"/>
  <c r="O5057" i="2"/>
  <c r="L5058" i="2"/>
  <c r="M5058" i="2"/>
  <c r="N5058" i="2"/>
  <c r="O5058" i="2"/>
  <c r="L5059" i="2"/>
  <c r="M5059" i="2"/>
  <c r="N5059" i="2"/>
  <c r="O5059" i="2"/>
  <c r="L5060" i="2"/>
  <c r="M5060" i="2"/>
  <c r="N5060" i="2"/>
  <c r="O5060" i="2"/>
  <c r="L5061" i="2"/>
  <c r="M5061" i="2"/>
  <c r="N5061" i="2"/>
  <c r="O5061" i="2"/>
  <c r="L5062" i="2"/>
  <c r="M5062" i="2"/>
  <c r="N5062" i="2"/>
  <c r="O5062" i="2"/>
  <c r="L5063" i="2"/>
  <c r="M5063" i="2"/>
  <c r="N5063" i="2"/>
  <c r="O5063" i="2"/>
  <c r="L5064" i="2"/>
  <c r="M5064" i="2"/>
  <c r="N5064" i="2"/>
  <c r="O5064" i="2"/>
  <c r="L5065" i="2"/>
  <c r="M5065" i="2"/>
  <c r="N5065" i="2"/>
  <c r="O5065" i="2"/>
  <c r="L5066" i="2"/>
  <c r="M5066" i="2"/>
  <c r="N5066" i="2"/>
  <c r="O5066" i="2"/>
  <c r="L5067" i="2"/>
  <c r="M5067" i="2"/>
  <c r="N5067" i="2"/>
  <c r="O5067" i="2"/>
  <c r="L5068" i="2"/>
  <c r="M5068" i="2"/>
  <c r="N5068" i="2"/>
  <c r="O5068" i="2"/>
  <c r="L5069" i="2"/>
  <c r="M5069" i="2"/>
  <c r="N5069" i="2"/>
  <c r="O5069" i="2"/>
  <c r="L5070" i="2"/>
  <c r="M5070" i="2"/>
  <c r="N5070" i="2"/>
  <c r="O5070" i="2"/>
  <c r="L5071" i="2"/>
  <c r="M5071" i="2"/>
  <c r="N5071" i="2"/>
  <c r="O5071" i="2"/>
  <c r="L5072" i="2"/>
  <c r="M5072" i="2"/>
  <c r="N5072" i="2"/>
  <c r="O5072" i="2"/>
  <c r="L5073" i="2"/>
  <c r="M5073" i="2"/>
  <c r="N5073" i="2"/>
  <c r="O5073" i="2"/>
  <c r="L5074" i="2"/>
  <c r="M5074" i="2"/>
  <c r="N5074" i="2"/>
  <c r="O5074" i="2"/>
  <c r="L5075" i="2"/>
  <c r="M5075" i="2"/>
  <c r="N5075" i="2"/>
  <c r="O5075" i="2"/>
  <c r="L5076" i="2"/>
  <c r="M5076" i="2"/>
  <c r="N5076" i="2"/>
  <c r="O5076" i="2"/>
  <c r="L5077" i="2"/>
  <c r="M5077" i="2"/>
  <c r="N5077" i="2"/>
  <c r="O5077" i="2"/>
  <c r="L5078" i="2"/>
  <c r="M5078" i="2"/>
  <c r="N5078" i="2"/>
  <c r="O5078" i="2"/>
  <c r="L5079" i="2"/>
  <c r="M5079" i="2"/>
  <c r="N5079" i="2"/>
  <c r="O5079" i="2"/>
  <c r="L5080" i="2"/>
  <c r="M5080" i="2"/>
  <c r="N5080" i="2"/>
  <c r="O5080" i="2"/>
  <c r="L5081" i="2"/>
  <c r="M5081" i="2"/>
  <c r="N5081" i="2"/>
  <c r="O5081" i="2"/>
  <c r="L5082" i="2"/>
  <c r="M5082" i="2"/>
  <c r="N5082" i="2"/>
  <c r="O5082" i="2"/>
  <c r="L5083" i="2"/>
  <c r="M5083" i="2"/>
  <c r="N5083" i="2"/>
  <c r="O5083" i="2"/>
  <c r="L5084" i="2"/>
  <c r="M5084" i="2"/>
  <c r="N5084" i="2"/>
  <c r="O5084" i="2"/>
  <c r="L5085" i="2"/>
  <c r="M5085" i="2"/>
  <c r="N5085" i="2"/>
  <c r="O5085" i="2"/>
  <c r="L5086" i="2"/>
  <c r="M5086" i="2"/>
  <c r="N5086" i="2"/>
  <c r="O5086" i="2"/>
  <c r="L5087" i="2"/>
  <c r="M5087" i="2"/>
  <c r="N5087" i="2"/>
  <c r="O5087" i="2"/>
  <c r="L5088" i="2"/>
  <c r="M5088" i="2"/>
  <c r="N5088" i="2"/>
  <c r="O5088" i="2"/>
  <c r="L5089" i="2"/>
  <c r="M5089" i="2"/>
  <c r="N5089" i="2"/>
  <c r="O5089" i="2"/>
  <c r="L5090" i="2"/>
  <c r="M5090" i="2"/>
  <c r="N5090" i="2"/>
  <c r="O5090" i="2"/>
  <c r="L5091" i="2"/>
  <c r="M5091" i="2"/>
  <c r="N5091" i="2"/>
  <c r="O5091" i="2"/>
  <c r="L5092" i="2"/>
  <c r="M5092" i="2"/>
  <c r="N5092" i="2"/>
  <c r="O5092" i="2"/>
  <c r="L5093" i="2"/>
  <c r="M5093" i="2"/>
  <c r="N5093" i="2"/>
  <c r="O5093" i="2"/>
  <c r="L5094" i="2"/>
  <c r="M5094" i="2"/>
  <c r="N5094" i="2"/>
  <c r="O5094" i="2"/>
  <c r="L5095" i="2"/>
  <c r="M5095" i="2"/>
  <c r="N5095" i="2"/>
  <c r="O5095" i="2"/>
  <c r="L5096" i="2"/>
  <c r="M5096" i="2"/>
  <c r="N5096" i="2"/>
  <c r="O5096" i="2"/>
  <c r="L5097" i="2"/>
  <c r="M5097" i="2"/>
  <c r="N5097" i="2"/>
  <c r="O5097" i="2"/>
  <c r="L5098" i="2"/>
  <c r="M5098" i="2"/>
  <c r="N5098" i="2"/>
  <c r="O5098" i="2"/>
  <c r="L5099" i="2"/>
  <c r="M5099" i="2"/>
  <c r="N5099" i="2"/>
  <c r="O5099" i="2"/>
  <c r="L5100" i="2"/>
  <c r="M5100" i="2"/>
  <c r="N5100" i="2"/>
  <c r="O5100" i="2"/>
  <c r="L5101" i="2"/>
  <c r="M5101" i="2"/>
  <c r="N5101" i="2"/>
  <c r="O5101" i="2"/>
  <c r="L5102" i="2"/>
  <c r="M5102" i="2"/>
  <c r="N5102" i="2"/>
  <c r="O5102" i="2"/>
  <c r="L5103" i="2"/>
  <c r="M5103" i="2"/>
  <c r="N5103" i="2"/>
  <c r="O5103" i="2"/>
  <c r="L5104" i="2"/>
  <c r="M5104" i="2"/>
  <c r="N5104" i="2"/>
  <c r="O5104" i="2"/>
  <c r="L5105" i="2"/>
  <c r="M5105" i="2"/>
  <c r="N5105" i="2"/>
  <c r="O5105" i="2"/>
  <c r="L5106" i="2"/>
  <c r="M5106" i="2"/>
  <c r="N5106" i="2"/>
  <c r="O5106" i="2"/>
  <c r="L5107" i="2"/>
  <c r="M5107" i="2"/>
  <c r="N5107" i="2"/>
  <c r="O5107" i="2"/>
  <c r="L5108" i="2"/>
  <c r="M5108" i="2"/>
  <c r="N5108" i="2"/>
  <c r="O5108" i="2"/>
  <c r="L5109" i="2"/>
  <c r="M5109" i="2"/>
  <c r="N5109" i="2"/>
  <c r="O5109" i="2"/>
  <c r="L5110" i="2"/>
  <c r="M5110" i="2"/>
  <c r="N5110" i="2"/>
  <c r="O5110" i="2"/>
  <c r="L5111" i="2"/>
  <c r="M5111" i="2"/>
  <c r="N5111" i="2"/>
  <c r="O5111" i="2"/>
  <c r="L5112" i="2"/>
  <c r="M5112" i="2"/>
  <c r="N5112" i="2"/>
  <c r="O5112" i="2"/>
  <c r="L5113" i="2"/>
  <c r="M5113" i="2"/>
  <c r="N5113" i="2"/>
  <c r="O5113" i="2"/>
  <c r="L5114" i="2"/>
  <c r="M5114" i="2"/>
  <c r="N5114" i="2"/>
  <c r="O5114" i="2"/>
  <c r="L5115" i="2"/>
  <c r="M5115" i="2"/>
  <c r="N5115" i="2"/>
  <c r="O5115" i="2"/>
  <c r="L5116" i="2"/>
  <c r="M5116" i="2"/>
  <c r="N5116" i="2"/>
  <c r="O5116" i="2"/>
  <c r="L5117" i="2"/>
  <c r="M5117" i="2"/>
  <c r="N5117" i="2"/>
  <c r="O5117" i="2"/>
  <c r="L5118" i="2"/>
  <c r="M5118" i="2"/>
  <c r="N5118" i="2"/>
  <c r="O5118" i="2"/>
  <c r="L5119" i="2"/>
  <c r="M5119" i="2"/>
  <c r="N5119" i="2"/>
  <c r="O5119" i="2"/>
  <c r="L5120" i="2"/>
  <c r="M5120" i="2"/>
  <c r="N5120" i="2"/>
  <c r="O5120" i="2"/>
  <c r="L5121" i="2"/>
  <c r="M5121" i="2"/>
  <c r="N5121" i="2"/>
  <c r="O5121" i="2"/>
  <c r="L5122" i="2"/>
  <c r="M5122" i="2"/>
  <c r="N5122" i="2"/>
  <c r="O5122" i="2"/>
  <c r="L5123" i="2"/>
  <c r="M5123" i="2"/>
  <c r="N5123" i="2"/>
  <c r="O5123" i="2"/>
  <c r="L5124" i="2"/>
  <c r="M5124" i="2"/>
  <c r="N5124" i="2"/>
  <c r="O5124" i="2"/>
  <c r="L5125" i="2"/>
  <c r="M5125" i="2"/>
  <c r="N5125" i="2"/>
  <c r="O5125" i="2"/>
  <c r="L5126" i="2"/>
  <c r="M5126" i="2"/>
  <c r="N5126" i="2"/>
  <c r="O5126" i="2"/>
  <c r="L5127" i="2"/>
  <c r="M5127" i="2"/>
  <c r="N5127" i="2"/>
  <c r="O5127" i="2"/>
  <c r="L5128" i="2"/>
  <c r="M5128" i="2"/>
  <c r="N5128" i="2"/>
  <c r="O5128" i="2"/>
  <c r="L5129" i="2"/>
  <c r="M5129" i="2"/>
  <c r="N5129" i="2"/>
  <c r="O5129" i="2"/>
  <c r="L5130" i="2"/>
  <c r="M5130" i="2"/>
  <c r="N5130" i="2"/>
  <c r="O5130" i="2"/>
  <c r="L5131" i="2"/>
  <c r="M5131" i="2"/>
  <c r="N5131" i="2"/>
  <c r="O5131" i="2"/>
  <c r="L5132" i="2"/>
  <c r="M5132" i="2"/>
  <c r="N5132" i="2"/>
  <c r="O5132" i="2"/>
  <c r="L5133" i="2"/>
  <c r="M5133" i="2"/>
  <c r="N5133" i="2"/>
  <c r="O5133" i="2"/>
  <c r="L5134" i="2"/>
  <c r="M5134" i="2"/>
  <c r="N5134" i="2"/>
  <c r="O5134" i="2"/>
  <c r="L5135" i="2"/>
  <c r="M5135" i="2"/>
  <c r="N5135" i="2"/>
  <c r="O5135" i="2"/>
  <c r="L5136" i="2"/>
  <c r="M5136" i="2"/>
  <c r="N5136" i="2"/>
  <c r="O5136" i="2"/>
  <c r="L5137" i="2"/>
  <c r="M5137" i="2"/>
  <c r="N5137" i="2"/>
  <c r="O5137" i="2"/>
  <c r="L5138" i="2"/>
  <c r="M5138" i="2"/>
  <c r="N5138" i="2"/>
  <c r="O5138" i="2"/>
  <c r="L5139" i="2"/>
  <c r="M5139" i="2"/>
  <c r="N5139" i="2"/>
  <c r="O5139" i="2"/>
  <c r="L5140" i="2"/>
  <c r="M5140" i="2"/>
  <c r="N5140" i="2"/>
  <c r="O5140" i="2"/>
  <c r="L5141" i="2"/>
  <c r="M5141" i="2"/>
  <c r="N5141" i="2"/>
  <c r="O5141" i="2"/>
  <c r="L5142" i="2"/>
  <c r="M5142" i="2"/>
  <c r="N5142" i="2"/>
  <c r="O5142" i="2"/>
  <c r="L5143" i="2"/>
  <c r="M5143" i="2"/>
  <c r="N5143" i="2"/>
  <c r="O5143" i="2"/>
  <c r="L5144" i="2"/>
  <c r="M5144" i="2"/>
  <c r="N5144" i="2"/>
  <c r="O5144" i="2"/>
  <c r="L5145" i="2"/>
  <c r="M5145" i="2"/>
  <c r="N5145" i="2"/>
  <c r="O5145" i="2"/>
  <c r="L5146" i="2"/>
  <c r="M5146" i="2"/>
  <c r="N5146" i="2"/>
  <c r="O5146" i="2"/>
  <c r="L5147" i="2"/>
  <c r="M5147" i="2"/>
  <c r="N5147" i="2"/>
  <c r="O5147" i="2"/>
  <c r="L5148" i="2"/>
  <c r="M5148" i="2"/>
  <c r="N5148" i="2"/>
  <c r="O5148" i="2"/>
  <c r="L5149" i="2"/>
  <c r="M5149" i="2"/>
  <c r="N5149" i="2"/>
  <c r="O5149" i="2"/>
  <c r="L5150" i="2"/>
  <c r="M5150" i="2"/>
  <c r="N5150" i="2"/>
  <c r="O5150" i="2"/>
  <c r="L5151" i="2"/>
  <c r="M5151" i="2"/>
  <c r="N5151" i="2"/>
  <c r="O5151" i="2"/>
  <c r="L5152" i="2"/>
  <c r="M5152" i="2"/>
  <c r="N5152" i="2"/>
  <c r="O5152" i="2"/>
  <c r="L5153" i="2"/>
  <c r="M5153" i="2"/>
  <c r="N5153" i="2"/>
  <c r="O5153" i="2"/>
  <c r="L5154" i="2"/>
  <c r="M5154" i="2"/>
  <c r="N5154" i="2"/>
  <c r="O5154" i="2"/>
  <c r="L5155" i="2"/>
  <c r="M5155" i="2"/>
  <c r="N5155" i="2"/>
  <c r="O5155" i="2"/>
  <c r="L5156" i="2"/>
  <c r="M5156" i="2"/>
  <c r="N5156" i="2"/>
  <c r="O5156" i="2"/>
  <c r="L5157" i="2"/>
  <c r="M5157" i="2"/>
  <c r="N5157" i="2"/>
  <c r="O5157" i="2"/>
  <c r="L5158" i="2"/>
  <c r="M5158" i="2"/>
  <c r="N5158" i="2"/>
  <c r="O5158" i="2"/>
  <c r="L5159" i="2"/>
  <c r="M5159" i="2"/>
  <c r="N5159" i="2"/>
  <c r="O5159" i="2"/>
  <c r="L5160" i="2"/>
  <c r="M5160" i="2"/>
  <c r="N5160" i="2"/>
  <c r="O5160" i="2"/>
  <c r="L5161" i="2"/>
  <c r="M5161" i="2"/>
  <c r="N5161" i="2"/>
  <c r="O5161" i="2"/>
  <c r="L5162" i="2"/>
  <c r="M5162" i="2"/>
  <c r="N5162" i="2"/>
  <c r="O5162" i="2"/>
  <c r="L5163" i="2"/>
  <c r="M5163" i="2"/>
  <c r="N5163" i="2"/>
  <c r="O5163" i="2"/>
  <c r="L5164" i="2"/>
  <c r="M5164" i="2"/>
  <c r="N5164" i="2"/>
  <c r="O5164" i="2"/>
  <c r="L5165" i="2"/>
  <c r="M5165" i="2"/>
  <c r="N5165" i="2"/>
  <c r="O5165" i="2"/>
  <c r="L5166" i="2"/>
  <c r="M5166" i="2"/>
  <c r="N5166" i="2"/>
  <c r="O5166" i="2"/>
  <c r="L5167" i="2"/>
  <c r="M5167" i="2"/>
  <c r="N5167" i="2"/>
  <c r="O5167" i="2"/>
  <c r="L5168" i="2"/>
  <c r="M5168" i="2"/>
  <c r="N5168" i="2"/>
  <c r="O5168" i="2"/>
  <c r="L5169" i="2"/>
  <c r="M5169" i="2"/>
  <c r="N5169" i="2"/>
  <c r="O5169" i="2"/>
  <c r="L5170" i="2"/>
  <c r="M5170" i="2"/>
  <c r="N5170" i="2"/>
  <c r="O5170" i="2"/>
  <c r="L5171" i="2"/>
  <c r="M5171" i="2"/>
  <c r="N5171" i="2"/>
  <c r="O5171" i="2"/>
  <c r="L5172" i="2"/>
  <c r="M5172" i="2"/>
  <c r="N5172" i="2"/>
  <c r="O5172" i="2"/>
  <c r="L5173" i="2"/>
  <c r="M5173" i="2"/>
  <c r="N5173" i="2"/>
  <c r="O5173" i="2"/>
  <c r="L5174" i="2"/>
  <c r="M5174" i="2"/>
  <c r="N5174" i="2"/>
  <c r="O5174" i="2"/>
  <c r="L5175" i="2"/>
  <c r="M5175" i="2"/>
  <c r="N5175" i="2"/>
  <c r="O5175" i="2"/>
  <c r="L5176" i="2"/>
  <c r="M5176" i="2"/>
  <c r="N5176" i="2"/>
  <c r="O5176" i="2"/>
  <c r="L5177" i="2"/>
  <c r="M5177" i="2"/>
  <c r="N5177" i="2"/>
  <c r="O5177" i="2"/>
  <c r="L5178" i="2"/>
  <c r="M5178" i="2"/>
  <c r="N5178" i="2"/>
  <c r="O5178" i="2"/>
  <c r="L5179" i="2"/>
  <c r="M5179" i="2"/>
  <c r="N5179" i="2"/>
  <c r="O5179" i="2"/>
  <c r="L5180" i="2"/>
  <c r="M5180" i="2"/>
  <c r="N5180" i="2"/>
  <c r="O5180" i="2"/>
  <c r="L5181" i="2"/>
  <c r="M5181" i="2"/>
  <c r="N5181" i="2"/>
  <c r="O5181" i="2"/>
  <c r="L5182" i="2"/>
  <c r="M5182" i="2"/>
  <c r="N5182" i="2"/>
  <c r="O5182" i="2"/>
  <c r="L5183" i="2"/>
  <c r="M5183" i="2"/>
  <c r="N5183" i="2"/>
  <c r="O5183" i="2"/>
  <c r="L5184" i="2"/>
  <c r="M5184" i="2"/>
  <c r="N5184" i="2"/>
  <c r="O5184" i="2"/>
  <c r="L5185" i="2"/>
  <c r="M5185" i="2"/>
  <c r="N5185" i="2"/>
  <c r="O5185" i="2"/>
  <c r="L5186" i="2"/>
  <c r="M5186" i="2"/>
  <c r="N5186" i="2"/>
  <c r="O5186" i="2"/>
  <c r="L5187" i="2"/>
  <c r="M5187" i="2"/>
  <c r="N5187" i="2"/>
  <c r="O5187" i="2"/>
  <c r="L5188" i="2"/>
  <c r="M5188" i="2"/>
  <c r="N5188" i="2"/>
  <c r="O5188" i="2"/>
  <c r="L5189" i="2"/>
  <c r="M5189" i="2"/>
  <c r="N5189" i="2"/>
  <c r="O5189" i="2"/>
  <c r="L5190" i="2"/>
  <c r="M5190" i="2"/>
  <c r="N5190" i="2"/>
  <c r="O5190" i="2"/>
  <c r="L5191" i="2"/>
  <c r="M5191" i="2"/>
  <c r="N5191" i="2"/>
  <c r="O5191" i="2"/>
  <c r="L5192" i="2"/>
  <c r="M5192" i="2"/>
  <c r="N5192" i="2"/>
  <c r="O5192" i="2"/>
  <c r="L5193" i="2"/>
  <c r="M5193" i="2"/>
  <c r="N5193" i="2"/>
  <c r="O5193" i="2"/>
  <c r="L5194" i="2"/>
  <c r="M5194" i="2"/>
  <c r="N5194" i="2"/>
  <c r="O5194" i="2"/>
  <c r="L5195" i="2"/>
  <c r="M5195" i="2"/>
  <c r="N5195" i="2"/>
  <c r="O5195" i="2"/>
  <c r="L5196" i="2"/>
  <c r="M5196" i="2"/>
  <c r="N5196" i="2"/>
  <c r="O5196" i="2"/>
  <c r="L5197" i="2"/>
  <c r="M5197" i="2"/>
  <c r="N5197" i="2"/>
  <c r="O5197" i="2"/>
  <c r="L5198" i="2"/>
  <c r="M5198" i="2"/>
  <c r="N5198" i="2"/>
  <c r="O5198" i="2"/>
  <c r="L5199" i="2"/>
  <c r="M5199" i="2"/>
  <c r="N5199" i="2"/>
  <c r="O5199" i="2"/>
  <c r="L5200" i="2"/>
  <c r="M5200" i="2"/>
  <c r="N5200" i="2"/>
  <c r="O5200" i="2"/>
  <c r="L5201" i="2"/>
  <c r="M5201" i="2"/>
  <c r="N5201" i="2"/>
  <c r="O5201" i="2"/>
  <c r="L5202" i="2"/>
  <c r="M5202" i="2"/>
  <c r="N5202" i="2"/>
  <c r="O5202" i="2"/>
  <c r="L5203" i="2"/>
  <c r="M5203" i="2"/>
  <c r="N5203" i="2"/>
  <c r="O5203" i="2"/>
  <c r="L5204" i="2"/>
  <c r="M5204" i="2"/>
  <c r="N5204" i="2"/>
  <c r="O5204" i="2"/>
  <c r="L5205" i="2"/>
  <c r="M5205" i="2"/>
  <c r="N5205" i="2"/>
  <c r="O5205" i="2"/>
  <c r="L5206" i="2"/>
  <c r="M5206" i="2"/>
  <c r="N5206" i="2"/>
  <c r="O5206" i="2"/>
  <c r="L5207" i="2"/>
  <c r="M5207" i="2"/>
  <c r="N5207" i="2"/>
  <c r="O5207" i="2"/>
  <c r="L5208" i="2"/>
  <c r="M5208" i="2"/>
  <c r="N5208" i="2"/>
  <c r="O5208" i="2"/>
  <c r="L5209" i="2"/>
  <c r="M5209" i="2"/>
  <c r="N5209" i="2"/>
  <c r="O5209" i="2"/>
  <c r="L5210" i="2"/>
  <c r="M5210" i="2"/>
  <c r="N5210" i="2"/>
  <c r="O5210" i="2"/>
  <c r="L5211" i="2"/>
  <c r="M5211" i="2"/>
  <c r="N5211" i="2"/>
  <c r="O5211" i="2"/>
  <c r="L5212" i="2"/>
  <c r="M5212" i="2"/>
  <c r="N5212" i="2"/>
  <c r="O5212" i="2"/>
  <c r="L5213" i="2"/>
  <c r="M5213" i="2"/>
  <c r="N5213" i="2"/>
  <c r="O5213" i="2"/>
  <c r="L5214" i="2"/>
  <c r="M5214" i="2"/>
  <c r="N5214" i="2"/>
  <c r="O5214" i="2"/>
  <c r="L5215" i="2"/>
  <c r="M5215" i="2"/>
  <c r="N5215" i="2"/>
  <c r="O5215" i="2"/>
  <c r="L5216" i="2"/>
  <c r="M5216" i="2"/>
  <c r="N5216" i="2"/>
  <c r="O5216" i="2"/>
  <c r="L5217" i="2"/>
  <c r="M5217" i="2"/>
  <c r="N5217" i="2"/>
  <c r="O5217" i="2"/>
  <c r="L5218" i="2"/>
  <c r="M5218" i="2"/>
  <c r="N5218" i="2"/>
  <c r="O5218" i="2"/>
  <c r="L5219" i="2"/>
  <c r="M5219" i="2"/>
  <c r="N5219" i="2"/>
  <c r="O5219" i="2"/>
  <c r="L5220" i="2"/>
  <c r="M5220" i="2"/>
  <c r="N5220" i="2"/>
  <c r="O5220" i="2"/>
  <c r="L5221" i="2"/>
  <c r="M5221" i="2"/>
  <c r="N5221" i="2"/>
  <c r="O5221" i="2"/>
  <c r="L5222" i="2"/>
  <c r="M5222" i="2"/>
  <c r="N5222" i="2"/>
  <c r="O5222" i="2"/>
  <c r="L5223" i="2"/>
  <c r="M5223" i="2"/>
  <c r="N5223" i="2"/>
  <c r="O5223" i="2"/>
  <c r="L5224" i="2"/>
  <c r="M5224" i="2"/>
  <c r="N5224" i="2"/>
  <c r="O5224" i="2"/>
  <c r="L5225" i="2"/>
  <c r="M5225" i="2"/>
  <c r="N5225" i="2"/>
  <c r="O5225" i="2"/>
  <c r="L5226" i="2"/>
  <c r="M5226" i="2"/>
  <c r="N5226" i="2"/>
  <c r="O5226" i="2"/>
  <c r="L5227" i="2"/>
  <c r="M5227" i="2"/>
  <c r="N5227" i="2"/>
  <c r="O5227" i="2"/>
  <c r="L5228" i="2"/>
  <c r="M5228" i="2"/>
  <c r="N5228" i="2"/>
  <c r="O5228" i="2"/>
  <c r="L5229" i="2"/>
  <c r="M5229" i="2"/>
  <c r="N5229" i="2"/>
  <c r="O5229" i="2"/>
  <c r="L5230" i="2"/>
  <c r="M5230" i="2"/>
  <c r="N5230" i="2"/>
  <c r="O5230" i="2"/>
  <c r="L5231" i="2"/>
  <c r="M5231" i="2"/>
  <c r="N5231" i="2"/>
  <c r="O5231" i="2"/>
  <c r="L5232" i="2"/>
  <c r="M5232" i="2"/>
  <c r="N5232" i="2"/>
  <c r="O5232" i="2"/>
  <c r="L5233" i="2"/>
  <c r="M5233" i="2"/>
  <c r="N5233" i="2"/>
  <c r="O5233" i="2"/>
  <c r="L5234" i="2"/>
  <c r="M5234" i="2"/>
  <c r="N5234" i="2"/>
  <c r="O5234" i="2"/>
  <c r="L5235" i="2"/>
  <c r="M5235" i="2"/>
  <c r="N5235" i="2"/>
  <c r="O5235" i="2"/>
  <c r="L5236" i="2"/>
  <c r="M5236" i="2"/>
  <c r="N5236" i="2"/>
  <c r="O5236" i="2"/>
  <c r="L5237" i="2"/>
  <c r="M5237" i="2"/>
  <c r="N5237" i="2"/>
  <c r="O5237" i="2"/>
  <c r="L5238" i="2"/>
  <c r="M5238" i="2"/>
  <c r="N5238" i="2"/>
  <c r="O5238" i="2"/>
  <c r="L5239" i="2"/>
  <c r="M5239" i="2"/>
  <c r="N5239" i="2"/>
  <c r="O5239" i="2"/>
  <c r="L5240" i="2"/>
  <c r="M5240" i="2"/>
  <c r="N5240" i="2"/>
  <c r="O5240" i="2"/>
  <c r="L5241" i="2"/>
  <c r="M5241" i="2"/>
  <c r="N5241" i="2"/>
  <c r="O5241" i="2"/>
  <c r="L5242" i="2"/>
  <c r="M5242" i="2"/>
  <c r="N5242" i="2"/>
  <c r="O5242" i="2"/>
  <c r="L5243" i="2"/>
  <c r="M5243" i="2"/>
  <c r="N5243" i="2"/>
  <c r="O5243" i="2"/>
  <c r="L5244" i="2"/>
  <c r="M5244" i="2"/>
  <c r="N5244" i="2"/>
  <c r="O5244" i="2"/>
  <c r="L5245" i="2"/>
  <c r="M5245" i="2"/>
  <c r="N5245" i="2"/>
  <c r="O5245" i="2"/>
  <c r="L5246" i="2"/>
  <c r="M5246" i="2"/>
  <c r="N5246" i="2"/>
  <c r="O5246" i="2"/>
  <c r="L5247" i="2"/>
  <c r="M5247" i="2"/>
  <c r="N5247" i="2"/>
  <c r="O5247" i="2"/>
  <c r="L5248" i="2"/>
  <c r="M5248" i="2"/>
  <c r="N5248" i="2"/>
  <c r="O5248" i="2"/>
  <c r="L5249" i="2"/>
  <c r="M5249" i="2"/>
  <c r="N5249" i="2"/>
  <c r="O5249" i="2"/>
  <c r="L5250" i="2"/>
  <c r="M5250" i="2"/>
  <c r="N5250" i="2"/>
  <c r="O5250" i="2"/>
  <c r="L5251" i="2"/>
  <c r="M5251" i="2"/>
  <c r="N5251" i="2"/>
  <c r="O5251" i="2"/>
  <c r="L5252" i="2"/>
  <c r="M5252" i="2"/>
  <c r="N5252" i="2"/>
  <c r="O5252" i="2"/>
  <c r="L5253" i="2"/>
  <c r="M5253" i="2"/>
  <c r="N5253" i="2"/>
  <c r="O5253" i="2"/>
  <c r="L5254" i="2"/>
  <c r="M5254" i="2"/>
  <c r="N5254" i="2"/>
  <c r="O5254" i="2"/>
  <c r="L5255" i="2"/>
  <c r="M5255" i="2"/>
  <c r="N5255" i="2"/>
  <c r="O5255" i="2"/>
  <c r="L5256" i="2"/>
  <c r="M5256" i="2"/>
  <c r="N5256" i="2"/>
  <c r="O5256" i="2"/>
  <c r="L5257" i="2"/>
  <c r="M5257" i="2"/>
  <c r="N5257" i="2"/>
  <c r="O5257" i="2"/>
  <c r="L5258" i="2"/>
  <c r="M5258" i="2"/>
  <c r="N5258" i="2"/>
  <c r="O5258" i="2"/>
  <c r="L5259" i="2"/>
  <c r="M5259" i="2"/>
  <c r="N5259" i="2"/>
  <c r="O5259" i="2"/>
  <c r="L5260" i="2"/>
  <c r="M5260" i="2"/>
  <c r="N5260" i="2"/>
  <c r="O5260" i="2"/>
  <c r="L5261" i="2"/>
  <c r="M5261" i="2"/>
  <c r="N5261" i="2"/>
  <c r="O5261" i="2"/>
  <c r="L5262" i="2"/>
  <c r="M5262" i="2"/>
  <c r="N5262" i="2"/>
  <c r="O5262" i="2"/>
  <c r="L5263" i="2"/>
  <c r="M5263" i="2"/>
  <c r="N5263" i="2"/>
  <c r="O5263" i="2"/>
  <c r="L5264" i="2"/>
  <c r="M5264" i="2"/>
  <c r="N5264" i="2"/>
  <c r="O5264" i="2"/>
  <c r="L5265" i="2"/>
  <c r="M5265" i="2"/>
  <c r="N5265" i="2"/>
  <c r="O5265" i="2"/>
  <c r="L5266" i="2"/>
  <c r="M5266" i="2"/>
  <c r="N5266" i="2"/>
  <c r="O5266" i="2"/>
  <c r="L5267" i="2"/>
  <c r="M5267" i="2"/>
  <c r="N5267" i="2"/>
  <c r="O5267" i="2"/>
  <c r="L5268" i="2"/>
  <c r="M5268" i="2"/>
  <c r="N5268" i="2"/>
  <c r="O5268" i="2"/>
  <c r="L5269" i="2"/>
  <c r="M5269" i="2"/>
  <c r="N5269" i="2"/>
  <c r="O5269" i="2"/>
  <c r="L5270" i="2"/>
  <c r="M5270" i="2"/>
  <c r="N5270" i="2"/>
  <c r="O5270" i="2"/>
  <c r="L5271" i="2"/>
  <c r="M5271" i="2"/>
  <c r="N5271" i="2"/>
  <c r="O5271" i="2"/>
  <c r="L5272" i="2"/>
  <c r="M5272" i="2"/>
  <c r="N5272" i="2"/>
  <c r="O5272" i="2"/>
  <c r="L5273" i="2"/>
  <c r="M5273" i="2"/>
  <c r="N5273" i="2"/>
  <c r="O5273" i="2"/>
  <c r="L5274" i="2"/>
  <c r="M5274" i="2"/>
  <c r="N5274" i="2"/>
  <c r="O5274" i="2"/>
  <c r="L5275" i="2"/>
  <c r="M5275" i="2"/>
  <c r="N5275" i="2"/>
  <c r="O5275" i="2"/>
  <c r="L5276" i="2"/>
  <c r="M5276" i="2"/>
  <c r="N5276" i="2"/>
  <c r="O5276" i="2"/>
  <c r="L5277" i="2"/>
  <c r="M5277" i="2"/>
  <c r="N5277" i="2"/>
  <c r="O5277" i="2"/>
  <c r="L5278" i="2"/>
  <c r="M5278" i="2"/>
  <c r="N5278" i="2"/>
  <c r="O5278" i="2"/>
  <c r="L5279" i="2"/>
  <c r="M5279" i="2"/>
  <c r="N5279" i="2"/>
  <c r="O5279" i="2"/>
  <c r="L5280" i="2"/>
  <c r="M5280" i="2"/>
  <c r="N5280" i="2"/>
  <c r="O5280" i="2"/>
  <c r="L5281" i="2"/>
  <c r="M5281" i="2"/>
  <c r="N5281" i="2"/>
  <c r="O5281" i="2"/>
  <c r="L5282" i="2"/>
  <c r="M5282" i="2"/>
  <c r="N5282" i="2"/>
  <c r="O5282" i="2"/>
  <c r="L5283" i="2"/>
  <c r="M5283" i="2"/>
  <c r="N5283" i="2"/>
  <c r="O5283" i="2"/>
  <c r="L5284" i="2"/>
  <c r="M5284" i="2"/>
  <c r="N5284" i="2"/>
  <c r="O5284" i="2"/>
  <c r="L5285" i="2"/>
  <c r="M5285" i="2"/>
  <c r="N5285" i="2"/>
  <c r="O5285" i="2"/>
  <c r="L5286" i="2"/>
  <c r="M5286" i="2"/>
  <c r="N5286" i="2"/>
  <c r="O5286" i="2"/>
  <c r="L5287" i="2"/>
  <c r="M5287" i="2"/>
  <c r="N5287" i="2"/>
  <c r="O5287" i="2"/>
  <c r="L5288" i="2"/>
  <c r="M5288" i="2"/>
  <c r="N5288" i="2"/>
  <c r="O5288" i="2"/>
  <c r="L5289" i="2"/>
  <c r="M5289" i="2"/>
  <c r="N5289" i="2"/>
  <c r="O5289" i="2"/>
  <c r="L5290" i="2"/>
  <c r="M5290" i="2"/>
  <c r="N5290" i="2"/>
  <c r="O5290" i="2"/>
  <c r="L5291" i="2"/>
  <c r="M5291" i="2"/>
  <c r="N5291" i="2"/>
  <c r="O5291" i="2"/>
  <c r="L5292" i="2"/>
  <c r="M5292" i="2"/>
  <c r="N5292" i="2"/>
  <c r="O5292" i="2"/>
  <c r="L5293" i="2"/>
  <c r="M5293" i="2"/>
  <c r="N5293" i="2"/>
  <c r="O5293" i="2"/>
  <c r="L5294" i="2"/>
  <c r="M5294" i="2"/>
  <c r="N5294" i="2"/>
  <c r="O5294" i="2"/>
  <c r="L5295" i="2"/>
  <c r="M5295" i="2"/>
  <c r="N5295" i="2"/>
  <c r="O5295" i="2"/>
  <c r="L5296" i="2"/>
  <c r="M5296" i="2"/>
  <c r="N5296" i="2"/>
  <c r="O5296" i="2"/>
  <c r="L5297" i="2"/>
  <c r="M5297" i="2"/>
  <c r="N5297" i="2"/>
  <c r="O5297" i="2"/>
  <c r="L5298" i="2"/>
  <c r="M5298" i="2"/>
  <c r="N5298" i="2"/>
  <c r="O5298" i="2"/>
  <c r="L5299" i="2"/>
  <c r="M5299" i="2"/>
  <c r="N5299" i="2"/>
  <c r="O5299" i="2"/>
  <c r="L5300" i="2"/>
  <c r="M5300" i="2"/>
  <c r="N5300" i="2"/>
  <c r="O5300" i="2"/>
  <c r="L5301" i="2"/>
  <c r="M5301" i="2"/>
  <c r="N5301" i="2"/>
  <c r="O5301" i="2"/>
  <c r="L5302" i="2"/>
  <c r="M5302" i="2"/>
  <c r="N5302" i="2"/>
  <c r="O5302" i="2"/>
  <c r="L5303" i="2"/>
  <c r="M5303" i="2"/>
  <c r="N5303" i="2"/>
  <c r="O5303" i="2"/>
  <c r="L5304" i="2"/>
  <c r="M5304" i="2"/>
  <c r="N5304" i="2"/>
  <c r="O5304" i="2"/>
  <c r="L5305" i="2"/>
  <c r="M5305" i="2"/>
  <c r="N5305" i="2"/>
  <c r="O5305" i="2"/>
  <c r="L5306" i="2"/>
  <c r="M5306" i="2"/>
  <c r="N5306" i="2"/>
  <c r="O5306" i="2"/>
  <c r="L5307" i="2"/>
  <c r="M5307" i="2"/>
  <c r="N5307" i="2"/>
  <c r="O5307" i="2"/>
  <c r="L5308" i="2"/>
  <c r="M5308" i="2"/>
  <c r="N5308" i="2"/>
  <c r="O5308" i="2"/>
  <c r="L5309" i="2"/>
  <c r="M5309" i="2"/>
  <c r="N5309" i="2"/>
  <c r="O5309" i="2"/>
  <c r="L5310" i="2"/>
  <c r="M5310" i="2"/>
  <c r="N5310" i="2"/>
  <c r="O5310" i="2"/>
  <c r="L5311" i="2"/>
  <c r="M5311" i="2"/>
  <c r="N5311" i="2"/>
  <c r="O5311" i="2"/>
  <c r="L5312" i="2"/>
  <c r="M5312" i="2"/>
  <c r="N5312" i="2"/>
  <c r="O5312" i="2"/>
  <c r="L5313" i="2"/>
  <c r="M5313" i="2"/>
  <c r="N5313" i="2"/>
  <c r="O5313" i="2"/>
  <c r="L5314" i="2"/>
  <c r="M5314" i="2"/>
  <c r="N5314" i="2"/>
  <c r="O5314" i="2"/>
  <c r="L5315" i="2"/>
  <c r="M5315" i="2"/>
  <c r="N5315" i="2"/>
  <c r="O5315" i="2"/>
  <c r="L5316" i="2"/>
  <c r="M5316" i="2"/>
  <c r="N5316" i="2"/>
  <c r="O5316" i="2"/>
  <c r="L5317" i="2"/>
  <c r="M5317" i="2"/>
  <c r="N5317" i="2"/>
  <c r="O5317" i="2"/>
  <c r="L5318" i="2"/>
  <c r="M5318" i="2"/>
  <c r="N5318" i="2"/>
  <c r="O5318" i="2"/>
  <c r="L5319" i="2"/>
  <c r="M5319" i="2"/>
  <c r="N5319" i="2"/>
  <c r="O5319" i="2"/>
  <c r="L5320" i="2"/>
  <c r="M5320" i="2"/>
  <c r="N5320" i="2"/>
  <c r="O5320" i="2"/>
  <c r="L5321" i="2"/>
  <c r="M5321" i="2"/>
  <c r="N5321" i="2"/>
  <c r="O5321" i="2"/>
  <c r="L5322" i="2"/>
  <c r="M5322" i="2"/>
  <c r="N5322" i="2"/>
  <c r="O5322" i="2"/>
  <c r="L5323" i="2"/>
  <c r="M5323" i="2"/>
  <c r="N5323" i="2"/>
  <c r="O5323" i="2"/>
  <c r="L5324" i="2"/>
  <c r="M5324" i="2"/>
  <c r="N5324" i="2"/>
  <c r="O5324" i="2"/>
  <c r="L5325" i="2"/>
  <c r="M5325" i="2"/>
  <c r="N5325" i="2"/>
  <c r="O5325" i="2"/>
  <c r="L5326" i="2"/>
  <c r="M5326" i="2"/>
  <c r="N5326" i="2"/>
  <c r="O5326" i="2"/>
  <c r="L5327" i="2"/>
  <c r="M5327" i="2"/>
  <c r="N5327" i="2"/>
  <c r="O5327" i="2"/>
  <c r="L5328" i="2"/>
  <c r="M5328" i="2"/>
  <c r="N5328" i="2"/>
  <c r="O5328" i="2"/>
  <c r="L5329" i="2"/>
  <c r="M5329" i="2"/>
  <c r="N5329" i="2"/>
  <c r="O5329" i="2"/>
  <c r="L5330" i="2"/>
  <c r="M5330" i="2"/>
  <c r="N5330" i="2"/>
  <c r="O5330" i="2"/>
  <c r="L5331" i="2"/>
  <c r="M5331" i="2"/>
  <c r="N5331" i="2"/>
  <c r="O5331" i="2"/>
  <c r="L5332" i="2"/>
  <c r="M5332" i="2"/>
  <c r="N5332" i="2"/>
  <c r="O5332" i="2"/>
  <c r="L5333" i="2"/>
  <c r="M5333" i="2"/>
  <c r="N5333" i="2"/>
  <c r="O5333" i="2"/>
  <c r="L5334" i="2"/>
  <c r="M5334" i="2"/>
  <c r="N5334" i="2"/>
  <c r="O5334" i="2"/>
  <c r="L5335" i="2"/>
  <c r="M5335" i="2"/>
  <c r="N5335" i="2"/>
  <c r="O5335" i="2"/>
  <c r="L5336" i="2"/>
  <c r="M5336" i="2"/>
  <c r="N5336" i="2"/>
  <c r="O5336" i="2"/>
  <c r="L5337" i="2"/>
  <c r="M5337" i="2"/>
  <c r="N5337" i="2"/>
  <c r="O5337" i="2"/>
  <c r="L5338" i="2"/>
  <c r="M5338" i="2"/>
  <c r="N5338" i="2"/>
  <c r="O5338" i="2"/>
  <c r="L5339" i="2"/>
  <c r="M5339" i="2"/>
  <c r="N5339" i="2"/>
  <c r="O5339" i="2"/>
  <c r="L5340" i="2"/>
  <c r="M5340" i="2"/>
  <c r="N5340" i="2"/>
  <c r="O5340" i="2"/>
  <c r="L5341" i="2"/>
  <c r="M5341" i="2"/>
  <c r="N5341" i="2"/>
  <c r="O5341" i="2"/>
  <c r="L5342" i="2"/>
  <c r="M5342" i="2"/>
  <c r="N5342" i="2"/>
  <c r="O5342" i="2"/>
  <c r="L5343" i="2"/>
  <c r="M5343" i="2"/>
  <c r="N5343" i="2"/>
  <c r="O5343" i="2"/>
  <c r="L5344" i="2"/>
  <c r="M5344" i="2"/>
  <c r="N5344" i="2"/>
  <c r="O5344" i="2"/>
  <c r="L5345" i="2"/>
  <c r="M5345" i="2"/>
  <c r="N5345" i="2"/>
  <c r="O5345" i="2"/>
  <c r="L5346" i="2"/>
  <c r="M5346" i="2"/>
  <c r="N5346" i="2"/>
  <c r="O5346" i="2"/>
  <c r="L5347" i="2"/>
  <c r="M5347" i="2"/>
  <c r="N5347" i="2"/>
  <c r="O5347" i="2"/>
  <c r="L5348" i="2"/>
  <c r="M5348" i="2"/>
  <c r="N5348" i="2"/>
  <c r="O5348" i="2"/>
  <c r="L5349" i="2"/>
  <c r="M5349" i="2"/>
  <c r="N5349" i="2"/>
  <c r="O5349" i="2"/>
  <c r="L5350" i="2"/>
  <c r="M5350" i="2"/>
  <c r="N5350" i="2"/>
  <c r="O5350" i="2"/>
  <c r="L5351" i="2"/>
  <c r="M5351" i="2"/>
  <c r="N5351" i="2"/>
  <c r="O5351" i="2"/>
  <c r="L5352" i="2"/>
  <c r="M5352" i="2"/>
  <c r="N5352" i="2"/>
  <c r="O5352" i="2"/>
  <c r="L5353" i="2"/>
  <c r="M5353" i="2"/>
  <c r="N5353" i="2"/>
  <c r="O5353" i="2"/>
  <c r="L5354" i="2"/>
  <c r="M5354" i="2"/>
  <c r="N5354" i="2"/>
  <c r="O5354" i="2"/>
  <c r="L5355" i="2"/>
  <c r="M5355" i="2"/>
  <c r="N5355" i="2"/>
  <c r="O5355" i="2"/>
  <c r="L5356" i="2"/>
  <c r="M5356" i="2"/>
  <c r="N5356" i="2"/>
  <c r="O5356" i="2"/>
  <c r="L5357" i="2"/>
  <c r="M5357" i="2"/>
  <c r="N5357" i="2"/>
  <c r="O5357" i="2"/>
  <c r="L5358" i="2"/>
  <c r="M5358" i="2"/>
  <c r="N5358" i="2"/>
  <c r="O5358" i="2"/>
  <c r="L5359" i="2"/>
  <c r="M5359" i="2"/>
  <c r="N5359" i="2"/>
  <c r="O5359" i="2"/>
  <c r="L5360" i="2"/>
  <c r="M5360" i="2"/>
  <c r="N5360" i="2"/>
  <c r="O5360" i="2"/>
  <c r="L5361" i="2"/>
  <c r="M5361" i="2"/>
  <c r="N5361" i="2"/>
  <c r="O5361" i="2"/>
  <c r="L5362" i="2"/>
  <c r="M5362" i="2"/>
  <c r="N5362" i="2"/>
  <c r="O5362" i="2"/>
  <c r="L5363" i="2"/>
  <c r="M5363" i="2"/>
  <c r="N5363" i="2"/>
  <c r="O5363" i="2"/>
  <c r="L5364" i="2"/>
  <c r="M5364" i="2"/>
  <c r="N5364" i="2"/>
  <c r="O5364" i="2"/>
  <c r="L5365" i="2"/>
  <c r="M5365" i="2"/>
  <c r="N5365" i="2"/>
  <c r="O5365" i="2"/>
  <c r="L5366" i="2"/>
  <c r="M5366" i="2"/>
  <c r="N5366" i="2"/>
  <c r="O5366" i="2"/>
  <c r="L5367" i="2"/>
  <c r="M5367" i="2"/>
  <c r="N5367" i="2"/>
  <c r="O5367" i="2"/>
  <c r="L5368" i="2"/>
  <c r="M5368" i="2"/>
  <c r="N5368" i="2"/>
  <c r="O5368" i="2"/>
  <c r="L5369" i="2"/>
  <c r="M5369" i="2"/>
  <c r="N5369" i="2"/>
  <c r="O5369" i="2"/>
  <c r="L5370" i="2"/>
  <c r="M5370" i="2"/>
  <c r="N5370" i="2"/>
  <c r="O5370" i="2"/>
  <c r="L5371" i="2"/>
  <c r="M5371" i="2"/>
  <c r="N5371" i="2"/>
  <c r="O5371" i="2"/>
  <c r="L5372" i="2"/>
  <c r="M5372" i="2"/>
  <c r="N5372" i="2"/>
  <c r="O5372" i="2"/>
  <c r="L5373" i="2"/>
  <c r="M5373" i="2"/>
  <c r="N5373" i="2"/>
  <c r="O5373" i="2"/>
  <c r="L5374" i="2"/>
  <c r="M5374" i="2"/>
  <c r="N5374" i="2"/>
  <c r="O5374" i="2"/>
  <c r="L5375" i="2"/>
  <c r="M5375" i="2"/>
  <c r="N5375" i="2"/>
  <c r="O5375" i="2"/>
  <c r="L5376" i="2"/>
  <c r="M5376" i="2"/>
  <c r="N5376" i="2"/>
  <c r="O5376" i="2"/>
  <c r="L5377" i="2"/>
  <c r="M5377" i="2"/>
  <c r="N5377" i="2"/>
  <c r="O5377" i="2"/>
  <c r="L5378" i="2"/>
  <c r="M5378" i="2"/>
  <c r="N5378" i="2"/>
  <c r="O5378" i="2"/>
  <c r="L5379" i="2"/>
  <c r="M5379" i="2"/>
  <c r="N5379" i="2"/>
  <c r="O5379" i="2"/>
  <c r="L5380" i="2"/>
  <c r="M5380" i="2"/>
  <c r="N5380" i="2"/>
  <c r="O5380" i="2"/>
  <c r="L5381" i="2"/>
  <c r="M5381" i="2"/>
  <c r="N5381" i="2"/>
  <c r="O5381" i="2"/>
  <c r="L5382" i="2"/>
  <c r="M5382" i="2"/>
  <c r="N5382" i="2"/>
  <c r="O5382" i="2"/>
  <c r="L5383" i="2"/>
  <c r="M5383" i="2"/>
  <c r="N5383" i="2"/>
  <c r="O5383" i="2"/>
  <c r="L5384" i="2"/>
  <c r="M5384" i="2"/>
  <c r="N5384" i="2"/>
  <c r="O5384" i="2"/>
  <c r="L5385" i="2"/>
  <c r="M5385" i="2"/>
  <c r="N5385" i="2"/>
  <c r="O5385" i="2"/>
  <c r="L5386" i="2"/>
  <c r="M5386" i="2"/>
  <c r="N5386" i="2"/>
  <c r="O5386" i="2"/>
  <c r="L5387" i="2"/>
  <c r="M5387" i="2"/>
  <c r="N5387" i="2"/>
  <c r="O5387" i="2"/>
  <c r="L5388" i="2"/>
  <c r="M5388" i="2"/>
  <c r="N5388" i="2"/>
  <c r="O5388" i="2"/>
  <c r="L5389" i="2"/>
  <c r="M5389" i="2"/>
  <c r="N5389" i="2"/>
  <c r="O5389" i="2"/>
  <c r="L5390" i="2"/>
  <c r="M5390" i="2"/>
  <c r="N5390" i="2"/>
  <c r="O5390" i="2"/>
  <c r="L5391" i="2"/>
  <c r="M5391" i="2"/>
  <c r="N5391" i="2"/>
  <c r="O5391" i="2"/>
  <c r="L5392" i="2"/>
  <c r="M5392" i="2"/>
  <c r="N5392" i="2"/>
  <c r="O5392" i="2"/>
  <c r="L5393" i="2"/>
  <c r="M5393" i="2"/>
  <c r="N5393" i="2"/>
  <c r="O5393" i="2"/>
  <c r="L5394" i="2"/>
  <c r="M5394" i="2"/>
  <c r="N5394" i="2"/>
  <c r="O5394" i="2"/>
  <c r="L5395" i="2"/>
  <c r="M5395" i="2"/>
  <c r="N5395" i="2"/>
  <c r="O5395" i="2"/>
  <c r="L5396" i="2"/>
  <c r="M5396" i="2"/>
  <c r="N5396" i="2"/>
  <c r="O5396" i="2"/>
  <c r="L5397" i="2"/>
  <c r="M5397" i="2"/>
  <c r="N5397" i="2"/>
  <c r="O5397" i="2"/>
  <c r="L5398" i="2"/>
  <c r="M5398" i="2"/>
  <c r="N5398" i="2"/>
  <c r="O5398" i="2"/>
  <c r="L5399" i="2"/>
  <c r="M5399" i="2"/>
  <c r="N5399" i="2"/>
  <c r="O5399" i="2"/>
  <c r="L5400" i="2"/>
  <c r="M5400" i="2"/>
  <c r="N5400" i="2"/>
  <c r="O5400" i="2"/>
  <c r="L5401" i="2"/>
  <c r="M5401" i="2"/>
  <c r="N5401" i="2"/>
  <c r="O5401" i="2"/>
  <c r="L5402" i="2"/>
  <c r="M5402" i="2"/>
  <c r="N5402" i="2"/>
  <c r="O5402" i="2"/>
  <c r="L5403" i="2"/>
  <c r="M5403" i="2"/>
  <c r="N5403" i="2"/>
  <c r="O5403" i="2"/>
  <c r="L5404" i="2"/>
  <c r="M5404" i="2"/>
  <c r="N5404" i="2"/>
  <c r="O5404" i="2"/>
  <c r="L5405" i="2"/>
  <c r="M5405" i="2"/>
  <c r="N5405" i="2"/>
  <c r="O5405" i="2"/>
  <c r="L5406" i="2"/>
  <c r="M5406" i="2"/>
  <c r="N5406" i="2"/>
  <c r="O5406" i="2"/>
  <c r="L5407" i="2"/>
  <c r="M5407" i="2"/>
  <c r="N5407" i="2"/>
  <c r="O5407" i="2"/>
  <c r="L5408" i="2"/>
  <c r="M5408" i="2"/>
  <c r="N5408" i="2"/>
  <c r="O5408" i="2"/>
  <c r="L5409" i="2"/>
  <c r="M5409" i="2"/>
  <c r="N5409" i="2"/>
  <c r="O5409" i="2"/>
  <c r="L5410" i="2"/>
  <c r="M5410" i="2"/>
  <c r="N5410" i="2"/>
  <c r="O5410" i="2"/>
  <c r="L5411" i="2"/>
  <c r="M5411" i="2"/>
  <c r="N5411" i="2"/>
  <c r="O5411" i="2"/>
  <c r="L5412" i="2"/>
  <c r="M5412" i="2"/>
  <c r="N5412" i="2"/>
  <c r="O5412" i="2"/>
  <c r="L5413" i="2"/>
  <c r="M5413" i="2"/>
  <c r="N5413" i="2"/>
  <c r="O5413" i="2"/>
  <c r="L5414" i="2"/>
  <c r="M5414" i="2"/>
  <c r="N5414" i="2"/>
  <c r="O5414" i="2"/>
  <c r="L5415" i="2"/>
  <c r="M5415" i="2"/>
  <c r="N5415" i="2"/>
  <c r="O5415" i="2"/>
  <c r="L5416" i="2"/>
  <c r="M5416" i="2"/>
  <c r="N5416" i="2"/>
  <c r="O5416" i="2"/>
  <c r="L5417" i="2"/>
  <c r="M5417" i="2"/>
  <c r="N5417" i="2"/>
  <c r="O5417" i="2"/>
  <c r="L5418" i="2"/>
  <c r="M5418" i="2"/>
  <c r="N5418" i="2"/>
  <c r="O5418" i="2"/>
  <c r="L5419" i="2"/>
  <c r="M5419" i="2"/>
  <c r="N5419" i="2"/>
  <c r="O5419" i="2"/>
  <c r="L5420" i="2"/>
  <c r="M5420" i="2"/>
  <c r="N5420" i="2"/>
  <c r="O5420" i="2"/>
  <c r="L5421" i="2"/>
  <c r="M5421" i="2"/>
  <c r="N5421" i="2"/>
  <c r="O5421" i="2"/>
  <c r="L5422" i="2"/>
  <c r="M5422" i="2"/>
  <c r="N5422" i="2"/>
  <c r="O5422" i="2"/>
  <c r="L5423" i="2"/>
  <c r="M5423" i="2"/>
  <c r="N5423" i="2"/>
  <c r="O5423" i="2"/>
  <c r="L5424" i="2"/>
  <c r="M5424" i="2"/>
  <c r="N5424" i="2"/>
  <c r="O5424" i="2"/>
  <c r="L5425" i="2"/>
  <c r="M5425" i="2"/>
  <c r="N5425" i="2"/>
  <c r="O5425" i="2"/>
  <c r="L5426" i="2"/>
  <c r="M5426" i="2"/>
  <c r="N5426" i="2"/>
  <c r="O5426" i="2"/>
  <c r="L5427" i="2"/>
  <c r="M5427" i="2"/>
  <c r="N5427" i="2"/>
  <c r="O5427" i="2"/>
  <c r="L5428" i="2"/>
  <c r="M5428" i="2"/>
  <c r="N5428" i="2"/>
  <c r="O5428" i="2"/>
  <c r="L5429" i="2"/>
  <c r="M5429" i="2"/>
  <c r="N5429" i="2"/>
  <c r="O5429" i="2"/>
  <c r="L5430" i="2"/>
  <c r="M5430" i="2"/>
  <c r="N5430" i="2"/>
  <c r="O5430" i="2"/>
  <c r="L5431" i="2"/>
  <c r="M5431" i="2"/>
  <c r="N5431" i="2"/>
  <c r="O5431" i="2"/>
  <c r="L5432" i="2"/>
  <c r="M5432" i="2"/>
  <c r="N5432" i="2"/>
  <c r="O5432" i="2"/>
  <c r="L5433" i="2"/>
  <c r="M5433" i="2"/>
  <c r="N5433" i="2"/>
  <c r="O5433" i="2"/>
  <c r="L5434" i="2"/>
  <c r="M5434" i="2"/>
  <c r="N5434" i="2"/>
  <c r="O5434" i="2"/>
  <c r="L5435" i="2"/>
  <c r="M5435" i="2"/>
  <c r="N5435" i="2"/>
  <c r="O5435" i="2"/>
  <c r="L5436" i="2"/>
  <c r="M5436" i="2"/>
  <c r="N5436" i="2"/>
  <c r="O5436" i="2"/>
  <c r="L5437" i="2"/>
  <c r="M5437" i="2"/>
  <c r="N5437" i="2"/>
  <c r="O5437" i="2"/>
  <c r="L5438" i="2"/>
  <c r="M5438" i="2"/>
  <c r="N5438" i="2"/>
  <c r="O5438" i="2"/>
  <c r="L5439" i="2"/>
  <c r="M5439" i="2"/>
  <c r="N5439" i="2"/>
  <c r="O5439" i="2"/>
  <c r="L5440" i="2"/>
  <c r="M5440" i="2"/>
  <c r="N5440" i="2"/>
  <c r="O5440" i="2"/>
  <c r="L5441" i="2"/>
  <c r="M5441" i="2"/>
  <c r="N5441" i="2"/>
  <c r="O5441" i="2"/>
  <c r="L5442" i="2"/>
  <c r="M5442" i="2"/>
  <c r="N5442" i="2"/>
  <c r="O5442" i="2"/>
  <c r="L5443" i="2"/>
  <c r="M5443" i="2"/>
  <c r="N5443" i="2"/>
  <c r="O5443" i="2"/>
  <c r="L5444" i="2"/>
  <c r="M5444" i="2"/>
  <c r="N5444" i="2"/>
  <c r="O5444" i="2"/>
  <c r="L5445" i="2"/>
  <c r="M5445" i="2"/>
  <c r="N5445" i="2"/>
  <c r="O5445" i="2"/>
  <c r="L5446" i="2"/>
  <c r="M5446" i="2"/>
  <c r="N5446" i="2"/>
  <c r="O5446" i="2"/>
  <c r="L5447" i="2"/>
  <c r="M5447" i="2"/>
  <c r="N5447" i="2"/>
  <c r="O5447" i="2"/>
  <c r="L5448" i="2"/>
  <c r="M5448" i="2"/>
  <c r="N5448" i="2"/>
  <c r="O5448" i="2"/>
  <c r="L5449" i="2"/>
  <c r="M5449" i="2"/>
  <c r="N5449" i="2"/>
  <c r="O5449" i="2"/>
  <c r="L5450" i="2"/>
  <c r="M5450" i="2"/>
  <c r="N5450" i="2"/>
  <c r="O5450" i="2"/>
  <c r="L5451" i="2"/>
  <c r="M5451" i="2"/>
  <c r="N5451" i="2"/>
  <c r="O5451" i="2"/>
  <c r="L5452" i="2"/>
  <c r="M5452" i="2"/>
  <c r="N5452" i="2"/>
  <c r="O5452" i="2"/>
  <c r="L5453" i="2"/>
  <c r="M5453" i="2"/>
  <c r="N5453" i="2"/>
  <c r="O5453" i="2"/>
  <c r="L5454" i="2"/>
  <c r="M5454" i="2"/>
  <c r="N5454" i="2"/>
  <c r="O5454" i="2"/>
  <c r="L5455" i="2"/>
  <c r="M5455" i="2"/>
  <c r="N5455" i="2"/>
  <c r="O5455" i="2"/>
  <c r="L5456" i="2"/>
  <c r="M5456" i="2"/>
  <c r="N5456" i="2"/>
  <c r="O5456" i="2"/>
  <c r="L5457" i="2"/>
  <c r="M5457" i="2"/>
  <c r="N5457" i="2"/>
  <c r="O5457" i="2"/>
  <c r="L5458" i="2"/>
  <c r="M5458" i="2"/>
  <c r="N5458" i="2"/>
  <c r="O5458" i="2"/>
  <c r="L5459" i="2"/>
  <c r="M5459" i="2"/>
  <c r="N5459" i="2"/>
  <c r="O5459" i="2"/>
  <c r="L5460" i="2"/>
  <c r="M5460" i="2"/>
  <c r="N5460" i="2"/>
  <c r="O5460" i="2"/>
  <c r="L5461" i="2"/>
  <c r="M5461" i="2"/>
  <c r="N5461" i="2"/>
  <c r="O5461" i="2"/>
  <c r="L5462" i="2"/>
  <c r="M5462" i="2"/>
  <c r="N5462" i="2"/>
  <c r="O5462" i="2"/>
  <c r="L5463" i="2"/>
  <c r="M5463" i="2"/>
  <c r="N5463" i="2"/>
  <c r="O5463" i="2"/>
  <c r="L5464" i="2"/>
  <c r="M5464" i="2"/>
  <c r="N5464" i="2"/>
  <c r="O5464" i="2"/>
  <c r="L5465" i="2"/>
  <c r="M5465" i="2"/>
  <c r="N5465" i="2"/>
  <c r="O5465" i="2"/>
  <c r="L5466" i="2"/>
  <c r="M5466" i="2"/>
  <c r="N5466" i="2"/>
  <c r="O5466" i="2"/>
  <c r="L5467" i="2"/>
  <c r="M5467" i="2"/>
  <c r="N5467" i="2"/>
  <c r="O5467" i="2"/>
  <c r="L5468" i="2"/>
  <c r="M5468" i="2"/>
  <c r="N5468" i="2"/>
  <c r="O5468" i="2"/>
  <c r="L5469" i="2"/>
  <c r="M5469" i="2"/>
  <c r="N5469" i="2"/>
  <c r="O5469" i="2"/>
  <c r="L5470" i="2"/>
  <c r="M5470" i="2"/>
  <c r="N5470" i="2"/>
  <c r="O5470" i="2"/>
  <c r="L5471" i="2"/>
  <c r="M5471" i="2"/>
  <c r="N5471" i="2"/>
  <c r="O5471" i="2"/>
  <c r="L5472" i="2"/>
  <c r="M5472" i="2"/>
  <c r="N5472" i="2"/>
  <c r="O5472" i="2"/>
  <c r="L5473" i="2"/>
  <c r="M5473" i="2"/>
  <c r="N5473" i="2"/>
  <c r="O5473" i="2"/>
  <c r="L5474" i="2"/>
  <c r="M5474" i="2"/>
  <c r="N5474" i="2"/>
  <c r="O5474" i="2"/>
  <c r="L5475" i="2"/>
  <c r="M5475" i="2"/>
  <c r="N5475" i="2"/>
  <c r="O5475" i="2"/>
  <c r="L5476" i="2"/>
  <c r="M5476" i="2"/>
  <c r="N5476" i="2"/>
  <c r="O5476" i="2"/>
  <c r="L5477" i="2"/>
  <c r="M5477" i="2"/>
  <c r="N5477" i="2"/>
  <c r="O5477" i="2"/>
  <c r="L5478" i="2"/>
  <c r="M5478" i="2"/>
  <c r="N5478" i="2"/>
  <c r="O5478" i="2"/>
  <c r="L5479" i="2"/>
  <c r="M5479" i="2"/>
  <c r="N5479" i="2"/>
  <c r="O5479" i="2"/>
  <c r="L5480" i="2"/>
  <c r="M5480" i="2"/>
  <c r="N5480" i="2"/>
  <c r="O5480" i="2"/>
  <c r="L5481" i="2"/>
  <c r="M5481" i="2"/>
  <c r="N5481" i="2"/>
  <c r="O5481" i="2"/>
  <c r="L5482" i="2"/>
  <c r="M5482" i="2"/>
  <c r="N5482" i="2"/>
  <c r="O5482" i="2"/>
  <c r="L5483" i="2"/>
  <c r="M5483" i="2"/>
  <c r="N5483" i="2"/>
  <c r="O5483" i="2"/>
  <c r="L5484" i="2"/>
  <c r="M5484" i="2"/>
  <c r="N5484" i="2"/>
  <c r="O5484" i="2"/>
  <c r="L5485" i="2"/>
  <c r="M5485" i="2"/>
  <c r="N5485" i="2"/>
  <c r="O5485" i="2"/>
  <c r="L5486" i="2"/>
  <c r="M5486" i="2"/>
  <c r="N5486" i="2"/>
  <c r="O5486" i="2"/>
  <c r="L5487" i="2"/>
  <c r="M5487" i="2"/>
  <c r="N5487" i="2"/>
  <c r="O5487" i="2"/>
  <c r="L5488" i="2"/>
  <c r="M5488" i="2"/>
  <c r="N5488" i="2"/>
  <c r="O5488" i="2"/>
  <c r="L5489" i="2"/>
  <c r="M5489" i="2"/>
  <c r="N5489" i="2"/>
  <c r="O5489" i="2"/>
  <c r="L5490" i="2"/>
  <c r="M5490" i="2"/>
  <c r="N5490" i="2"/>
  <c r="O5490" i="2"/>
  <c r="L5491" i="2"/>
  <c r="M5491" i="2"/>
  <c r="N5491" i="2"/>
  <c r="O5491" i="2"/>
  <c r="L5492" i="2"/>
  <c r="M5492" i="2"/>
  <c r="N5492" i="2"/>
  <c r="O5492" i="2"/>
  <c r="L5493" i="2"/>
  <c r="M5493" i="2"/>
  <c r="N5493" i="2"/>
  <c r="O5493" i="2"/>
  <c r="L5494" i="2"/>
  <c r="M5494" i="2"/>
  <c r="N5494" i="2"/>
  <c r="O5494" i="2"/>
  <c r="L5495" i="2"/>
  <c r="M5495" i="2"/>
  <c r="N5495" i="2"/>
  <c r="O5495" i="2"/>
  <c r="L5496" i="2"/>
  <c r="M5496" i="2"/>
  <c r="N5496" i="2"/>
  <c r="O5496" i="2"/>
  <c r="L5497" i="2"/>
  <c r="M5497" i="2"/>
  <c r="N5497" i="2"/>
  <c r="O5497" i="2"/>
  <c r="L5498" i="2"/>
  <c r="M5498" i="2"/>
  <c r="N5498" i="2"/>
  <c r="O5498" i="2"/>
  <c r="L5499" i="2"/>
  <c r="M5499" i="2"/>
  <c r="N5499" i="2"/>
  <c r="O5499" i="2"/>
  <c r="L5500" i="2"/>
  <c r="M5500" i="2"/>
  <c r="N5500" i="2"/>
  <c r="O5500" i="2"/>
  <c r="L5501" i="2"/>
  <c r="M5501" i="2"/>
  <c r="N5501" i="2"/>
  <c r="O5501" i="2"/>
  <c r="L5502" i="2"/>
  <c r="M5502" i="2"/>
  <c r="N5502" i="2"/>
  <c r="O5502" i="2"/>
  <c r="L5503" i="2"/>
  <c r="M5503" i="2"/>
  <c r="N5503" i="2"/>
  <c r="O5503" i="2"/>
  <c r="L5504" i="2"/>
  <c r="M5504" i="2"/>
  <c r="N5504" i="2"/>
  <c r="O5504" i="2"/>
  <c r="L5505" i="2"/>
  <c r="M5505" i="2"/>
  <c r="N5505" i="2"/>
  <c r="O5505" i="2"/>
  <c r="L5506" i="2"/>
  <c r="M5506" i="2"/>
  <c r="N5506" i="2"/>
  <c r="O5506" i="2"/>
  <c r="L5507" i="2"/>
  <c r="M5507" i="2"/>
  <c r="N5507" i="2"/>
  <c r="O5507" i="2"/>
  <c r="L5508" i="2"/>
  <c r="M5508" i="2"/>
  <c r="N5508" i="2"/>
  <c r="O5508" i="2"/>
  <c r="L5509" i="2"/>
  <c r="M5509" i="2"/>
  <c r="N5509" i="2"/>
  <c r="O5509" i="2"/>
  <c r="L5510" i="2"/>
  <c r="M5510" i="2"/>
  <c r="N5510" i="2"/>
  <c r="O5510" i="2"/>
  <c r="L5511" i="2"/>
  <c r="M5511" i="2"/>
  <c r="N5511" i="2"/>
  <c r="O5511" i="2"/>
  <c r="L5512" i="2"/>
  <c r="M5512" i="2"/>
  <c r="N5512" i="2"/>
  <c r="O5512" i="2"/>
  <c r="L5513" i="2"/>
  <c r="M5513" i="2"/>
  <c r="N5513" i="2"/>
  <c r="O5513" i="2"/>
  <c r="L5514" i="2"/>
  <c r="M5514" i="2"/>
  <c r="N5514" i="2"/>
  <c r="O5514" i="2"/>
  <c r="L5515" i="2"/>
  <c r="M5515" i="2"/>
  <c r="N5515" i="2"/>
  <c r="O5515" i="2"/>
  <c r="L5516" i="2"/>
  <c r="M5516" i="2"/>
  <c r="N5516" i="2"/>
  <c r="O5516" i="2"/>
  <c r="L5517" i="2"/>
  <c r="M5517" i="2"/>
  <c r="N5517" i="2"/>
  <c r="O5517" i="2"/>
  <c r="L5518" i="2"/>
  <c r="M5518" i="2"/>
  <c r="N5518" i="2"/>
  <c r="O5518" i="2"/>
  <c r="L5519" i="2"/>
  <c r="M5519" i="2"/>
  <c r="N5519" i="2"/>
  <c r="O5519" i="2"/>
  <c r="L5520" i="2"/>
  <c r="M5520" i="2"/>
  <c r="N5520" i="2"/>
  <c r="O5520" i="2"/>
  <c r="L5521" i="2"/>
  <c r="M5521" i="2"/>
  <c r="N5521" i="2"/>
  <c r="O5521" i="2"/>
  <c r="L5522" i="2"/>
  <c r="M5522" i="2"/>
  <c r="N5522" i="2"/>
  <c r="O5522" i="2"/>
  <c r="L5523" i="2"/>
  <c r="M5523" i="2"/>
  <c r="N5523" i="2"/>
  <c r="O5523" i="2"/>
  <c r="L5524" i="2"/>
  <c r="M5524" i="2"/>
  <c r="N5524" i="2"/>
  <c r="O5524" i="2"/>
  <c r="L5525" i="2"/>
  <c r="M5525" i="2"/>
  <c r="N5525" i="2"/>
  <c r="O5525" i="2"/>
  <c r="L5526" i="2"/>
  <c r="M5526" i="2"/>
  <c r="N5526" i="2"/>
  <c r="O5526" i="2"/>
  <c r="L5527" i="2"/>
  <c r="M5527" i="2"/>
  <c r="N5527" i="2"/>
  <c r="O5527" i="2"/>
  <c r="L5528" i="2"/>
  <c r="M5528" i="2"/>
  <c r="N5528" i="2"/>
  <c r="O5528" i="2"/>
  <c r="L5529" i="2"/>
  <c r="M5529" i="2"/>
  <c r="N5529" i="2"/>
  <c r="O5529" i="2"/>
  <c r="L5530" i="2"/>
  <c r="M5530" i="2"/>
  <c r="N5530" i="2"/>
  <c r="O5530" i="2"/>
  <c r="L5531" i="2"/>
  <c r="M5531" i="2"/>
  <c r="N5531" i="2"/>
  <c r="O5531" i="2"/>
  <c r="L5532" i="2"/>
  <c r="M5532" i="2"/>
  <c r="N5532" i="2"/>
  <c r="O5532" i="2"/>
  <c r="L5533" i="2"/>
  <c r="M5533" i="2"/>
  <c r="N5533" i="2"/>
  <c r="O5533" i="2"/>
  <c r="L5534" i="2"/>
  <c r="M5534" i="2"/>
  <c r="N5534" i="2"/>
  <c r="O5534" i="2"/>
  <c r="L5535" i="2"/>
  <c r="M5535" i="2"/>
  <c r="N5535" i="2"/>
  <c r="O5535" i="2"/>
  <c r="L5536" i="2"/>
  <c r="M5536" i="2"/>
  <c r="N5536" i="2"/>
  <c r="O5536" i="2"/>
  <c r="L5537" i="2"/>
  <c r="M5537" i="2"/>
  <c r="N5537" i="2"/>
  <c r="O5537" i="2"/>
  <c r="L5538" i="2"/>
  <c r="M5538" i="2"/>
  <c r="N5538" i="2"/>
  <c r="O5538" i="2"/>
  <c r="L5539" i="2"/>
  <c r="M5539" i="2"/>
  <c r="N5539" i="2"/>
  <c r="O5539" i="2"/>
  <c r="L5540" i="2"/>
  <c r="M5540" i="2"/>
  <c r="N5540" i="2"/>
  <c r="O5540" i="2"/>
  <c r="L5541" i="2"/>
  <c r="M5541" i="2"/>
  <c r="N5541" i="2"/>
  <c r="O5541" i="2"/>
  <c r="L5542" i="2"/>
  <c r="M5542" i="2"/>
  <c r="N5542" i="2"/>
  <c r="O5542" i="2"/>
  <c r="L5543" i="2"/>
  <c r="M5543" i="2"/>
  <c r="N5543" i="2"/>
  <c r="O5543" i="2"/>
  <c r="L5544" i="2"/>
  <c r="M5544" i="2"/>
  <c r="N5544" i="2"/>
  <c r="O5544" i="2"/>
  <c r="L5545" i="2"/>
  <c r="M5545" i="2"/>
  <c r="N5545" i="2"/>
  <c r="O5545" i="2"/>
  <c r="L5546" i="2"/>
  <c r="M5546" i="2"/>
  <c r="N5546" i="2"/>
  <c r="O5546" i="2"/>
  <c r="L5547" i="2"/>
  <c r="M5547" i="2"/>
  <c r="N5547" i="2"/>
  <c r="O5547" i="2"/>
  <c r="L5548" i="2"/>
  <c r="M5548" i="2"/>
  <c r="N5548" i="2"/>
  <c r="O5548" i="2"/>
  <c r="L5549" i="2"/>
  <c r="M5549" i="2"/>
  <c r="N5549" i="2"/>
  <c r="O5549" i="2"/>
  <c r="L5550" i="2"/>
  <c r="M5550" i="2"/>
  <c r="N5550" i="2"/>
  <c r="O5550" i="2"/>
  <c r="L5551" i="2"/>
  <c r="M5551" i="2"/>
  <c r="N5551" i="2"/>
  <c r="O5551" i="2"/>
  <c r="L5552" i="2"/>
  <c r="M5552" i="2"/>
  <c r="N5552" i="2"/>
  <c r="O5552" i="2"/>
  <c r="L5553" i="2"/>
  <c r="M5553" i="2"/>
  <c r="N5553" i="2"/>
  <c r="O5553" i="2"/>
  <c r="L5554" i="2"/>
  <c r="M5554" i="2"/>
  <c r="N5554" i="2"/>
  <c r="O5554" i="2"/>
  <c r="L5555" i="2"/>
  <c r="M5555" i="2"/>
  <c r="N5555" i="2"/>
  <c r="O5555" i="2"/>
  <c r="L5556" i="2"/>
  <c r="M5556" i="2"/>
  <c r="N5556" i="2"/>
  <c r="O5556" i="2"/>
  <c r="L5557" i="2"/>
  <c r="M5557" i="2"/>
  <c r="N5557" i="2"/>
  <c r="O5557" i="2"/>
  <c r="L5558" i="2"/>
  <c r="M5558" i="2"/>
  <c r="N5558" i="2"/>
  <c r="O5558" i="2"/>
  <c r="L5559" i="2"/>
  <c r="M5559" i="2"/>
  <c r="N5559" i="2"/>
  <c r="O5559" i="2"/>
  <c r="L5560" i="2"/>
  <c r="M5560" i="2"/>
  <c r="N5560" i="2"/>
  <c r="O5560" i="2"/>
  <c r="L5561" i="2"/>
  <c r="M5561" i="2"/>
  <c r="N5561" i="2"/>
  <c r="O5561" i="2"/>
  <c r="L5562" i="2"/>
  <c r="M5562" i="2"/>
  <c r="N5562" i="2"/>
  <c r="O5562" i="2"/>
  <c r="L5563" i="2"/>
  <c r="M5563" i="2"/>
  <c r="N5563" i="2"/>
  <c r="O5563" i="2"/>
  <c r="L5564" i="2"/>
  <c r="M5564" i="2"/>
  <c r="N5564" i="2"/>
  <c r="O5564" i="2"/>
  <c r="L5565" i="2"/>
  <c r="M5565" i="2"/>
  <c r="N5565" i="2"/>
  <c r="O5565" i="2"/>
  <c r="L5566" i="2"/>
  <c r="M5566" i="2"/>
  <c r="N5566" i="2"/>
  <c r="O5566" i="2"/>
  <c r="L5567" i="2"/>
  <c r="M5567" i="2"/>
  <c r="N5567" i="2"/>
  <c r="O5567" i="2"/>
  <c r="L5568" i="2"/>
  <c r="M5568" i="2"/>
  <c r="N5568" i="2"/>
  <c r="O5568" i="2"/>
  <c r="L5569" i="2"/>
  <c r="M5569" i="2"/>
  <c r="N5569" i="2"/>
  <c r="O5569" i="2"/>
  <c r="L5570" i="2"/>
  <c r="M5570" i="2"/>
  <c r="N5570" i="2"/>
  <c r="O5570" i="2"/>
  <c r="L5571" i="2"/>
  <c r="M5571" i="2"/>
  <c r="N5571" i="2"/>
  <c r="O5571" i="2"/>
  <c r="L5572" i="2"/>
  <c r="M5572" i="2"/>
  <c r="N5572" i="2"/>
  <c r="O5572" i="2"/>
  <c r="L5573" i="2"/>
  <c r="M5573" i="2"/>
  <c r="N5573" i="2"/>
  <c r="O5573" i="2"/>
  <c r="L5574" i="2"/>
  <c r="M5574" i="2"/>
  <c r="N5574" i="2"/>
  <c r="O5574" i="2"/>
  <c r="L5575" i="2"/>
  <c r="M5575" i="2"/>
  <c r="N5575" i="2"/>
  <c r="O5575" i="2"/>
  <c r="L5576" i="2"/>
  <c r="M5576" i="2"/>
  <c r="N5576" i="2"/>
  <c r="O5576" i="2"/>
  <c r="L5577" i="2"/>
  <c r="M5577" i="2"/>
  <c r="N5577" i="2"/>
  <c r="O5577" i="2"/>
  <c r="L5578" i="2"/>
  <c r="M5578" i="2"/>
  <c r="N5578" i="2"/>
  <c r="O5578" i="2"/>
  <c r="L5579" i="2"/>
  <c r="M5579" i="2"/>
  <c r="N5579" i="2"/>
  <c r="O5579" i="2"/>
  <c r="L5580" i="2"/>
  <c r="M5580" i="2"/>
  <c r="N5580" i="2"/>
  <c r="O5580" i="2"/>
  <c r="L5581" i="2"/>
  <c r="M5581" i="2"/>
  <c r="N5581" i="2"/>
  <c r="O5581" i="2"/>
  <c r="L5582" i="2"/>
  <c r="M5582" i="2"/>
  <c r="N5582" i="2"/>
  <c r="O5582" i="2"/>
  <c r="L5583" i="2"/>
  <c r="M5583" i="2"/>
  <c r="N5583" i="2"/>
  <c r="O5583" i="2"/>
  <c r="L5584" i="2"/>
  <c r="M5584" i="2"/>
  <c r="N5584" i="2"/>
  <c r="O5584" i="2"/>
  <c r="L5585" i="2"/>
  <c r="M5585" i="2"/>
  <c r="N5585" i="2"/>
  <c r="O5585" i="2"/>
  <c r="L5586" i="2"/>
  <c r="M5586" i="2"/>
  <c r="N5586" i="2"/>
  <c r="O5586" i="2"/>
  <c r="L5587" i="2"/>
  <c r="M5587" i="2"/>
  <c r="N5587" i="2"/>
  <c r="O5587" i="2"/>
  <c r="L5588" i="2"/>
  <c r="M5588" i="2"/>
  <c r="N5588" i="2"/>
  <c r="O5588" i="2"/>
  <c r="L5589" i="2"/>
  <c r="M5589" i="2"/>
  <c r="N5589" i="2"/>
  <c r="O5589" i="2"/>
  <c r="L5590" i="2"/>
  <c r="M5590" i="2"/>
  <c r="N5590" i="2"/>
  <c r="O5590" i="2"/>
  <c r="L5591" i="2"/>
  <c r="M5591" i="2"/>
  <c r="N5591" i="2"/>
  <c r="O5591" i="2"/>
  <c r="L5592" i="2"/>
  <c r="M5592" i="2"/>
  <c r="N5592" i="2"/>
  <c r="O5592" i="2"/>
  <c r="L5593" i="2"/>
  <c r="M5593" i="2"/>
  <c r="N5593" i="2"/>
  <c r="O5593" i="2"/>
  <c r="L5594" i="2"/>
  <c r="M5594" i="2"/>
  <c r="N5594" i="2"/>
  <c r="O5594" i="2"/>
  <c r="L5595" i="2"/>
  <c r="M5595" i="2"/>
  <c r="N5595" i="2"/>
  <c r="O5595" i="2"/>
  <c r="L5596" i="2"/>
  <c r="M5596" i="2"/>
  <c r="N5596" i="2"/>
  <c r="O5596" i="2"/>
  <c r="L5597" i="2"/>
  <c r="M5597" i="2"/>
  <c r="N5597" i="2"/>
  <c r="O5597" i="2"/>
  <c r="L5598" i="2"/>
  <c r="M5598" i="2"/>
  <c r="N5598" i="2"/>
  <c r="O5598" i="2"/>
  <c r="L5599" i="2"/>
  <c r="M5599" i="2"/>
  <c r="N5599" i="2"/>
  <c r="O5599" i="2"/>
  <c r="L5600" i="2"/>
  <c r="M5600" i="2"/>
  <c r="N5600" i="2"/>
  <c r="O5600" i="2"/>
  <c r="L5601" i="2"/>
  <c r="M5601" i="2"/>
  <c r="N5601" i="2"/>
  <c r="O5601" i="2"/>
  <c r="L5602" i="2"/>
  <c r="M5602" i="2"/>
  <c r="N5602" i="2"/>
  <c r="O5602" i="2"/>
  <c r="L5603" i="2"/>
  <c r="M5603" i="2"/>
  <c r="N5603" i="2"/>
  <c r="O5603" i="2"/>
  <c r="L5604" i="2"/>
  <c r="M5604" i="2"/>
  <c r="N5604" i="2"/>
  <c r="O5604" i="2"/>
  <c r="L5605" i="2"/>
  <c r="M5605" i="2"/>
  <c r="N5605" i="2"/>
  <c r="O5605" i="2"/>
  <c r="L5606" i="2"/>
  <c r="M5606" i="2"/>
  <c r="N5606" i="2"/>
  <c r="O5606" i="2"/>
  <c r="L5607" i="2"/>
  <c r="M5607" i="2"/>
  <c r="N5607" i="2"/>
  <c r="O5607" i="2"/>
  <c r="L5608" i="2"/>
  <c r="M5608" i="2"/>
  <c r="N5608" i="2"/>
  <c r="O5608" i="2"/>
  <c r="L5609" i="2"/>
  <c r="M5609" i="2"/>
  <c r="N5609" i="2"/>
  <c r="O5609" i="2"/>
  <c r="L5610" i="2"/>
  <c r="M5610" i="2"/>
  <c r="N5610" i="2"/>
  <c r="O5610" i="2"/>
  <c r="L5611" i="2"/>
  <c r="M5611" i="2"/>
  <c r="N5611" i="2"/>
  <c r="O5611" i="2"/>
  <c r="L5612" i="2"/>
  <c r="M5612" i="2"/>
  <c r="N5612" i="2"/>
  <c r="O5612" i="2"/>
  <c r="L5613" i="2"/>
  <c r="M5613" i="2"/>
  <c r="N5613" i="2"/>
  <c r="O5613" i="2"/>
  <c r="L5614" i="2"/>
  <c r="M5614" i="2"/>
  <c r="N5614" i="2"/>
  <c r="O5614" i="2"/>
  <c r="L5615" i="2"/>
  <c r="M5615" i="2"/>
  <c r="N5615" i="2"/>
  <c r="O5615" i="2"/>
  <c r="L5616" i="2"/>
  <c r="M5616" i="2"/>
  <c r="N5616" i="2"/>
  <c r="O5616" i="2"/>
  <c r="L5617" i="2"/>
  <c r="M5617" i="2"/>
  <c r="N5617" i="2"/>
  <c r="O5617" i="2"/>
  <c r="L5618" i="2"/>
  <c r="M5618" i="2"/>
  <c r="N5618" i="2"/>
  <c r="O5618" i="2"/>
  <c r="L5619" i="2"/>
  <c r="M5619" i="2"/>
  <c r="N5619" i="2"/>
  <c r="O5619" i="2"/>
  <c r="L5620" i="2"/>
  <c r="M5620" i="2"/>
  <c r="N5620" i="2"/>
  <c r="O5620" i="2"/>
  <c r="L5621" i="2"/>
  <c r="M5621" i="2"/>
  <c r="N5621" i="2"/>
  <c r="O5621" i="2"/>
  <c r="L5622" i="2"/>
  <c r="M5622" i="2"/>
  <c r="N5622" i="2"/>
  <c r="O5622" i="2"/>
  <c r="L5623" i="2"/>
  <c r="M5623" i="2"/>
  <c r="N5623" i="2"/>
  <c r="O5623" i="2"/>
  <c r="L5624" i="2"/>
  <c r="M5624" i="2"/>
  <c r="N5624" i="2"/>
  <c r="O5624" i="2"/>
  <c r="L5625" i="2"/>
  <c r="M5625" i="2"/>
  <c r="N5625" i="2"/>
  <c r="O5625" i="2"/>
  <c r="L5626" i="2"/>
  <c r="M5626" i="2"/>
  <c r="N5626" i="2"/>
  <c r="O5626" i="2"/>
  <c r="L5627" i="2"/>
  <c r="M5627" i="2"/>
  <c r="N5627" i="2"/>
  <c r="O5627" i="2"/>
  <c r="L5628" i="2"/>
  <c r="M5628" i="2"/>
  <c r="N5628" i="2"/>
  <c r="O5628" i="2"/>
  <c r="L5629" i="2"/>
  <c r="M5629" i="2"/>
  <c r="N5629" i="2"/>
  <c r="O5629" i="2"/>
  <c r="L5630" i="2"/>
  <c r="M5630" i="2"/>
  <c r="N5630" i="2"/>
  <c r="O5630" i="2"/>
  <c r="L5631" i="2"/>
  <c r="M5631" i="2"/>
  <c r="N5631" i="2"/>
  <c r="O5631" i="2"/>
  <c r="L5632" i="2"/>
  <c r="M5632" i="2"/>
  <c r="N5632" i="2"/>
  <c r="O5632" i="2"/>
  <c r="L5633" i="2"/>
  <c r="M5633" i="2"/>
  <c r="N5633" i="2"/>
  <c r="O5633" i="2"/>
  <c r="L5634" i="2"/>
  <c r="M5634" i="2"/>
  <c r="N5634" i="2"/>
  <c r="O5634" i="2"/>
  <c r="L5635" i="2"/>
  <c r="M5635" i="2"/>
  <c r="N5635" i="2"/>
  <c r="O5635" i="2"/>
  <c r="L5636" i="2"/>
  <c r="M5636" i="2"/>
  <c r="N5636" i="2"/>
  <c r="O5636" i="2"/>
  <c r="L5637" i="2"/>
  <c r="M5637" i="2"/>
  <c r="N5637" i="2"/>
  <c r="O5637" i="2"/>
  <c r="L5638" i="2"/>
  <c r="M5638" i="2"/>
  <c r="N5638" i="2"/>
  <c r="O5638" i="2"/>
  <c r="L5639" i="2"/>
  <c r="M5639" i="2"/>
  <c r="N5639" i="2"/>
  <c r="O5639" i="2"/>
  <c r="L5640" i="2"/>
  <c r="M5640" i="2"/>
  <c r="N5640" i="2"/>
  <c r="O5640" i="2"/>
  <c r="L5641" i="2"/>
  <c r="M5641" i="2"/>
  <c r="N5641" i="2"/>
  <c r="O5641" i="2"/>
  <c r="L5642" i="2"/>
  <c r="M5642" i="2"/>
  <c r="N5642" i="2"/>
  <c r="O5642" i="2"/>
  <c r="L5643" i="2"/>
  <c r="M5643" i="2"/>
  <c r="N5643" i="2"/>
  <c r="O5643" i="2"/>
  <c r="L5644" i="2"/>
  <c r="M5644" i="2"/>
  <c r="N5644" i="2"/>
  <c r="O5644" i="2"/>
  <c r="L5645" i="2"/>
  <c r="M5645" i="2"/>
  <c r="N5645" i="2"/>
  <c r="O5645" i="2"/>
  <c r="L5646" i="2"/>
  <c r="M5646" i="2"/>
  <c r="N5646" i="2"/>
  <c r="O5646" i="2"/>
  <c r="L5647" i="2"/>
  <c r="M5647" i="2"/>
  <c r="N5647" i="2"/>
  <c r="O5647" i="2"/>
  <c r="L5648" i="2"/>
  <c r="M5648" i="2"/>
  <c r="N5648" i="2"/>
  <c r="O5648" i="2"/>
  <c r="L5649" i="2"/>
  <c r="M5649" i="2"/>
  <c r="N5649" i="2"/>
  <c r="O5649" i="2"/>
  <c r="L5650" i="2"/>
  <c r="M5650" i="2"/>
  <c r="N5650" i="2"/>
  <c r="O5650" i="2"/>
  <c r="L5651" i="2"/>
  <c r="M5651" i="2"/>
  <c r="N5651" i="2"/>
  <c r="O5651" i="2"/>
  <c r="L5652" i="2"/>
  <c r="M5652" i="2"/>
  <c r="N5652" i="2"/>
  <c r="O5652" i="2"/>
  <c r="L5653" i="2"/>
  <c r="M5653" i="2"/>
  <c r="N5653" i="2"/>
  <c r="O5653" i="2"/>
  <c r="L5654" i="2"/>
  <c r="M5654" i="2"/>
  <c r="N5654" i="2"/>
  <c r="O5654" i="2"/>
  <c r="L5655" i="2"/>
  <c r="M5655" i="2"/>
  <c r="N5655" i="2"/>
  <c r="O5655" i="2"/>
  <c r="L5656" i="2"/>
  <c r="M5656" i="2"/>
  <c r="N5656" i="2"/>
  <c r="O5656" i="2"/>
  <c r="L5657" i="2"/>
  <c r="M5657" i="2"/>
  <c r="N5657" i="2"/>
  <c r="O5657" i="2"/>
  <c r="L5658" i="2"/>
  <c r="M5658" i="2"/>
  <c r="N5658" i="2"/>
  <c r="O5658" i="2"/>
  <c r="L5659" i="2"/>
  <c r="M5659" i="2"/>
  <c r="N5659" i="2"/>
  <c r="O5659" i="2"/>
  <c r="L5660" i="2"/>
  <c r="M5660" i="2"/>
  <c r="N5660" i="2"/>
  <c r="O5660" i="2"/>
  <c r="L5661" i="2"/>
  <c r="M5661" i="2"/>
  <c r="N5661" i="2"/>
  <c r="O5661" i="2"/>
  <c r="L5662" i="2"/>
  <c r="M5662" i="2"/>
  <c r="N5662" i="2"/>
  <c r="O5662" i="2"/>
  <c r="L5663" i="2"/>
  <c r="M5663" i="2"/>
  <c r="N5663" i="2"/>
  <c r="O5663" i="2"/>
  <c r="L5664" i="2"/>
  <c r="M5664" i="2"/>
  <c r="N5664" i="2"/>
  <c r="O5664" i="2"/>
  <c r="L5665" i="2"/>
  <c r="M5665" i="2"/>
  <c r="N5665" i="2"/>
  <c r="O5665" i="2"/>
  <c r="L5666" i="2"/>
  <c r="M5666" i="2"/>
  <c r="N5666" i="2"/>
  <c r="O5666" i="2"/>
  <c r="L5667" i="2"/>
  <c r="M5667" i="2"/>
  <c r="N5667" i="2"/>
  <c r="O5667" i="2"/>
  <c r="L5668" i="2"/>
  <c r="M5668" i="2"/>
  <c r="N5668" i="2"/>
  <c r="O5668" i="2"/>
  <c r="L5669" i="2"/>
  <c r="M5669" i="2"/>
  <c r="N5669" i="2"/>
  <c r="O5669" i="2"/>
  <c r="L5670" i="2"/>
  <c r="M5670" i="2"/>
  <c r="N5670" i="2"/>
  <c r="O5670" i="2"/>
  <c r="L5671" i="2"/>
  <c r="M5671" i="2"/>
  <c r="N5671" i="2"/>
  <c r="O5671" i="2"/>
  <c r="L5672" i="2"/>
  <c r="M5672" i="2"/>
  <c r="N5672" i="2"/>
  <c r="O5672" i="2"/>
  <c r="L5673" i="2"/>
  <c r="M5673" i="2"/>
  <c r="N5673" i="2"/>
  <c r="O5673" i="2"/>
  <c r="L5674" i="2"/>
  <c r="M5674" i="2"/>
  <c r="N5674" i="2"/>
  <c r="O5674" i="2"/>
  <c r="L5675" i="2"/>
  <c r="M5675" i="2"/>
  <c r="N5675" i="2"/>
  <c r="O5675" i="2"/>
  <c r="L5676" i="2"/>
  <c r="M5676" i="2"/>
  <c r="N5676" i="2"/>
  <c r="O5676" i="2"/>
  <c r="L5677" i="2"/>
  <c r="M5677" i="2"/>
  <c r="N5677" i="2"/>
  <c r="O5677" i="2"/>
  <c r="L5678" i="2"/>
  <c r="M5678" i="2"/>
  <c r="N5678" i="2"/>
  <c r="O5678" i="2"/>
  <c r="L5679" i="2"/>
  <c r="M5679" i="2"/>
  <c r="N5679" i="2"/>
  <c r="O5679" i="2"/>
  <c r="L5680" i="2"/>
  <c r="M5680" i="2"/>
  <c r="N5680" i="2"/>
  <c r="O5680" i="2"/>
  <c r="L5681" i="2"/>
  <c r="M5681" i="2"/>
  <c r="N5681" i="2"/>
  <c r="O5681" i="2"/>
  <c r="L5682" i="2"/>
  <c r="M5682" i="2"/>
  <c r="N5682" i="2"/>
  <c r="O5682" i="2"/>
  <c r="L5683" i="2"/>
  <c r="M5683" i="2"/>
  <c r="N5683" i="2"/>
  <c r="O5683" i="2"/>
  <c r="L5684" i="2"/>
  <c r="M5684" i="2"/>
  <c r="N5684" i="2"/>
  <c r="O5684" i="2"/>
  <c r="L5685" i="2"/>
  <c r="M5685" i="2"/>
  <c r="N5685" i="2"/>
  <c r="O5685" i="2"/>
  <c r="L5686" i="2"/>
  <c r="M5686" i="2"/>
  <c r="N5686" i="2"/>
  <c r="O5686" i="2"/>
  <c r="L5687" i="2"/>
  <c r="M5687" i="2"/>
  <c r="N5687" i="2"/>
  <c r="O5687" i="2"/>
  <c r="L5688" i="2"/>
  <c r="M5688" i="2"/>
  <c r="N5688" i="2"/>
  <c r="O5688" i="2"/>
  <c r="L5689" i="2"/>
  <c r="M5689" i="2"/>
  <c r="N5689" i="2"/>
  <c r="O5689" i="2"/>
  <c r="L5690" i="2"/>
  <c r="M5690" i="2"/>
  <c r="N5690" i="2"/>
  <c r="O5690" i="2"/>
  <c r="L5691" i="2"/>
  <c r="M5691" i="2"/>
  <c r="N5691" i="2"/>
  <c r="O5691" i="2"/>
  <c r="L5692" i="2"/>
  <c r="M5692" i="2"/>
  <c r="N5692" i="2"/>
  <c r="O5692" i="2"/>
  <c r="L5693" i="2"/>
  <c r="M5693" i="2"/>
  <c r="N5693" i="2"/>
  <c r="O5693" i="2"/>
  <c r="L5694" i="2"/>
  <c r="M5694" i="2"/>
  <c r="N5694" i="2"/>
  <c r="O5694" i="2"/>
  <c r="L5695" i="2"/>
  <c r="M5695" i="2"/>
  <c r="N5695" i="2"/>
  <c r="O5695" i="2"/>
  <c r="L5696" i="2"/>
  <c r="M5696" i="2"/>
  <c r="N5696" i="2"/>
  <c r="O5696" i="2"/>
  <c r="L5697" i="2"/>
  <c r="M5697" i="2"/>
  <c r="N5697" i="2"/>
  <c r="O5697" i="2"/>
  <c r="L5698" i="2"/>
  <c r="M5698" i="2"/>
  <c r="N5698" i="2"/>
  <c r="O5698" i="2"/>
  <c r="L5699" i="2"/>
  <c r="M5699" i="2"/>
  <c r="N5699" i="2"/>
  <c r="O5699" i="2"/>
  <c r="L5700" i="2"/>
  <c r="M5700" i="2"/>
  <c r="N5700" i="2"/>
  <c r="O5700" i="2"/>
  <c r="L5701" i="2"/>
  <c r="M5701" i="2"/>
  <c r="N5701" i="2"/>
  <c r="O5701" i="2"/>
  <c r="L5702" i="2"/>
  <c r="M5702" i="2"/>
  <c r="N5702" i="2"/>
  <c r="O5702" i="2"/>
  <c r="L5703" i="2"/>
  <c r="M5703" i="2"/>
  <c r="N5703" i="2"/>
  <c r="O5703" i="2"/>
  <c r="L5704" i="2"/>
  <c r="M5704" i="2"/>
  <c r="N5704" i="2"/>
  <c r="O5704" i="2"/>
  <c r="L5705" i="2"/>
  <c r="M5705" i="2"/>
  <c r="N5705" i="2"/>
  <c r="O5705" i="2"/>
  <c r="L5706" i="2"/>
  <c r="M5706" i="2"/>
  <c r="N5706" i="2"/>
  <c r="O5706" i="2"/>
  <c r="L5707" i="2"/>
  <c r="M5707" i="2"/>
  <c r="N5707" i="2"/>
  <c r="O5707" i="2"/>
  <c r="L5708" i="2"/>
  <c r="M5708" i="2"/>
  <c r="N5708" i="2"/>
  <c r="O5708" i="2"/>
  <c r="L5709" i="2"/>
  <c r="M5709" i="2"/>
  <c r="N5709" i="2"/>
  <c r="O5709" i="2"/>
  <c r="L5710" i="2"/>
  <c r="M5710" i="2"/>
  <c r="N5710" i="2"/>
  <c r="O5710" i="2"/>
  <c r="L5711" i="2"/>
  <c r="M5711" i="2"/>
  <c r="N5711" i="2"/>
  <c r="O5711" i="2"/>
  <c r="L5712" i="2"/>
  <c r="M5712" i="2"/>
  <c r="N5712" i="2"/>
  <c r="O5712" i="2"/>
  <c r="L5713" i="2"/>
  <c r="M5713" i="2"/>
  <c r="N5713" i="2"/>
  <c r="O5713" i="2"/>
  <c r="L5714" i="2"/>
  <c r="M5714" i="2"/>
  <c r="N5714" i="2"/>
  <c r="O5714" i="2"/>
  <c r="L5715" i="2"/>
  <c r="M5715" i="2"/>
  <c r="N5715" i="2"/>
  <c r="O5715" i="2"/>
  <c r="L5716" i="2"/>
  <c r="M5716" i="2"/>
  <c r="N5716" i="2"/>
  <c r="O5716" i="2"/>
  <c r="L5717" i="2"/>
  <c r="M5717" i="2"/>
  <c r="N5717" i="2"/>
  <c r="O5717" i="2"/>
  <c r="L5718" i="2"/>
  <c r="M5718" i="2"/>
  <c r="N5718" i="2"/>
  <c r="O5718" i="2"/>
  <c r="L5719" i="2"/>
  <c r="M5719" i="2"/>
  <c r="N5719" i="2"/>
  <c r="O5719" i="2"/>
  <c r="L5720" i="2"/>
  <c r="M5720" i="2"/>
  <c r="N5720" i="2"/>
  <c r="O5720" i="2"/>
  <c r="L5721" i="2"/>
  <c r="M5721" i="2"/>
  <c r="N5721" i="2"/>
  <c r="O5721" i="2"/>
  <c r="L5722" i="2"/>
  <c r="M5722" i="2"/>
  <c r="N5722" i="2"/>
  <c r="O5722" i="2"/>
  <c r="L5723" i="2"/>
  <c r="M5723" i="2"/>
  <c r="N5723" i="2"/>
  <c r="O5723" i="2"/>
  <c r="L5724" i="2"/>
  <c r="M5724" i="2"/>
  <c r="N5724" i="2"/>
  <c r="O5724" i="2"/>
  <c r="L5725" i="2"/>
  <c r="M5725" i="2"/>
  <c r="N5725" i="2"/>
  <c r="O5725" i="2"/>
  <c r="L5726" i="2"/>
  <c r="M5726" i="2"/>
  <c r="N5726" i="2"/>
  <c r="O5726" i="2"/>
  <c r="L5727" i="2"/>
  <c r="M5727" i="2"/>
  <c r="N5727" i="2"/>
  <c r="O5727" i="2"/>
  <c r="L5728" i="2"/>
  <c r="M5728" i="2"/>
  <c r="N5728" i="2"/>
  <c r="O5728" i="2"/>
  <c r="L5729" i="2"/>
  <c r="M5729" i="2"/>
  <c r="N5729" i="2"/>
  <c r="O5729" i="2"/>
  <c r="L5730" i="2"/>
  <c r="M5730" i="2"/>
  <c r="N5730" i="2"/>
  <c r="O5730" i="2"/>
  <c r="L5731" i="2"/>
  <c r="M5731" i="2"/>
  <c r="N5731" i="2"/>
  <c r="O5731" i="2"/>
  <c r="L5732" i="2"/>
  <c r="M5732" i="2"/>
  <c r="N5732" i="2"/>
  <c r="O5732" i="2"/>
  <c r="L5733" i="2"/>
  <c r="M5733" i="2"/>
  <c r="N5733" i="2"/>
  <c r="O5733" i="2"/>
  <c r="L5734" i="2"/>
  <c r="M5734" i="2"/>
  <c r="N5734" i="2"/>
  <c r="O5734" i="2"/>
  <c r="L5735" i="2"/>
  <c r="M5735" i="2"/>
  <c r="N5735" i="2"/>
  <c r="O5735" i="2"/>
  <c r="L5736" i="2"/>
  <c r="M5736" i="2"/>
  <c r="N5736" i="2"/>
  <c r="O5736" i="2"/>
  <c r="L5737" i="2"/>
  <c r="M5737" i="2"/>
  <c r="N5737" i="2"/>
  <c r="O5737" i="2"/>
  <c r="L5738" i="2"/>
  <c r="M5738" i="2"/>
  <c r="N5738" i="2"/>
  <c r="O5738" i="2"/>
  <c r="L5739" i="2"/>
  <c r="M5739" i="2"/>
  <c r="N5739" i="2"/>
  <c r="O5739" i="2"/>
  <c r="L5740" i="2"/>
  <c r="M5740" i="2"/>
  <c r="N5740" i="2"/>
  <c r="O5740" i="2"/>
  <c r="L5741" i="2"/>
  <c r="M5741" i="2"/>
  <c r="N5741" i="2"/>
  <c r="O5741" i="2"/>
  <c r="L5742" i="2"/>
  <c r="M5742" i="2"/>
  <c r="N5742" i="2"/>
  <c r="O5742" i="2"/>
  <c r="L5743" i="2"/>
  <c r="M5743" i="2"/>
  <c r="N5743" i="2"/>
  <c r="O5743" i="2"/>
  <c r="L5744" i="2"/>
  <c r="M5744" i="2"/>
  <c r="N5744" i="2"/>
  <c r="O5744" i="2"/>
  <c r="L5745" i="2"/>
  <c r="M5745" i="2"/>
  <c r="N5745" i="2"/>
  <c r="O5745" i="2"/>
  <c r="L5746" i="2"/>
  <c r="M5746" i="2"/>
  <c r="N5746" i="2"/>
  <c r="O5746" i="2"/>
  <c r="L5747" i="2"/>
  <c r="M5747" i="2"/>
  <c r="N5747" i="2"/>
  <c r="O5747" i="2"/>
  <c r="L5748" i="2"/>
  <c r="M5748" i="2"/>
  <c r="N5748" i="2"/>
  <c r="O5748" i="2"/>
  <c r="L5749" i="2"/>
  <c r="M5749" i="2"/>
  <c r="N5749" i="2"/>
  <c r="O5749" i="2"/>
  <c r="L5750" i="2"/>
  <c r="M5750" i="2"/>
  <c r="N5750" i="2"/>
  <c r="O5750" i="2"/>
  <c r="L5751" i="2"/>
  <c r="M5751" i="2"/>
  <c r="N5751" i="2"/>
  <c r="O5751" i="2"/>
  <c r="L5752" i="2"/>
  <c r="M5752" i="2"/>
  <c r="N5752" i="2"/>
  <c r="O5752" i="2"/>
  <c r="L5753" i="2"/>
  <c r="M5753" i="2"/>
  <c r="N5753" i="2"/>
  <c r="O5753" i="2"/>
  <c r="L5754" i="2"/>
  <c r="M5754" i="2"/>
  <c r="N5754" i="2"/>
  <c r="O5754" i="2"/>
  <c r="L5755" i="2"/>
  <c r="M5755" i="2"/>
  <c r="N5755" i="2"/>
  <c r="O5755" i="2"/>
  <c r="L5756" i="2"/>
  <c r="M5756" i="2"/>
  <c r="N5756" i="2"/>
  <c r="O5756" i="2"/>
  <c r="L5757" i="2"/>
  <c r="M5757" i="2"/>
  <c r="N5757" i="2"/>
  <c r="O5757" i="2"/>
  <c r="L5758" i="2"/>
  <c r="M5758" i="2"/>
  <c r="N5758" i="2"/>
  <c r="O5758" i="2"/>
  <c r="L5759" i="2"/>
  <c r="M5759" i="2"/>
  <c r="N5759" i="2"/>
  <c r="O5759" i="2"/>
  <c r="L5760" i="2"/>
  <c r="M5760" i="2"/>
  <c r="N5760" i="2"/>
  <c r="O5760" i="2"/>
  <c r="L5761" i="2"/>
  <c r="M5761" i="2"/>
  <c r="N5761" i="2"/>
  <c r="O5761" i="2"/>
  <c r="L5762" i="2"/>
  <c r="M5762" i="2"/>
  <c r="N5762" i="2"/>
  <c r="O5762" i="2"/>
  <c r="L5763" i="2"/>
  <c r="M5763" i="2"/>
  <c r="N5763" i="2"/>
  <c r="O5763" i="2"/>
  <c r="L5764" i="2"/>
  <c r="M5764" i="2"/>
  <c r="N5764" i="2"/>
  <c r="O5764" i="2"/>
  <c r="L5765" i="2"/>
  <c r="M5765" i="2"/>
  <c r="N5765" i="2"/>
  <c r="O5765" i="2"/>
  <c r="L5766" i="2"/>
  <c r="M5766" i="2"/>
  <c r="N5766" i="2"/>
  <c r="O5766" i="2"/>
  <c r="L5767" i="2"/>
  <c r="M5767" i="2"/>
  <c r="N5767" i="2"/>
  <c r="O5767" i="2"/>
  <c r="L5768" i="2"/>
  <c r="M5768" i="2"/>
  <c r="N5768" i="2"/>
  <c r="O5768" i="2"/>
  <c r="L5769" i="2"/>
  <c r="M5769" i="2"/>
  <c r="N5769" i="2"/>
  <c r="O5769" i="2"/>
  <c r="L5770" i="2"/>
  <c r="M5770" i="2"/>
  <c r="N5770" i="2"/>
  <c r="O5770" i="2"/>
  <c r="L5771" i="2"/>
  <c r="M5771" i="2"/>
  <c r="N5771" i="2"/>
  <c r="O5771" i="2"/>
  <c r="L5772" i="2"/>
  <c r="M5772" i="2"/>
  <c r="N5772" i="2"/>
  <c r="O5772" i="2"/>
  <c r="L5773" i="2"/>
  <c r="M5773" i="2"/>
  <c r="N5773" i="2"/>
  <c r="O5773" i="2"/>
  <c r="L5774" i="2"/>
  <c r="M5774" i="2"/>
  <c r="N5774" i="2"/>
  <c r="O5774" i="2"/>
  <c r="L5775" i="2"/>
  <c r="M5775" i="2"/>
  <c r="N5775" i="2"/>
  <c r="O5775" i="2"/>
  <c r="L5776" i="2"/>
  <c r="M5776" i="2"/>
  <c r="N5776" i="2"/>
  <c r="O5776" i="2"/>
  <c r="L5777" i="2"/>
  <c r="M5777" i="2"/>
  <c r="N5777" i="2"/>
  <c r="O5777" i="2"/>
  <c r="L5778" i="2"/>
  <c r="M5778" i="2"/>
  <c r="N5778" i="2"/>
  <c r="O5778" i="2"/>
  <c r="L5779" i="2"/>
  <c r="M5779" i="2"/>
  <c r="N5779" i="2"/>
  <c r="O5779" i="2"/>
  <c r="L5780" i="2"/>
  <c r="M5780" i="2"/>
  <c r="N5780" i="2"/>
  <c r="O5780" i="2"/>
  <c r="L5781" i="2"/>
  <c r="M5781" i="2"/>
  <c r="N5781" i="2"/>
  <c r="O5781" i="2"/>
  <c r="L5782" i="2"/>
  <c r="M5782" i="2"/>
  <c r="N5782" i="2"/>
  <c r="O5782" i="2"/>
  <c r="L5783" i="2"/>
  <c r="M5783" i="2"/>
  <c r="N5783" i="2"/>
  <c r="O5783" i="2"/>
  <c r="L5784" i="2"/>
  <c r="M5784" i="2"/>
  <c r="N5784" i="2"/>
  <c r="O5784" i="2"/>
  <c r="L5785" i="2"/>
  <c r="M5785" i="2"/>
  <c r="N5785" i="2"/>
  <c r="O5785" i="2"/>
  <c r="L5786" i="2"/>
  <c r="M5786" i="2"/>
  <c r="N5786" i="2"/>
  <c r="O5786" i="2"/>
  <c r="L5787" i="2"/>
  <c r="M5787" i="2"/>
  <c r="N5787" i="2"/>
  <c r="O5787" i="2"/>
  <c r="L5788" i="2"/>
  <c r="M5788" i="2"/>
  <c r="N5788" i="2"/>
  <c r="O5788" i="2"/>
  <c r="L5789" i="2"/>
  <c r="M5789" i="2"/>
  <c r="N5789" i="2"/>
  <c r="O5789" i="2"/>
  <c r="L5790" i="2"/>
  <c r="M5790" i="2"/>
  <c r="N5790" i="2"/>
  <c r="O5790" i="2"/>
  <c r="L3" i="2" l="1"/>
  <c r="X2" i="3" l="1"/>
  <c r="L4" i="2" l="1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L18" i="2"/>
  <c r="M18" i="2"/>
  <c r="N18" i="2"/>
  <c r="L19" i="2"/>
  <c r="M19" i="2"/>
  <c r="N19" i="2"/>
  <c r="L20" i="2"/>
  <c r="M20" i="2"/>
  <c r="N20" i="2"/>
  <c r="L21" i="2"/>
  <c r="M21" i="2"/>
  <c r="N21" i="2"/>
  <c r="L22" i="2"/>
  <c r="M22" i="2"/>
  <c r="N22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L37" i="2"/>
  <c r="M37" i="2"/>
  <c r="N37" i="2"/>
  <c r="L38" i="2"/>
  <c r="M38" i="2"/>
  <c r="N38" i="2"/>
  <c r="L39" i="2"/>
  <c r="M39" i="2"/>
  <c r="N39" i="2"/>
  <c r="L40" i="2"/>
  <c r="M40" i="2"/>
  <c r="N40" i="2"/>
  <c r="L41" i="2"/>
  <c r="M41" i="2"/>
  <c r="N41" i="2"/>
  <c r="L42" i="2"/>
  <c r="M42" i="2"/>
  <c r="N42" i="2"/>
  <c r="L43" i="2"/>
  <c r="M43" i="2"/>
  <c r="N43" i="2"/>
  <c r="L44" i="2"/>
  <c r="M44" i="2"/>
  <c r="N44" i="2"/>
  <c r="L45" i="2"/>
  <c r="M45" i="2"/>
  <c r="N45" i="2"/>
  <c r="L46" i="2"/>
  <c r="M46" i="2"/>
  <c r="N46" i="2"/>
  <c r="L47" i="2"/>
  <c r="M47" i="2"/>
  <c r="N47" i="2"/>
  <c r="L48" i="2"/>
  <c r="M48" i="2"/>
  <c r="N48" i="2"/>
  <c r="L49" i="2"/>
  <c r="M49" i="2"/>
  <c r="N49" i="2"/>
  <c r="L50" i="2"/>
  <c r="M50" i="2"/>
  <c r="N50" i="2"/>
  <c r="L51" i="2"/>
  <c r="M51" i="2"/>
  <c r="N51" i="2"/>
  <c r="L52" i="2"/>
  <c r="M52" i="2"/>
  <c r="N52" i="2"/>
  <c r="L53" i="2"/>
  <c r="M53" i="2"/>
  <c r="N53" i="2"/>
  <c r="L54" i="2"/>
  <c r="M54" i="2"/>
  <c r="N54" i="2"/>
  <c r="L55" i="2"/>
  <c r="M55" i="2"/>
  <c r="N55" i="2"/>
  <c r="L56" i="2"/>
  <c r="M56" i="2"/>
  <c r="N56" i="2"/>
  <c r="L57" i="2"/>
  <c r="M57" i="2"/>
  <c r="N57" i="2"/>
  <c r="L58" i="2"/>
  <c r="M58" i="2"/>
  <c r="N58" i="2"/>
  <c r="L59" i="2"/>
  <c r="M59" i="2"/>
  <c r="N59" i="2"/>
  <c r="L60" i="2"/>
  <c r="M60" i="2"/>
  <c r="N60" i="2"/>
  <c r="L61" i="2"/>
  <c r="M61" i="2"/>
  <c r="N61" i="2"/>
  <c r="L62" i="2"/>
  <c r="M62" i="2"/>
  <c r="N62" i="2"/>
  <c r="L63" i="2"/>
  <c r="M63" i="2"/>
  <c r="N63" i="2"/>
  <c r="L64" i="2"/>
  <c r="M64" i="2"/>
  <c r="N64" i="2"/>
  <c r="L65" i="2"/>
  <c r="M65" i="2"/>
  <c r="N65" i="2"/>
  <c r="L66" i="2"/>
  <c r="M66" i="2"/>
  <c r="N66" i="2"/>
  <c r="L67" i="2"/>
  <c r="M67" i="2"/>
  <c r="N67" i="2"/>
  <c r="L68" i="2"/>
  <c r="M68" i="2"/>
  <c r="N68" i="2"/>
  <c r="L69" i="2"/>
  <c r="M69" i="2"/>
  <c r="N69" i="2"/>
  <c r="L70" i="2"/>
  <c r="M70" i="2"/>
  <c r="N70" i="2"/>
  <c r="L71" i="2"/>
  <c r="M71" i="2"/>
  <c r="N71" i="2"/>
  <c r="L72" i="2"/>
  <c r="M72" i="2"/>
  <c r="N72" i="2"/>
  <c r="L73" i="2"/>
  <c r="M73" i="2"/>
  <c r="N73" i="2"/>
  <c r="L74" i="2"/>
  <c r="M74" i="2"/>
  <c r="N74" i="2"/>
  <c r="L75" i="2"/>
  <c r="M75" i="2"/>
  <c r="N75" i="2"/>
  <c r="L76" i="2"/>
  <c r="M76" i="2"/>
  <c r="N76" i="2"/>
  <c r="L77" i="2"/>
  <c r="M77" i="2"/>
  <c r="N77" i="2"/>
  <c r="L78" i="2"/>
  <c r="M78" i="2"/>
  <c r="N78" i="2"/>
  <c r="L79" i="2"/>
  <c r="M79" i="2"/>
  <c r="N79" i="2"/>
  <c r="L80" i="2"/>
  <c r="M80" i="2"/>
  <c r="N80" i="2"/>
  <c r="L81" i="2"/>
  <c r="M81" i="2"/>
  <c r="N81" i="2"/>
  <c r="L82" i="2"/>
  <c r="M82" i="2"/>
  <c r="N82" i="2"/>
  <c r="L83" i="2"/>
  <c r="M83" i="2"/>
  <c r="N83" i="2"/>
  <c r="L84" i="2"/>
  <c r="M84" i="2"/>
  <c r="N84" i="2"/>
  <c r="L85" i="2"/>
  <c r="M85" i="2"/>
  <c r="N85" i="2"/>
  <c r="L86" i="2"/>
  <c r="M86" i="2"/>
  <c r="N86" i="2"/>
  <c r="L87" i="2"/>
  <c r="M87" i="2"/>
  <c r="N87" i="2"/>
  <c r="L88" i="2"/>
  <c r="M88" i="2"/>
  <c r="N88" i="2"/>
  <c r="L89" i="2"/>
  <c r="M89" i="2"/>
  <c r="N89" i="2"/>
  <c r="L90" i="2"/>
  <c r="M90" i="2"/>
  <c r="N90" i="2"/>
  <c r="L91" i="2"/>
  <c r="M91" i="2"/>
  <c r="N91" i="2"/>
  <c r="L92" i="2"/>
  <c r="M92" i="2"/>
  <c r="N92" i="2"/>
  <c r="L93" i="2"/>
  <c r="M93" i="2"/>
  <c r="N93" i="2"/>
  <c r="L94" i="2"/>
  <c r="M94" i="2"/>
  <c r="N94" i="2"/>
  <c r="L95" i="2"/>
  <c r="M95" i="2"/>
  <c r="N95" i="2"/>
  <c r="L96" i="2"/>
  <c r="M96" i="2"/>
  <c r="N96" i="2"/>
  <c r="L97" i="2"/>
  <c r="M97" i="2"/>
  <c r="N97" i="2"/>
  <c r="L98" i="2"/>
  <c r="M98" i="2"/>
  <c r="N98" i="2"/>
  <c r="L99" i="2"/>
  <c r="M99" i="2"/>
  <c r="N99" i="2"/>
  <c r="L100" i="2"/>
  <c r="M100" i="2"/>
  <c r="N100" i="2"/>
  <c r="L101" i="2"/>
  <c r="M101" i="2"/>
  <c r="N101" i="2"/>
  <c r="L102" i="2"/>
  <c r="M102" i="2"/>
  <c r="N102" i="2"/>
  <c r="L103" i="2"/>
  <c r="M103" i="2"/>
  <c r="N103" i="2"/>
  <c r="L104" i="2"/>
  <c r="M104" i="2"/>
  <c r="N104" i="2"/>
  <c r="L105" i="2"/>
  <c r="M105" i="2"/>
  <c r="N105" i="2"/>
  <c r="L106" i="2"/>
  <c r="M106" i="2"/>
  <c r="N106" i="2"/>
  <c r="L107" i="2"/>
  <c r="M107" i="2"/>
  <c r="N107" i="2"/>
  <c r="L108" i="2"/>
  <c r="M108" i="2"/>
  <c r="N108" i="2"/>
  <c r="L109" i="2"/>
  <c r="M109" i="2"/>
  <c r="N109" i="2"/>
  <c r="L110" i="2"/>
  <c r="M110" i="2"/>
  <c r="N110" i="2"/>
  <c r="L111" i="2"/>
  <c r="M111" i="2"/>
  <c r="N111" i="2"/>
  <c r="L112" i="2"/>
  <c r="M112" i="2"/>
  <c r="N112" i="2"/>
  <c r="L113" i="2"/>
  <c r="M113" i="2"/>
  <c r="N113" i="2"/>
  <c r="L114" i="2"/>
  <c r="M114" i="2"/>
  <c r="N114" i="2"/>
  <c r="L115" i="2"/>
  <c r="M115" i="2"/>
  <c r="N115" i="2"/>
  <c r="L116" i="2"/>
  <c r="M116" i="2"/>
  <c r="N116" i="2"/>
  <c r="L117" i="2"/>
  <c r="M117" i="2"/>
  <c r="N117" i="2"/>
  <c r="L118" i="2"/>
  <c r="M118" i="2"/>
  <c r="N118" i="2"/>
  <c r="L119" i="2"/>
  <c r="M119" i="2"/>
  <c r="N119" i="2"/>
  <c r="L120" i="2"/>
  <c r="M120" i="2"/>
  <c r="N120" i="2"/>
  <c r="L121" i="2"/>
  <c r="M121" i="2"/>
  <c r="N121" i="2"/>
  <c r="L122" i="2"/>
  <c r="M122" i="2"/>
  <c r="N122" i="2"/>
  <c r="L123" i="2"/>
  <c r="M123" i="2"/>
  <c r="N123" i="2"/>
  <c r="L124" i="2"/>
  <c r="M124" i="2"/>
  <c r="N124" i="2"/>
  <c r="L125" i="2"/>
  <c r="M125" i="2"/>
  <c r="N125" i="2"/>
  <c r="L126" i="2"/>
  <c r="M126" i="2"/>
  <c r="N126" i="2"/>
  <c r="L127" i="2"/>
  <c r="M127" i="2"/>
  <c r="N127" i="2"/>
  <c r="L128" i="2"/>
  <c r="M128" i="2"/>
  <c r="N128" i="2"/>
  <c r="L129" i="2"/>
  <c r="M129" i="2"/>
  <c r="N129" i="2"/>
  <c r="L130" i="2"/>
  <c r="M130" i="2"/>
  <c r="N130" i="2"/>
  <c r="L131" i="2"/>
  <c r="M131" i="2"/>
  <c r="N131" i="2"/>
  <c r="L132" i="2"/>
  <c r="M132" i="2"/>
  <c r="N132" i="2"/>
  <c r="L133" i="2"/>
  <c r="M133" i="2"/>
  <c r="N133" i="2"/>
  <c r="L134" i="2"/>
  <c r="M134" i="2"/>
  <c r="N134" i="2"/>
  <c r="L135" i="2"/>
  <c r="M135" i="2"/>
  <c r="N135" i="2"/>
  <c r="L136" i="2"/>
  <c r="M136" i="2"/>
  <c r="N136" i="2"/>
  <c r="L137" i="2"/>
  <c r="M137" i="2"/>
  <c r="N137" i="2"/>
  <c r="L138" i="2"/>
  <c r="M138" i="2"/>
  <c r="N138" i="2"/>
  <c r="L139" i="2"/>
  <c r="M139" i="2"/>
  <c r="N139" i="2"/>
  <c r="L140" i="2"/>
  <c r="M140" i="2"/>
  <c r="N140" i="2"/>
  <c r="L141" i="2"/>
  <c r="M141" i="2"/>
  <c r="N141" i="2"/>
  <c r="L142" i="2"/>
  <c r="M142" i="2"/>
  <c r="N142" i="2"/>
  <c r="L143" i="2"/>
  <c r="M143" i="2"/>
  <c r="N143" i="2"/>
  <c r="L144" i="2"/>
  <c r="M144" i="2"/>
  <c r="N144" i="2"/>
  <c r="L145" i="2"/>
  <c r="M145" i="2"/>
  <c r="N145" i="2"/>
  <c r="L146" i="2"/>
  <c r="M146" i="2"/>
  <c r="N146" i="2"/>
  <c r="L147" i="2"/>
  <c r="M147" i="2"/>
  <c r="N147" i="2"/>
  <c r="L148" i="2"/>
  <c r="M148" i="2"/>
  <c r="N148" i="2"/>
  <c r="L149" i="2"/>
  <c r="M149" i="2"/>
  <c r="N149" i="2"/>
  <c r="L150" i="2"/>
  <c r="M150" i="2"/>
  <c r="N150" i="2"/>
  <c r="L151" i="2"/>
  <c r="M151" i="2"/>
  <c r="N151" i="2"/>
  <c r="L152" i="2"/>
  <c r="M152" i="2"/>
  <c r="N152" i="2"/>
  <c r="L153" i="2"/>
  <c r="M153" i="2"/>
  <c r="N153" i="2"/>
  <c r="L154" i="2"/>
  <c r="M154" i="2"/>
  <c r="N154" i="2"/>
  <c r="L155" i="2"/>
  <c r="M155" i="2"/>
  <c r="N155" i="2"/>
  <c r="L156" i="2"/>
  <c r="M156" i="2"/>
  <c r="N156" i="2"/>
  <c r="L157" i="2"/>
  <c r="M157" i="2"/>
  <c r="N157" i="2"/>
  <c r="L158" i="2"/>
  <c r="M158" i="2"/>
  <c r="N158" i="2"/>
  <c r="L159" i="2"/>
  <c r="M159" i="2"/>
  <c r="N159" i="2"/>
  <c r="L160" i="2"/>
  <c r="M160" i="2"/>
  <c r="N160" i="2"/>
  <c r="L161" i="2"/>
  <c r="M161" i="2"/>
  <c r="N161" i="2"/>
  <c r="L162" i="2"/>
  <c r="M162" i="2"/>
  <c r="N162" i="2"/>
  <c r="L163" i="2"/>
  <c r="M163" i="2"/>
  <c r="N163" i="2"/>
  <c r="L164" i="2"/>
  <c r="M164" i="2"/>
  <c r="N164" i="2"/>
  <c r="L165" i="2"/>
  <c r="M165" i="2"/>
  <c r="N165" i="2"/>
  <c r="L166" i="2"/>
  <c r="M166" i="2"/>
  <c r="N166" i="2"/>
  <c r="L167" i="2"/>
  <c r="M167" i="2"/>
  <c r="N167" i="2"/>
  <c r="L168" i="2"/>
  <c r="M168" i="2"/>
  <c r="N168" i="2"/>
  <c r="L169" i="2"/>
  <c r="M169" i="2"/>
  <c r="N169" i="2"/>
  <c r="L170" i="2"/>
  <c r="M170" i="2"/>
  <c r="N170" i="2"/>
  <c r="L171" i="2"/>
  <c r="M171" i="2"/>
  <c r="N171" i="2"/>
  <c r="L172" i="2"/>
  <c r="M172" i="2"/>
  <c r="N172" i="2"/>
  <c r="L173" i="2"/>
  <c r="M173" i="2"/>
  <c r="N173" i="2"/>
  <c r="L174" i="2"/>
  <c r="M174" i="2"/>
  <c r="N174" i="2"/>
  <c r="L175" i="2"/>
  <c r="M175" i="2"/>
  <c r="N175" i="2"/>
  <c r="L176" i="2"/>
  <c r="M176" i="2"/>
  <c r="N176" i="2"/>
  <c r="L177" i="2"/>
  <c r="M177" i="2"/>
  <c r="N177" i="2"/>
  <c r="L178" i="2"/>
  <c r="M178" i="2"/>
  <c r="N178" i="2"/>
  <c r="L179" i="2"/>
  <c r="M179" i="2"/>
  <c r="N179" i="2"/>
  <c r="L180" i="2"/>
  <c r="M180" i="2"/>
  <c r="N180" i="2"/>
  <c r="L181" i="2"/>
  <c r="M181" i="2"/>
  <c r="N181" i="2"/>
  <c r="L182" i="2"/>
  <c r="M182" i="2"/>
  <c r="N182" i="2"/>
  <c r="L183" i="2"/>
  <c r="M183" i="2"/>
  <c r="N183" i="2"/>
  <c r="L184" i="2"/>
  <c r="M184" i="2"/>
  <c r="N184" i="2"/>
  <c r="L185" i="2"/>
  <c r="M185" i="2"/>
  <c r="N185" i="2"/>
  <c r="L186" i="2"/>
  <c r="M186" i="2"/>
  <c r="N186" i="2"/>
  <c r="L187" i="2"/>
  <c r="M187" i="2"/>
  <c r="N187" i="2"/>
  <c r="L188" i="2"/>
  <c r="M188" i="2"/>
  <c r="N188" i="2"/>
  <c r="L189" i="2"/>
  <c r="M189" i="2"/>
  <c r="N189" i="2"/>
  <c r="L190" i="2"/>
  <c r="M190" i="2"/>
  <c r="N190" i="2"/>
  <c r="L191" i="2"/>
  <c r="M191" i="2"/>
  <c r="N191" i="2"/>
  <c r="L192" i="2"/>
  <c r="M192" i="2"/>
  <c r="N192" i="2"/>
  <c r="L193" i="2"/>
  <c r="M193" i="2"/>
  <c r="N193" i="2"/>
  <c r="L194" i="2"/>
  <c r="M194" i="2"/>
  <c r="N194" i="2"/>
  <c r="L195" i="2"/>
  <c r="M195" i="2"/>
  <c r="N195" i="2"/>
  <c r="L196" i="2"/>
  <c r="M196" i="2"/>
  <c r="N196" i="2"/>
  <c r="L197" i="2"/>
  <c r="M197" i="2"/>
  <c r="N197" i="2"/>
  <c r="L198" i="2"/>
  <c r="M198" i="2"/>
  <c r="N198" i="2"/>
  <c r="L199" i="2"/>
  <c r="M199" i="2"/>
  <c r="N199" i="2"/>
  <c r="L200" i="2"/>
  <c r="M200" i="2"/>
  <c r="N200" i="2"/>
  <c r="L201" i="2"/>
  <c r="M201" i="2"/>
  <c r="N201" i="2"/>
  <c r="L202" i="2"/>
  <c r="M202" i="2"/>
  <c r="N202" i="2"/>
  <c r="L203" i="2"/>
  <c r="M203" i="2"/>
  <c r="N203" i="2"/>
  <c r="L204" i="2"/>
  <c r="M204" i="2"/>
  <c r="N204" i="2"/>
  <c r="L205" i="2"/>
  <c r="M205" i="2"/>
  <c r="N205" i="2"/>
  <c r="L206" i="2"/>
  <c r="M206" i="2"/>
  <c r="N206" i="2"/>
  <c r="L207" i="2"/>
  <c r="M207" i="2"/>
  <c r="N207" i="2"/>
  <c r="L208" i="2"/>
  <c r="M208" i="2"/>
  <c r="N208" i="2"/>
  <c r="L209" i="2"/>
  <c r="M209" i="2"/>
  <c r="N209" i="2"/>
  <c r="L210" i="2"/>
  <c r="M210" i="2"/>
  <c r="N210" i="2"/>
  <c r="L211" i="2"/>
  <c r="M211" i="2"/>
  <c r="N211" i="2"/>
  <c r="L212" i="2"/>
  <c r="M212" i="2"/>
  <c r="N212" i="2"/>
  <c r="L213" i="2"/>
  <c r="M213" i="2"/>
  <c r="N213" i="2"/>
  <c r="L214" i="2"/>
  <c r="M214" i="2"/>
  <c r="N214" i="2"/>
  <c r="L215" i="2"/>
  <c r="M215" i="2"/>
  <c r="N215" i="2"/>
  <c r="L216" i="2"/>
  <c r="M216" i="2"/>
  <c r="N216" i="2"/>
  <c r="L217" i="2"/>
  <c r="M217" i="2"/>
  <c r="N217" i="2"/>
  <c r="L218" i="2"/>
  <c r="M218" i="2"/>
  <c r="N218" i="2"/>
  <c r="L219" i="2"/>
  <c r="M219" i="2"/>
  <c r="N219" i="2"/>
  <c r="L220" i="2"/>
  <c r="M220" i="2"/>
  <c r="N220" i="2"/>
  <c r="L221" i="2"/>
  <c r="M221" i="2"/>
  <c r="N221" i="2"/>
  <c r="L222" i="2"/>
  <c r="M222" i="2"/>
  <c r="N222" i="2"/>
  <c r="L223" i="2"/>
  <c r="M223" i="2"/>
  <c r="N223" i="2"/>
  <c r="L224" i="2"/>
  <c r="M224" i="2"/>
  <c r="N224" i="2"/>
  <c r="L225" i="2"/>
  <c r="M225" i="2"/>
  <c r="N225" i="2"/>
  <c r="L226" i="2"/>
  <c r="M226" i="2"/>
  <c r="N226" i="2"/>
  <c r="L227" i="2"/>
  <c r="M227" i="2"/>
  <c r="N227" i="2"/>
  <c r="L228" i="2"/>
  <c r="M228" i="2"/>
  <c r="N228" i="2"/>
  <c r="L229" i="2"/>
  <c r="M229" i="2"/>
  <c r="N229" i="2"/>
  <c r="L230" i="2"/>
  <c r="M230" i="2"/>
  <c r="N230" i="2"/>
  <c r="L231" i="2"/>
  <c r="M231" i="2"/>
  <c r="N231" i="2"/>
  <c r="L232" i="2"/>
  <c r="M232" i="2"/>
  <c r="N232" i="2"/>
  <c r="L233" i="2"/>
  <c r="M233" i="2"/>
  <c r="N233" i="2"/>
  <c r="L234" i="2"/>
  <c r="M234" i="2"/>
  <c r="N234" i="2"/>
  <c r="L235" i="2"/>
  <c r="M235" i="2"/>
  <c r="N235" i="2"/>
  <c r="L236" i="2"/>
  <c r="M236" i="2"/>
  <c r="N236" i="2"/>
  <c r="L237" i="2"/>
  <c r="M237" i="2"/>
  <c r="N237" i="2"/>
  <c r="L238" i="2"/>
  <c r="M238" i="2"/>
  <c r="N238" i="2"/>
  <c r="L239" i="2"/>
  <c r="M239" i="2"/>
  <c r="N239" i="2"/>
  <c r="L240" i="2"/>
  <c r="M240" i="2"/>
  <c r="O240" i="2" s="1"/>
  <c r="N240" i="2"/>
  <c r="L241" i="2"/>
  <c r="M241" i="2"/>
  <c r="N241" i="2"/>
  <c r="L242" i="2"/>
  <c r="M242" i="2"/>
  <c r="O242" i="2" s="1"/>
  <c r="N242" i="2"/>
  <c r="L243" i="2"/>
  <c r="M243" i="2"/>
  <c r="N243" i="2"/>
  <c r="L244" i="2"/>
  <c r="M244" i="2"/>
  <c r="N244" i="2"/>
  <c r="L245" i="2"/>
  <c r="M245" i="2"/>
  <c r="O245" i="2" s="1"/>
  <c r="N245" i="2"/>
  <c r="L246" i="2"/>
  <c r="M246" i="2"/>
  <c r="N246" i="2"/>
  <c r="L247" i="2"/>
  <c r="M247" i="2"/>
  <c r="O247" i="2" s="1"/>
  <c r="N247" i="2"/>
  <c r="L248" i="2"/>
  <c r="M248" i="2"/>
  <c r="N248" i="2"/>
  <c r="L249" i="2"/>
  <c r="M249" i="2"/>
  <c r="O249" i="2" s="1"/>
  <c r="N249" i="2"/>
  <c r="L250" i="2"/>
  <c r="M250" i="2"/>
  <c r="N250" i="2"/>
  <c r="L251" i="2"/>
  <c r="M251" i="2"/>
  <c r="O251" i="2" s="1"/>
  <c r="N251" i="2"/>
  <c r="L252" i="2"/>
  <c r="M252" i="2"/>
  <c r="N252" i="2"/>
  <c r="L253" i="2"/>
  <c r="M253" i="2"/>
  <c r="N253" i="2"/>
  <c r="L254" i="2"/>
  <c r="M254" i="2"/>
  <c r="O254" i="2" s="1"/>
  <c r="N254" i="2"/>
  <c r="L255" i="2"/>
  <c r="M255" i="2"/>
  <c r="N255" i="2"/>
  <c r="L256" i="2"/>
  <c r="M256" i="2"/>
  <c r="O256" i="2" s="1"/>
  <c r="N256" i="2"/>
  <c r="L257" i="2"/>
  <c r="M257" i="2"/>
  <c r="N257" i="2"/>
  <c r="L258" i="2"/>
  <c r="M258" i="2"/>
  <c r="O258" i="2" s="1"/>
  <c r="N258" i="2"/>
  <c r="L259" i="2"/>
  <c r="M259" i="2"/>
  <c r="N259" i="2"/>
  <c r="L260" i="2"/>
  <c r="M260" i="2"/>
  <c r="O260" i="2" s="1"/>
  <c r="N260" i="2"/>
  <c r="L261" i="2"/>
  <c r="M261" i="2"/>
  <c r="N261" i="2"/>
  <c r="L262" i="2"/>
  <c r="M262" i="2"/>
  <c r="N262" i="2"/>
  <c r="L263" i="2"/>
  <c r="M263" i="2"/>
  <c r="O263" i="2" s="1"/>
  <c r="N263" i="2"/>
  <c r="L264" i="2"/>
  <c r="M264" i="2"/>
  <c r="N264" i="2"/>
  <c r="L265" i="2"/>
  <c r="M265" i="2"/>
  <c r="O265" i="2" s="1"/>
  <c r="N265" i="2"/>
  <c r="L266" i="2"/>
  <c r="M266" i="2"/>
  <c r="N266" i="2"/>
  <c r="L267" i="2"/>
  <c r="M267" i="2"/>
  <c r="N267" i="2"/>
  <c r="L268" i="2"/>
  <c r="M268" i="2"/>
  <c r="O268" i="2" s="1"/>
  <c r="N268" i="2"/>
  <c r="L269" i="2"/>
  <c r="M269" i="2"/>
  <c r="N269" i="2"/>
  <c r="L270" i="2"/>
  <c r="M270" i="2"/>
  <c r="O270" i="2" s="1"/>
  <c r="N270" i="2"/>
  <c r="L271" i="2"/>
  <c r="M271" i="2"/>
  <c r="N271" i="2"/>
  <c r="L272" i="2"/>
  <c r="M272" i="2"/>
  <c r="O272" i="2" s="1"/>
  <c r="N272" i="2"/>
  <c r="L273" i="2"/>
  <c r="M273" i="2"/>
  <c r="N273" i="2"/>
  <c r="L274" i="2"/>
  <c r="M274" i="2"/>
  <c r="O274" i="2" s="1"/>
  <c r="N274" i="2"/>
  <c r="L275" i="2"/>
  <c r="M275" i="2"/>
  <c r="N275" i="2"/>
  <c r="L276" i="2"/>
  <c r="M276" i="2"/>
  <c r="N276" i="2"/>
  <c r="L277" i="2"/>
  <c r="M277" i="2"/>
  <c r="N277" i="2"/>
  <c r="L278" i="2"/>
  <c r="M278" i="2"/>
  <c r="O278" i="2" s="1"/>
  <c r="N278" i="2"/>
  <c r="L279" i="2"/>
  <c r="M279" i="2"/>
  <c r="N279" i="2"/>
  <c r="L280" i="2"/>
  <c r="M280" i="2"/>
  <c r="O280" i="2" s="1"/>
  <c r="N280" i="2"/>
  <c r="L281" i="2"/>
  <c r="M281" i="2"/>
  <c r="N281" i="2"/>
  <c r="L282" i="2"/>
  <c r="M282" i="2"/>
  <c r="N282" i="2"/>
  <c r="L283" i="2"/>
  <c r="M283" i="2"/>
  <c r="N283" i="2"/>
  <c r="L284" i="2"/>
  <c r="M284" i="2"/>
  <c r="O284" i="2" s="1"/>
  <c r="N284" i="2"/>
  <c r="L285" i="2"/>
  <c r="M285" i="2"/>
  <c r="N285" i="2"/>
  <c r="L286" i="2"/>
  <c r="M286" i="2"/>
  <c r="N286" i="2"/>
  <c r="L287" i="2"/>
  <c r="M287" i="2"/>
  <c r="O287" i="2" s="1"/>
  <c r="N287" i="2"/>
  <c r="L288" i="2"/>
  <c r="M288" i="2"/>
  <c r="N288" i="2"/>
  <c r="L289" i="2"/>
  <c r="M289" i="2"/>
  <c r="N289" i="2"/>
  <c r="L290" i="2"/>
  <c r="M290" i="2"/>
  <c r="O290" i="2" s="1"/>
  <c r="N290" i="2"/>
  <c r="L291" i="2"/>
  <c r="M291" i="2"/>
  <c r="N291" i="2"/>
  <c r="L292" i="2"/>
  <c r="M292" i="2"/>
  <c r="O292" i="2" s="1"/>
  <c r="N292" i="2"/>
  <c r="L293" i="2"/>
  <c r="M293" i="2"/>
  <c r="N293" i="2"/>
  <c r="L294" i="2"/>
  <c r="M294" i="2"/>
  <c r="O294" i="2" s="1"/>
  <c r="N294" i="2"/>
  <c r="L295" i="2"/>
  <c r="M295" i="2"/>
  <c r="N295" i="2"/>
  <c r="L296" i="2"/>
  <c r="M296" i="2"/>
  <c r="O296" i="2" s="1"/>
  <c r="N296" i="2"/>
  <c r="L297" i="2"/>
  <c r="M297" i="2"/>
  <c r="N297" i="2"/>
  <c r="L298" i="2"/>
  <c r="M298" i="2"/>
  <c r="O298" i="2" s="1"/>
  <c r="N298" i="2"/>
  <c r="L299" i="2"/>
  <c r="M299" i="2"/>
  <c r="N299" i="2"/>
  <c r="L300" i="2"/>
  <c r="M300" i="2"/>
  <c r="N300" i="2"/>
  <c r="O300" i="2"/>
  <c r="L301" i="2"/>
  <c r="M301" i="2"/>
  <c r="N301" i="2"/>
  <c r="O301" i="2"/>
  <c r="L302" i="2"/>
  <c r="M302" i="2"/>
  <c r="N302" i="2"/>
  <c r="O302" i="2"/>
  <c r="L303" i="2"/>
  <c r="M303" i="2"/>
  <c r="N303" i="2"/>
  <c r="O303" i="2"/>
  <c r="L304" i="2"/>
  <c r="M304" i="2"/>
  <c r="N304" i="2"/>
  <c r="O304" i="2"/>
  <c r="L305" i="2"/>
  <c r="M305" i="2"/>
  <c r="N305" i="2"/>
  <c r="O305" i="2"/>
  <c r="L306" i="2"/>
  <c r="M306" i="2"/>
  <c r="N306" i="2"/>
  <c r="O306" i="2"/>
  <c r="L307" i="2"/>
  <c r="M307" i="2"/>
  <c r="N307" i="2"/>
  <c r="O307" i="2"/>
  <c r="L308" i="2"/>
  <c r="M308" i="2"/>
  <c r="N308" i="2"/>
  <c r="O308" i="2"/>
  <c r="L309" i="2"/>
  <c r="M309" i="2"/>
  <c r="N309" i="2"/>
  <c r="O309" i="2"/>
  <c r="L310" i="2"/>
  <c r="M310" i="2"/>
  <c r="N310" i="2"/>
  <c r="O310" i="2"/>
  <c r="L311" i="2"/>
  <c r="M311" i="2"/>
  <c r="N311" i="2"/>
  <c r="O311" i="2"/>
  <c r="L312" i="2"/>
  <c r="M312" i="2"/>
  <c r="N312" i="2"/>
  <c r="O312" i="2"/>
  <c r="L313" i="2"/>
  <c r="M313" i="2"/>
  <c r="N313" i="2"/>
  <c r="O313" i="2"/>
  <c r="L314" i="2"/>
  <c r="M314" i="2"/>
  <c r="N314" i="2"/>
  <c r="O314" i="2"/>
  <c r="L315" i="2"/>
  <c r="M315" i="2"/>
  <c r="N315" i="2"/>
  <c r="O315" i="2"/>
  <c r="L316" i="2"/>
  <c r="M316" i="2"/>
  <c r="N316" i="2"/>
  <c r="O316" i="2"/>
  <c r="L317" i="2"/>
  <c r="M317" i="2"/>
  <c r="N317" i="2"/>
  <c r="O317" i="2"/>
  <c r="L318" i="2"/>
  <c r="M318" i="2"/>
  <c r="N318" i="2"/>
  <c r="O318" i="2"/>
  <c r="L319" i="2"/>
  <c r="M319" i="2"/>
  <c r="N319" i="2"/>
  <c r="O319" i="2"/>
  <c r="L320" i="2"/>
  <c r="M320" i="2"/>
  <c r="N320" i="2"/>
  <c r="O320" i="2"/>
  <c r="L321" i="2"/>
  <c r="M321" i="2"/>
  <c r="N321" i="2"/>
  <c r="O321" i="2"/>
  <c r="L322" i="2"/>
  <c r="M322" i="2"/>
  <c r="N322" i="2"/>
  <c r="O322" i="2"/>
  <c r="L323" i="2"/>
  <c r="M323" i="2"/>
  <c r="N323" i="2"/>
  <c r="O323" i="2"/>
  <c r="L324" i="2"/>
  <c r="M324" i="2"/>
  <c r="N324" i="2"/>
  <c r="O324" i="2"/>
  <c r="L325" i="2"/>
  <c r="M325" i="2"/>
  <c r="N325" i="2"/>
  <c r="O325" i="2"/>
  <c r="L326" i="2"/>
  <c r="M326" i="2"/>
  <c r="N326" i="2"/>
  <c r="O326" i="2"/>
  <c r="L327" i="2"/>
  <c r="M327" i="2"/>
  <c r="N327" i="2"/>
  <c r="O327" i="2"/>
  <c r="L328" i="2"/>
  <c r="M328" i="2"/>
  <c r="N328" i="2"/>
  <c r="O328" i="2"/>
  <c r="L329" i="2"/>
  <c r="M329" i="2"/>
  <c r="N329" i="2"/>
  <c r="O329" i="2"/>
  <c r="L330" i="2"/>
  <c r="M330" i="2"/>
  <c r="N330" i="2"/>
  <c r="O330" i="2"/>
  <c r="L331" i="2"/>
  <c r="M331" i="2"/>
  <c r="N331" i="2"/>
  <c r="O331" i="2"/>
  <c r="L332" i="2"/>
  <c r="M332" i="2"/>
  <c r="N332" i="2"/>
  <c r="O332" i="2"/>
  <c r="L333" i="2"/>
  <c r="M333" i="2"/>
  <c r="N333" i="2"/>
  <c r="O333" i="2"/>
  <c r="L334" i="2"/>
  <c r="M334" i="2"/>
  <c r="N334" i="2"/>
  <c r="O334" i="2"/>
  <c r="L335" i="2"/>
  <c r="M335" i="2"/>
  <c r="N335" i="2"/>
  <c r="O335" i="2"/>
  <c r="L336" i="2"/>
  <c r="M336" i="2"/>
  <c r="N336" i="2"/>
  <c r="O336" i="2"/>
  <c r="L337" i="2"/>
  <c r="M337" i="2"/>
  <c r="N337" i="2"/>
  <c r="O337" i="2"/>
  <c r="L338" i="2"/>
  <c r="M338" i="2"/>
  <c r="N338" i="2"/>
  <c r="O338" i="2"/>
  <c r="L339" i="2"/>
  <c r="M339" i="2"/>
  <c r="N339" i="2"/>
  <c r="O339" i="2"/>
  <c r="L340" i="2"/>
  <c r="M340" i="2"/>
  <c r="N340" i="2"/>
  <c r="O340" i="2"/>
  <c r="L341" i="2"/>
  <c r="M341" i="2"/>
  <c r="N341" i="2"/>
  <c r="O341" i="2"/>
  <c r="L342" i="2"/>
  <c r="M342" i="2"/>
  <c r="N342" i="2"/>
  <c r="O342" i="2"/>
  <c r="L343" i="2"/>
  <c r="M343" i="2"/>
  <c r="N343" i="2"/>
  <c r="O343" i="2"/>
  <c r="L344" i="2"/>
  <c r="M344" i="2"/>
  <c r="N344" i="2"/>
  <c r="O344" i="2"/>
  <c r="L345" i="2"/>
  <c r="M345" i="2"/>
  <c r="N345" i="2"/>
  <c r="O345" i="2"/>
  <c r="L346" i="2"/>
  <c r="M346" i="2"/>
  <c r="N346" i="2"/>
  <c r="O346" i="2"/>
  <c r="L347" i="2"/>
  <c r="M347" i="2"/>
  <c r="N347" i="2"/>
  <c r="O347" i="2"/>
  <c r="L348" i="2"/>
  <c r="M348" i="2"/>
  <c r="N348" i="2"/>
  <c r="O348" i="2"/>
  <c r="L349" i="2"/>
  <c r="M349" i="2"/>
  <c r="N349" i="2"/>
  <c r="O349" i="2"/>
  <c r="L350" i="2"/>
  <c r="M350" i="2"/>
  <c r="N350" i="2"/>
  <c r="O350" i="2"/>
  <c r="L351" i="2"/>
  <c r="M351" i="2"/>
  <c r="N351" i="2"/>
  <c r="O351" i="2"/>
  <c r="L352" i="2"/>
  <c r="M352" i="2"/>
  <c r="N352" i="2"/>
  <c r="O352" i="2"/>
  <c r="L353" i="2"/>
  <c r="M353" i="2"/>
  <c r="N353" i="2"/>
  <c r="O353" i="2"/>
  <c r="L354" i="2"/>
  <c r="M354" i="2"/>
  <c r="N354" i="2"/>
  <c r="O354" i="2"/>
  <c r="L355" i="2"/>
  <c r="M355" i="2"/>
  <c r="N355" i="2"/>
  <c r="O355" i="2"/>
  <c r="L356" i="2"/>
  <c r="M356" i="2"/>
  <c r="N356" i="2"/>
  <c r="O356" i="2"/>
  <c r="L357" i="2"/>
  <c r="M357" i="2"/>
  <c r="N357" i="2"/>
  <c r="O357" i="2"/>
  <c r="L358" i="2"/>
  <c r="M358" i="2"/>
  <c r="N358" i="2"/>
  <c r="O358" i="2"/>
  <c r="L359" i="2"/>
  <c r="M359" i="2"/>
  <c r="N359" i="2"/>
  <c r="O359" i="2"/>
  <c r="L360" i="2"/>
  <c r="M360" i="2"/>
  <c r="N360" i="2"/>
  <c r="O360" i="2"/>
  <c r="L361" i="2"/>
  <c r="M361" i="2"/>
  <c r="N361" i="2"/>
  <c r="O361" i="2"/>
  <c r="L362" i="2"/>
  <c r="M362" i="2"/>
  <c r="N362" i="2"/>
  <c r="O362" i="2"/>
  <c r="L363" i="2"/>
  <c r="M363" i="2"/>
  <c r="N363" i="2"/>
  <c r="O363" i="2"/>
  <c r="L364" i="2"/>
  <c r="M364" i="2"/>
  <c r="N364" i="2"/>
  <c r="O364" i="2"/>
  <c r="L365" i="2"/>
  <c r="M365" i="2"/>
  <c r="N365" i="2"/>
  <c r="O365" i="2"/>
  <c r="L366" i="2"/>
  <c r="M366" i="2"/>
  <c r="N366" i="2"/>
  <c r="O366" i="2"/>
  <c r="L367" i="2"/>
  <c r="M367" i="2"/>
  <c r="N367" i="2"/>
  <c r="O367" i="2"/>
  <c r="L368" i="2"/>
  <c r="M368" i="2"/>
  <c r="N368" i="2"/>
  <c r="O368" i="2"/>
  <c r="L369" i="2"/>
  <c r="M369" i="2"/>
  <c r="N369" i="2"/>
  <c r="O369" i="2"/>
  <c r="L370" i="2"/>
  <c r="M370" i="2"/>
  <c r="N370" i="2"/>
  <c r="O370" i="2"/>
  <c r="L371" i="2"/>
  <c r="M371" i="2"/>
  <c r="N371" i="2"/>
  <c r="O371" i="2"/>
  <c r="L372" i="2"/>
  <c r="M372" i="2"/>
  <c r="N372" i="2"/>
  <c r="O372" i="2"/>
  <c r="L373" i="2"/>
  <c r="M373" i="2"/>
  <c r="N373" i="2"/>
  <c r="O373" i="2"/>
  <c r="L374" i="2"/>
  <c r="M374" i="2"/>
  <c r="N374" i="2"/>
  <c r="O374" i="2"/>
  <c r="L375" i="2"/>
  <c r="M375" i="2"/>
  <c r="N375" i="2"/>
  <c r="O375" i="2"/>
  <c r="L376" i="2"/>
  <c r="M376" i="2"/>
  <c r="N376" i="2"/>
  <c r="O376" i="2"/>
  <c r="L377" i="2"/>
  <c r="M377" i="2"/>
  <c r="N377" i="2"/>
  <c r="O377" i="2"/>
  <c r="L378" i="2"/>
  <c r="M378" i="2"/>
  <c r="N378" i="2"/>
  <c r="O378" i="2"/>
  <c r="L379" i="2"/>
  <c r="M379" i="2"/>
  <c r="N379" i="2"/>
  <c r="O379" i="2"/>
  <c r="L380" i="2"/>
  <c r="M380" i="2"/>
  <c r="N380" i="2"/>
  <c r="O380" i="2"/>
  <c r="L381" i="2"/>
  <c r="M381" i="2"/>
  <c r="N381" i="2"/>
  <c r="O381" i="2"/>
  <c r="L382" i="2"/>
  <c r="M382" i="2"/>
  <c r="N382" i="2"/>
  <c r="O382" i="2"/>
  <c r="L383" i="2"/>
  <c r="M383" i="2"/>
  <c r="N383" i="2"/>
  <c r="O383" i="2"/>
  <c r="L384" i="2"/>
  <c r="M384" i="2"/>
  <c r="N384" i="2"/>
  <c r="O384" i="2"/>
  <c r="L385" i="2"/>
  <c r="M385" i="2"/>
  <c r="N385" i="2"/>
  <c r="O385" i="2"/>
  <c r="L386" i="2"/>
  <c r="M386" i="2"/>
  <c r="N386" i="2"/>
  <c r="O386" i="2"/>
  <c r="L387" i="2"/>
  <c r="M387" i="2"/>
  <c r="N387" i="2"/>
  <c r="O387" i="2"/>
  <c r="L388" i="2"/>
  <c r="M388" i="2"/>
  <c r="N388" i="2"/>
  <c r="O388" i="2"/>
  <c r="L389" i="2"/>
  <c r="M389" i="2"/>
  <c r="N389" i="2"/>
  <c r="O389" i="2"/>
  <c r="L390" i="2"/>
  <c r="M390" i="2"/>
  <c r="N390" i="2"/>
  <c r="O390" i="2"/>
  <c r="L391" i="2"/>
  <c r="M391" i="2"/>
  <c r="N391" i="2"/>
  <c r="O391" i="2"/>
  <c r="L392" i="2"/>
  <c r="M392" i="2"/>
  <c r="N392" i="2"/>
  <c r="O392" i="2"/>
  <c r="L393" i="2"/>
  <c r="M393" i="2"/>
  <c r="N393" i="2"/>
  <c r="O393" i="2"/>
  <c r="L394" i="2"/>
  <c r="M394" i="2"/>
  <c r="N394" i="2"/>
  <c r="O394" i="2"/>
  <c r="L395" i="2"/>
  <c r="M395" i="2"/>
  <c r="N395" i="2"/>
  <c r="O395" i="2"/>
  <c r="L396" i="2"/>
  <c r="M396" i="2"/>
  <c r="N396" i="2"/>
  <c r="O396" i="2"/>
  <c r="L397" i="2"/>
  <c r="M397" i="2"/>
  <c r="N397" i="2"/>
  <c r="O397" i="2"/>
  <c r="L398" i="2"/>
  <c r="M398" i="2"/>
  <c r="N398" i="2"/>
  <c r="O398" i="2"/>
  <c r="L399" i="2"/>
  <c r="M399" i="2"/>
  <c r="N399" i="2"/>
  <c r="O399" i="2"/>
  <c r="L400" i="2"/>
  <c r="M400" i="2"/>
  <c r="N400" i="2"/>
  <c r="O400" i="2"/>
  <c r="L401" i="2"/>
  <c r="M401" i="2"/>
  <c r="N401" i="2"/>
  <c r="O401" i="2"/>
  <c r="L402" i="2"/>
  <c r="M402" i="2"/>
  <c r="N402" i="2"/>
  <c r="O402" i="2"/>
  <c r="L403" i="2"/>
  <c r="M403" i="2"/>
  <c r="N403" i="2"/>
  <c r="O403" i="2"/>
  <c r="L404" i="2"/>
  <c r="M404" i="2"/>
  <c r="N404" i="2"/>
  <c r="O404" i="2"/>
  <c r="L405" i="2"/>
  <c r="M405" i="2"/>
  <c r="N405" i="2"/>
  <c r="O405" i="2"/>
  <c r="L406" i="2"/>
  <c r="M406" i="2"/>
  <c r="N406" i="2"/>
  <c r="O406" i="2"/>
  <c r="L407" i="2"/>
  <c r="M407" i="2"/>
  <c r="N407" i="2"/>
  <c r="O407" i="2"/>
  <c r="L408" i="2"/>
  <c r="M408" i="2"/>
  <c r="N408" i="2"/>
  <c r="O408" i="2"/>
  <c r="L409" i="2"/>
  <c r="M409" i="2"/>
  <c r="N409" i="2"/>
  <c r="O409" i="2"/>
  <c r="L410" i="2"/>
  <c r="M410" i="2"/>
  <c r="N410" i="2"/>
  <c r="O410" i="2"/>
  <c r="L411" i="2"/>
  <c r="M411" i="2"/>
  <c r="N411" i="2"/>
  <c r="O411" i="2"/>
  <c r="L412" i="2"/>
  <c r="M412" i="2"/>
  <c r="N412" i="2"/>
  <c r="O412" i="2"/>
  <c r="L413" i="2"/>
  <c r="M413" i="2"/>
  <c r="N413" i="2"/>
  <c r="O413" i="2"/>
  <c r="L414" i="2"/>
  <c r="M414" i="2"/>
  <c r="N414" i="2"/>
  <c r="O414" i="2"/>
  <c r="L415" i="2"/>
  <c r="M415" i="2"/>
  <c r="N415" i="2"/>
  <c r="O415" i="2"/>
  <c r="L416" i="2"/>
  <c r="M416" i="2"/>
  <c r="N416" i="2"/>
  <c r="O416" i="2"/>
  <c r="L417" i="2"/>
  <c r="M417" i="2"/>
  <c r="N417" i="2"/>
  <c r="O417" i="2"/>
  <c r="L418" i="2"/>
  <c r="M418" i="2"/>
  <c r="N418" i="2"/>
  <c r="O418" i="2"/>
  <c r="L419" i="2"/>
  <c r="M419" i="2"/>
  <c r="N419" i="2"/>
  <c r="O419" i="2"/>
  <c r="L420" i="2"/>
  <c r="M420" i="2"/>
  <c r="N420" i="2"/>
  <c r="O420" i="2"/>
  <c r="L421" i="2"/>
  <c r="M421" i="2"/>
  <c r="N421" i="2"/>
  <c r="O421" i="2"/>
  <c r="L422" i="2"/>
  <c r="M422" i="2"/>
  <c r="N422" i="2"/>
  <c r="O422" i="2"/>
  <c r="L423" i="2"/>
  <c r="M423" i="2"/>
  <c r="N423" i="2"/>
  <c r="O423" i="2"/>
  <c r="L424" i="2"/>
  <c r="M424" i="2"/>
  <c r="N424" i="2"/>
  <c r="O424" i="2"/>
  <c r="L425" i="2"/>
  <c r="M425" i="2"/>
  <c r="N425" i="2"/>
  <c r="O425" i="2"/>
  <c r="L426" i="2"/>
  <c r="M426" i="2"/>
  <c r="N426" i="2"/>
  <c r="O426" i="2"/>
  <c r="L427" i="2"/>
  <c r="M427" i="2"/>
  <c r="N427" i="2"/>
  <c r="O427" i="2"/>
  <c r="L428" i="2"/>
  <c r="M428" i="2"/>
  <c r="N428" i="2"/>
  <c r="O428" i="2"/>
  <c r="L429" i="2"/>
  <c r="M429" i="2"/>
  <c r="N429" i="2"/>
  <c r="O429" i="2"/>
  <c r="L430" i="2"/>
  <c r="M430" i="2"/>
  <c r="N430" i="2"/>
  <c r="O430" i="2"/>
  <c r="L431" i="2"/>
  <c r="M431" i="2"/>
  <c r="N431" i="2"/>
  <c r="O431" i="2"/>
  <c r="L432" i="2"/>
  <c r="M432" i="2"/>
  <c r="N432" i="2"/>
  <c r="O432" i="2"/>
  <c r="L433" i="2"/>
  <c r="M433" i="2"/>
  <c r="N433" i="2"/>
  <c r="O433" i="2"/>
  <c r="L434" i="2"/>
  <c r="M434" i="2"/>
  <c r="N434" i="2"/>
  <c r="O434" i="2"/>
  <c r="L435" i="2"/>
  <c r="M435" i="2"/>
  <c r="N435" i="2"/>
  <c r="O435" i="2"/>
  <c r="L436" i="2"/>
  <c r="M436" i="2"/>
  <c r="N436" i="2"/>
  <c r="O436" i="2"/>
  <c r="L437" i="2"/>
  <c r="M437" i="2"/>
  <c r="N437" i="2"/>
  <c r="O437" i="2"/>
  <c r="L438" i="2"/>
  <c r="M438" i="2"/>
  <c r="N438" i="2"/>
  <c r="O438" i="2"/>
  <c r="L439" i="2"/>
  <c r="M439" i="2"/>
  <c r="N439" i="2"/>
  <c r="O439" i="2"/>
  <c r="L440" i="2"/>
  <c r="M440" i="2"/>
  <c r="N440" i="2"/>
  <c r="O440" i="2"/>
  <c r="L441" i="2"/>
  <c r="M441" i="2"/>
  <c r="N441" i="2"/>
  <c r="O441" i="2"/>
  <c r="L442" i="2"/>
  <c r="M442" i="2"/>
  <c r="N442" i="2"/>
  <c r="O442" i="2"/>
  <c r="L443" i="2"/>
  <c r="M443" i="2"/>
  <c r="N443" i="2"/>
  <c r="O443" i="2"/>
  <c r="L444" i="2"/>
  <c r="M444" i="2"/>
  <c r="N444" i="2"/>
  <c r="O444" i="2"/>
  <c r="L445" i="2"/>
  <c r="M445" i="2"/>
  <c r="N445" i="2"/>
  <c r="O445" i="2"/>
  <c r="L446" i="2"/>
  <c r="M446" i="2"/>
  <c r="N446" i="2"/>
  <c r="O446" i="2"/>
  <c r="L447" i="2"/>
  <c r="M447" i="2"/>
  <c r="N447" i="2"/>
  <c r="O447" i="2"/>
  <c r="L448" i="2"/>
  <c r="M448" i="2"/>
  <c r="N448" i="2"/>
  <c r="O448" i="2"/>
  <c r="L449" i="2"/>
  <c r="M449" i="2"/>
  <c r="N449" i="2"/>
  <c r="O449" i="2"/>
  <c r="L450" i="2"/>
  <c r="M450" i="2"/>
  <c r="N450" i="2"/>
  <c r="O450" i="2"/>
  <c r="L451" i="2"/>
  <c r="M451" i="2"/>
  <c r="N451" i="2"/>
  <c r="O451" i="2"/>
  <c r="L452" i="2"/>
  <c r="M452" i="2"/>
  <c r="N452" i="2"/>
  <c r="O452" i="2"/>
  <c r="L453" i="2"/>
  <c r="M453" i="2"/>
  <c r="N453" i="2"/>
  <c r="O453" i="2"/>
  <c r="L454" i="2"/>
  <c r="M454" i="2"/>
  <c r="N454" i="2"/>
  <c r="O454" i="2"/>
  <c r="L455" i="2"/>
  <c r="M455" i="2"/>
  <c r="N455" i="2"/>
  <c r="O455" i="2"/>
  <c r="L456" i="2"/>
  <c r="M456" i="2"/>
  <c r="N456" i="2"/>
  <c r="O456" i="2"/>
  <c r="L457" i="2"/>
  <c r="M457" i="2"/>
  <c r="N457" i="2"/>
  <c r="O457" i="2"/>
  <c r="L458" i="2"/>
  <c r="M458" i="2"/>
  <c r="N458" i="2"/>
  <c r="O458" i="2"/>
  <c r="L459" i="2"/>
  <c r="M459" i="2"/>
  <c r="N459" i="2"/>
  <c r="O459" i="2"/>
  <c r="L460" i="2"/>
  <c r="M460" i="2"/>
  <c r="N460" i="2"/>
  <c r="O460" i="2"/>
  <c r="L461" i="2"/>
  <c r="M461" i="2"/>
  <c r="N461" i="2"/>
  <c r="O461" i="2"/>
  <c r="L462" i="2"/>
  <c r="M462" i="2"/>
  <c r="N462" i="2"/>
  <c r="O462" i="2"/>
  <c r="L463" i="2"/>
  <c r="M463" i="2"/>
  <c r="N463" i="2"/>
  <c r="O463" i="2"/>
  <c r="L464" i="2"/>
  <c r="M464" i="2"/>
  <c r="N464" i="2"/>
  <c r="O464" i="2"/>
  <c r="L465" i="2"/>
  <c r="M465" i="2"/>
  <c r="N465" i="2"/>
  <c r="O465" i="2"/>
  <c r="L466" i="2"/>
  <c r="M466" i="2"/>
  <c r="N466" i="2"/>
  <c r="O466" i="2"/>
  <c r="L467" i="2"/>
  <c r="M467" i="2"/>
  <c r="N467" i="2"/>
  <c r="O467" i="2"/>
  <c r="L468" i="2"/>
  <c r="M468" i="2"/>
  <c r="N468" i="2"/>
  <c r="O468" i="2"/>
  <c r="L469" i="2"/>
  <c r="M469" i="2"/>
  <c r="N469" i="2"/>
  <c r="O469" i="2"/>
  <c r="L470" i="2"/>
  <c r="M470" i="2"/>
  <c r="N470" i="2"/>
  <c r="O470" i="2"/>
  <c r="L471" i="2"/>
  <c r="M471" i="2"/>
  <c r="N471" i="2"/>
  <c r="O471" i="2"/>
  <c r="L472" i="2"/>
  <c r="M472" i="2"/>
  <c r="N472" i="2"/>
  <c r="O472" i="2"/>
  <c r="L473" i="2"/>
  <c r="M473" i="2"/>
  <c r="N473" i="2"/>
  <c r="O473" i="2"/>
  <c r="L474" i="2"/>
  <c r="M474" i="2"/>
  <c r="N474" i="2"/>
  <c r="O474" i="2"/>
  <c r="L475" i="2"/>
  <c r="M475" i="2"/>
  <c r="N475" i="2"/>
  <c r="O475" i="2"/>
  <c r="L476" i="2"/>
  <c r="M476" i="2"/>
  <c r="N476" i="2"/>
  <c r="O476" i="2"/>
  <c r="L477" i="2"/>
  <c r="M477" i="2"/>
  <c r="N477" i="2"/>
  <c r="O477" i="2"/>
  <c r="L478" i="2"/>
  <c r="M478" i="2"/>
  <c r="N478" i="2"/>
  <c r="O478" i="2"/>
  <c r="L479" i="2"/>
  <c r="M479" i="2"/>
  <c r="N479" i="2"/>
  <c r="O479" i="2"/>
  <c r="L480" i="2"/>
  <c r="M480" i="2"/>
  <c r="N480" i="2"/>
  <c r="O480" i="2"/>
  <c r="L481" i="2"/>
  <c r="M481" i="2"/>
  <c r="N481" i="2"/>
  <c r="O481" i="2"/>
  <c r="L482" i="2"/>
  <c r="M482" i="2"/>
  <c r="N482" i="2"/>
  <c r="O482" i="2"/>
  <c r="L483" i="2"/>
  <c r="M483" i="2"/>
  <c r="N483" i="2"/>
  <c r="O483" i="2"/>
  <c r="L484" i="2"/>
  <c r="M484" i="2"/>
  <c r="N484" i="2"/>
  <c r="O484" i="2"/>
  <c r="L485" i="2"/>
  <c r="M485" i="2"/>
  <c r="N485" i="2"/>
  <c r="O485" i="2"/>
  <c r="L486" i="2"/>
  <c r="M486" i="2"/>
  <c r="N486" i="2"/>
  <c r="O486" i="2"/>
  <c r="L487" i="2"/>
  <c r="M487" i="2"/>
  <c r="N487" i="2"/>
  <c r="O487" i="2"/>
  <c r="L488" i="2"/>
  <c r="M488" i="2"/>
  <c r="N488" i="2"/>
  <c r="O488" i="2"/>
  <c r="L489" i="2"/>
  <c r="M489" i="2"/>
  <c r="N489" i="2"/>
  <c r="O489" i="2"/>
  <c r="L490" i="2"/>
  <c r="M490" i="2"/>
  <c r="N490" i="2"/>
  <c r="O490" i="2"/>
  <c r="L491" i="2"/>
  <c r="M491" i="2"/>
  <c r="N491" i="2"/>
  <c r="O491" i="2"/>
  <c r="L492" i="2"/>
  <c r="M492" i="2"/>
  <c r="N492" i="2"/>
  <c r="O492" i="2"/>
  <c r="L493" i="2"/>
  <c r="M493" i="2"/>
  <c r="N493" i="2"/>
  <c r="O493" i="2"/>
  <c r="L494" i="2"/>
  <c r="M494" i="2"/>
  <c r="N494" i="2"/>
  <c r="O494" i="2"/>
  <c r="L495" i="2"/>
  <c r="M495" i="2"/>
  <c r="N495" i="2"/>
  <c r="O495" i="2"/>
  <c r="L496" i="2"/>
  <c r="M496" i="2"/>
  <c r="N496" i="2"/>
  <c r="O496" i="2"/>
  <c r="L497" i="2"/>
  <c r="M497" i="2"/>
  <c r="N497" i="2"/>
  <c r="O497" i="2"/>
  <c r="L498" i="2"/>
  <c r="M498" i="2"/>
  <c r="N498" i="2"/>
  <c r="O498" i="2"/>
  <c r="L499" i="2"/>
  <c r="M499" i="2"/>
  <c r="N499" i="2"/>
  <c r="O499" i="2"/>
  <c r="L500" i="2"/>
  <c r="M500" i="2"/>
  <c r="N500" i="2"/>
  <c r="O500" i="2"/>
  <c r="L501" i="2"/>
  <c r="M501" i="2"/>
  <c r="N501" i="2"/>
  <c r="O501" i="2"/>
  <c r="L502" i="2"/>
  <c r="M502" i="2"/>
  <c r="N502" i="2"/>
  <c r="O502" i="2"/>
  <c r="L503" i="2"/>
  <c r="M503" i="2"/>
  <c r="N503" i="2"/>
  <c r="O503" i="2"/>
  <c r="L504" i="2"/>
  <c r="M504" i="2"/>
  <c r="N504" i="2"/>
  <c r="O504" i="2"/>
  <c r="L505" i="2"/>
  <c r="M505" i="2"/>
  <c r="N505" i="2"/>
  <c r="O505" i="2"/>
  <c r="L506" i="2"/>
  <c r="M506" i="2"/>
  <c r="N506" i="2"/>
  <c r="O506" i="2"/>
  <c r="L507" i="2"/>
  <c r="M507" i="2"/>
  <c r="N507" i="2"/>
  <c r="O507" i="2"/>
  <c r="L508" i="2"/>
  <c r="M508" i="2"/>
  <c r="N508" i="2"/>
  <c r="O508" i="2"/>
  <c r="L509" i="2"/>
  <c r="M509" i="2"/>
  <c r="N509" i="2"/>
  <c r="O509" i="2"/>
  <c r="L510" i="2"/>
  <c r="M510" i="2"/>
  <c r="N510" i="2"/>
  <c r="O510" i="2"/>
  <c r="L511" i="2"/>
  <c r="M511" i="2"/>
  <c r="N511" i="2"/>
  <c r="O511" i="2"/>
  <c r="L512" i="2"/>
  <c r="M512" i="2"/>
  <c r="N512" i="2"/>
  <c r="O512" i="2"/>
  <c r="L513" i="2"/>
  <c r="M513" i="2"/>
  <c r="N513" i="2"/>
  <c r="O513" i="2"/>
  <c r="L514" i="2"/>
  <c r="M514" i="2"/>
  <c r="N514" i="2"/>
  <c r="O514" i="2"/>
  <c r="L515" i="2"/>
  <c r="M515" i="2"/>
  <c r="N515" i="2"/>
  <c r="O515" i="2"/>
  <c r="L516" i="2"/>
  <c r="M516" i="2"/>
  <c r="N516" i="2"/>
  <c r="O516" i="2"/>
  <c r="L517" i="2"/>
  <c r="M517" i="2"/>
  <c r="N517" i="2"/>
  <c r="O517" i="2"/>
  <c r="L518" i="2"/>
  <c r="M518" i="2"/>
  <c r="N518" i="2"/>
  <c r="O518" i="2"/>
  <c r="L519" i="2"/>
  <c r="M519" i="2"/>
  <c r="N519" i="2"/>
  <c r="O519" i="2"/>
  <c r="L520" i="2"/>
  <c r="M520" i="2"/>
  <c r="N520" i="2"/>
  <c r="O520" i="2"/>
  <c r="L521" i="2"/>
  <c r="M521" i="2"/>
  <c r="N521" i="2"/>
  <c r="O521" i="2"/>
  <c r="L522" i="2"/>
  <c r="M522" i="2"/>
  <c r="N522" i="2"/>
  <c r="O522" i="2"/>
  <c r="L523" i="2"/>
  <c r="M523" i="2"/>
  <c r="N523" i="2"/>
  <c r="O523" i="2"/>
  <c r="L524" i="2"/>
  <c r="M524" i="2"/>
  <c r="N524" i="2"/>
  <c r="O524" i="2"/>
  <c r="L525" i="2"/>
  <c r="M525" i="2"/>
  <c r="N525" i="2"/>
  <c r="O525" i="2"/>
  <c r="L526" i="2"/>
  <c r="M526" i="2"/>
  <c r="N526" i="2"/>
  <c r="O526" i="2"/>
  <c r="L527" i="2"/>
  <c r="M527" i="2"/>
  <c r="N527" i="2"/>
  <c r="O527" i="2"/>
  <c r="L528" i="2"/>
  <c r="M528" i="2"/>
  <c r="N528" i="2"/>
  <c r="O528" i="2"/>
  <c r="L529" i="2"/>
  <c r="M529" i="2"/>
  <c r="N529" i="2"/>
  <c r="O529" i="2"/>
  <c r="L530" i="2"/>
  <c r="M530" i="2"/>
  <c r="N530" i="2"/>
  <c r="O530" i="2"/>
  <c r="L531" i="2"/>
  <c r="M531" i="2"/>
  <c r="N531" i="2"/>
  <c r="O531" i="2"/>
  <c r="L532" i="2"/>
  <c r="M532" i="2"/>
  <c r="N532" i="2"/>
  <c r="O532" i="2"/>
  <c r="L533" i="2"/>
  <c r="M533" i="2"/>
  <c r="N533" i="2"/>
  <c r="O533" i="2"/>
  <c r="L534" i="2"/>
  <c r="M534" i="2"/>
  <c r="N534" i="2"/>
  <c r="O534" i="2"/>
  <c r="L535" i="2"/>
  <c r="M535" i="2"/>
  <c r="N535" i="2"/>
  <c r="O535" i="2"/>
  <c r="L536" i="2"/>
  <c r="M536" i="2"/>
  <c r="N536" i="2"/>
  <c r="O536" i="2"/>
  <c r="L537" i="2"/>
  <c r="M537" i="2"/>
  <c r="N537" i="2"/>
  <c r="O537" i="2"/>
  <c r="L538" i="2"/>
  <c r="M538" i="2"/>
  <c r="N538" i="2"/>
  <c r="O538" i="2"/>
  <c r="L539" i="2"/>
  <c r="M539" i="2"/>
  <c r="N539" i="2"/>
  <c r="O539" i="2"/>
  <c r="L540" i="2"/>
  <c r="M540" i="2"/>
  <c r="N540" i="2"/>
  <c r="O540" i="2"/>
  <c r="L541" i="2"/>
  <c r="M541" i="2"/>
  <c r="N541" i="2"/>
  <c r="O541" i="2"/>
  <c r="L542" i="2"/>
  <c r="M542" i="2"/>
  <c r="N542" i="2"/>
  <c r="O542" i="2"/>
  <c r="L543" i="2"/>
  <c r="M543" i="2"/>
  <c r="N543" i="2"/>
  <c r="O543" i="2"/>
  <c r="L544" i="2"/>
  <c r="M544" i="2"/>
  <c r="N544" i="2"/>
  <c r="O544" i="2"/>
  <c r="L545" i="2"/>
  <c r="M545" i="2"/>
  <c r="N545" i="2"/>
  <c r="O545" i="2"/>
  <c r="L546" i="2"/>
  <c r="M546" i="2"/>
  <c r="N546" i="2"/>
  <c r="O546" i="2"/>
  <c r="L547" i="2"/>
  <c r="M547" i="2"/>
  <c r="N547" i="2"/>
  <c r="O547" i="2"/>
  <c r="L548" i="2"/>
  <c r="M548" i="2"/>
  <c r="N548" i="2"/>
  <c r="O548" i="2"/>
  <c r="L549" i="2"/>
  <c r="M549" i="2"/>
  <c r="N549" i="2"/>
  <c r="O549" i="2"/>
  <c r="L550" i="2"/>
  <c r="M550" i="2"/>
  <c r="N550" i="2"/>
  <c r="O550" i="2"/>
  <c r="L551" i="2"/>
  <c r="M551" i="2"/>
  <c r="N551" i="2"/>
  <c r="O551" i="2"/>
  <c r="L552" i="2"/>
  <c r="M552" i="2"/>
  <c r="N552" i="2"/>
  <c r="O552" i="2"/>
  <c r="L553" i="2"/>
  <c r="M553" i="2"/>
  <c r="N553" i="2"/>
  <c r="O553" i="2"/>
  <c r="L554" i="2"/>
  <c r="M554" i="2"/>
  <c r="N554" i="2"/>
  <c r="O554" i="2"/>
  <c r="L555" i="2"/>
  <c r="M555" i="2"/>
  <c r="N555" i="2"/>
  <c r="O555" i="2"/>
  <c r="L556" i="2"/>
  <c r="M556" i="2"/>
  <c r="N556" i="2"/>
  <c r="O556" i="2"/>
  <c r="L557" i="2"/>
  <c r="M557" i="2"/>
  <c r="N557" i="2"/>
  <c r="O557" i="2"/>
  <c r="L558" i="2"/>
  <c r="M558" i="2"/>
  <c r="N558" i="2"/>
  <c r="O558" i="2"/>
  <c r="L559" i="2"/>
  <c r="M559" i="2"/>
  <c r="N559" i="2"/>
  <c r="O559" i="2"/>
  <c r="L560" i="2"/>
  <c r="M560" i="2"/>
  <c r="N560" i="2"/>
  <c r="O560" i="2"/>
  <c r="L561" i="2"/>
  <c r="M561" i="2"/>
  <c r="N561" i="2"/>
  <c r="O561" i="2"/>
  <c r="L562" i="2"/>
  <c r="M562" i="2"/>
  <c r="N562" i="2"/>
  <c r="O562" i="2"/>
  <c r="L563" i="2"/>
  <c r="M563" i="2"/>
  <c r="N563" i="2"/>
  <c r="O563" i="2"/>
  <c r="L564" i="2"/>
  <c r="M564" i="2"/>
  <c r="N564" i="2"/>
  <c r="O564" i="2"/>
  <c r="L565" i="2"/>
  <c r="M565" i="2"/>
  <c r="N565" i="2"/>
  <c r="O565" i="2"/>
  <c r="L566" i="2"/>
  <c r="M566" i="2"/>
  <c r="N566" i="2"/>
  <c r="O566" i="2"/>
  <c r="L567" i="2"/>
  <c r="M567" i="2"/>
  <c r="N567" i="2"/>
  <c r="O567" i="2"/>
  <c r="L568" i="2"/>
  <c r="M568" i="2"/>
  <c r="N568" i="2"/>
  <c r="O568" i="2"/>
  <c r="L569" i="2"/>
  <c r="M569" i="2"/>
  <c r="N569" i="2"/>
  <c r="O569" i="2"/>
  <c r="L570" i="2"/>
  <c r="M570" i="2"/>
  <c r="N570" i="2"/>
  <c r="O570" i="2"/>
  <c r="L571" i="2"/>
  <c r="M571" i="2"/>
  <c r="N571" i="2"/>
  <c r="O571" i="2"/>
  <c r="L572" i="2"/>
  <c r="M572" i="2"/>
  <c r="N572" i="2"/>
  <c r="O572" i="2"/>
  <c r="L573" i="2"/>
  <c r="M573" i="2"/>
  <c r="N573" i="2"/>
  <c r="O573" i="2"/>
  <c r="L574" i="2"/>
  <c r="M574" i="2"/>
  <c r="N574" i="2"/>
  <c r="O574" i="2"/>
  <c r="L575" i="2"/>
  <c r="M575" i="2"/>
  <c r="N575" i="2"/>
  <c r="O575" i="2"/>
  <c r="L576" i="2"/>
  <c r="M576" i="2"/>
  <c r="N576" i="2"/>
  <c r="O576" i="2"/>
  <c r="L577" i="2"/>
  <c r="M577" i="2"/>
  <c r="N577" i="2"/>
  <c r="O577" i="2"/>
  <c r="L578" i="2"/>
  <c r="M578" i="2"/>
  <c r="N578" i="2"/>
  <c r="O578" i="2"/>
  <c r="L579" i="2"/>
  <c r="M579" i="2"/>
  <c r="N579" i="2"/>
  <c r="O579" i="2"/>
  <c r="L580" i="2"/>
  <c r="M580" i="2"/>
  <c r="N580" i="2"/>
  <c r="O580" i="2"/>
  <c r="L581" i="2"/>
  <c r="M581" i="2"/>
  <c r="N581" i="2"/>
  <c r="O581" i="2"/>
  <c r="L582" i="2"/>
  <c r="M582" i="2"/>
  <c r="N582" i="2"/>
  <c r="O582" i="2"/>
  <c r="L583" i="2"/>
  <c r="M583" i="2"/>
  <c r="N583" i="2"/>
  <c r="O583" i="2"/>
  <c r="L584" i="2"/>
  <c r="M584" i="2"/>
  <c r="N584" i="2"/>
  <c r="O584" i="2"/>
  <c r="L585" i="2"/>
  <c r="M585" i="2"/>
  <c r="N585" i="2"/>
  <c r="O585" i="2"/>
  <c r="L586" i="2"/>
  <c r="M586" i="2"/>
  <c r="N586" i="2"/>
  <c r="O586" i="2"/>
  <c r="L587" i="2"/>
  <c r="M587" i="2"/>
  <c r="N587" i="2"/>
  <c r="O587" i="2"/>
  <c r="L588" i="2"/>
  <c r="M588" i="2"/>
  <c r="N588" i="2"/>
  <c r="O588" i="2"/>
  <c r="L589" i="2"/>
  <c r="M589" i="2"/>
  <c r="N589" i="2"/>
  <c r="O589" i="2"/>
  <c r="L590" i="2"/>
  <c r="M590" i="2"/>
  <c r="N590" i="2"/>
  <c r="O590" i="2"/>
  <c r="L591" i="2"/>
  <c r="M591" i="2"/>
  <c r="N591" i="2"/>
  <c r="O591" i="2"/>
  <c r="L592" i="2"/>
  <c r="M592" i="2"/>
  <c r="N592" i="2"/>
  <c r="O592" i="2"/>
  <c r="L593" i="2"/>
  <c r="M593" i="2"/>
  <c r="N593" i="2"/>
  <c r="O593" i="2"/>
  <c r="L594" i="2"/>
  <c r="M594" i="2"/>
  <c r="N594" i="2"/>
  <c r="O594" i="2"/>
  <c r="L595" i="2"/>
  <c r="M595" i="2"/>
  <c r="N595" i="2"/>
  <c r="O595" i="2"/>
  <c r="L596" i="2"/>
  <c r="M596" i="2"/>
  <c r="N596" i="2"/>
  <c r="O596" i="2"/>
  <c r="L597" i="2"/>
  <c r="M597" i="2"/>
  <c r="N597" i="2"/>
  <c r="O597" i="2"/>
  <c r="L598" i="2"/>
  <c r="M598" i="2"/>
  <c r="N598" i="2"/>
  <c r="O598" i="2"/>
  <c r="L599" i="2"/>
  <c r="M599" i="2"/>
  <c r="N599" i="2"/>
  <c r="O599" i="2"/>
  <c r="L600" i="2"/>
  <c r="M600" i="2"/>
  <c r="N600" i="2"/>
  <c r="O600" i="2"/>
  <c r="L601" i="2"/>
  <c r="M601" i="2"/>
  <c r="N601" i="2"/>
  <c r="O601" i="2"/>
  <c r="L602" i="2"/>
  <c r="M602" i="2"/>
  <c r="N602" i="2"/>
  <c r="O602" i="2"/>
  <c r="L603" i="2"/>
  <c r="M603" i="2"/>
  <c r="N603" i="2"/>
  <c r="O603" i="2"/>
  <c r="L604" i="2"/>
  <c r="M604" i="2"/>
  <c r="N604" i="2"/>
  <c r="O604" i="2"/>
  <c r="L605" i="2"/>
  <c r="M605" i="2"/>
  <c r="N605" i="2"/>
  <c r="O605" i="2"/>
  <c r="L606" i="2"/>
  <c r="M606" i="2"/>
  <c r="N606" i="2"/>
  <c r="O606" i="2"/>
  <c r="L607" i="2"/>
  <c r="M607" i="2"/>
  <c r="N607" i="2"/>
  <c r="O607" i="2"/>
  <c r="L608" i="2"/>
  <c r="M608" i="2"/>
  <c r="N608" i="2"/>
  <c r="O608" i="2"/>
  <c r="L609" i="2"/>
  <c r="M609" i="2"/>
  <c r="N609" i="2"/>
  <c r="O609" i="2"/>
  <c r="L610" i="2"/>
  <c r="M610" i="2"/>
  <c r="N610" i="2"/>
  <c r="O610" i="2"/>
  <c r="L611" i="2"/>
  <c r="M611" i="2"/>
  <c r="N611" i="2"/>
  <c r="O611" i="2"/>
  <c r="L612" i="2"/>
  <c r="M612" i="2"/>
  <c r="N612" i="2"/>
  <c r="O612" i="2"/>
  <c r="L613" i="2"/>
  <c r="M613" i="2"/>
  <c r="N613" i="2"/>
  <c r="O613" i="2"/>
  <c r="L614" i="2"/>
  <c r="M614" i="2"/>
  <c r="N614" i="2"/>
  <c r="O614" i="2"/>
  <c r="L615" i="2"/>
  <c r="M615" i="2"/>
  <c r="N615" i="2"/>
  <c r="O615" i="2"/>
  <c r="L616" i="2"/>
  <c r="M616" i="2"/>
  <c r="N616" i="2"/>
  <c r="O616" i="2"/>
  <c r="L617" i="2"/>
  <c r="M617" i="2"/>
  <c r="N617" i="2"/>
  <c r="O617" i="2"/>
  <c r="L618" i="2"/>
  <c r="M618" i="2"/>
  <c r="N618" i="2"/>
  <c r="O618" i="2"/>
  <c r="L619" i="2"/>
  <c r="M619" i="2"/>
  <c r="N619" i="2"/>
  <c r="O619" i="2"/>
  <c r="L620" i="2"/>
  <c r="M620" i="2"/>
  <c r="N620" i="2"/>
  <c r="O620" i="2"/>
  <c r="L621" i="2"/>
  <c r="M621" i="2"/>
  <c r="N621" i="2"/>
  <c r="O621" i="2"/>
  <c r="L622" i="2"/>
  <c r="M622" i="2"/>
  <c r="N622" i="2"/>
  <c r="O622" i="2"/>
  <c r="L623" i="2"/>
  <c r="M623" i="2"/>
  <c r="N623" i="2"/>
  <c r="O623" i="2"/>
  <c r="L624" i="2"/>
  <c r="M624" i="2"/>
  <c r="N624" i="2"/>
  <c r="O624" i="2"/>
  <c r="L625" i="2"/>
  <c r="M625" i="2"/>
  <c r="N625" i="2"/>
  <c r="O625" i="2"/>
  <c r="L626" i="2"/>
  <c r="M626" i="2"/>
  <c r="N626" i="2"/>
  <c r="O626" i="2"/>
  <c r="L627" i="2"/>
  <c r="M627" i="2"/>
  <c r="N627" i="2"/>
  <c r="O627" i="2"/>
  <c r="L628" i="2"/>
  <c r="M628" i="2"/>
  <c r="N628" i="2"/>
  <c r="O628" i="2"/>
  <c r="L629" i="2"/>
  <c r="M629" i="2"/>
  <c r="N629" i="2"/>
  <c r="O629" i="2"/>
  <c r="L630" i="2"/>
  <c r="M630" i="2"/>
  <c r="N630" i="2"/>
  <c r="O630" i="2"/>
  <c r="L631" i="2"/>
  <c r="M631" i="2"/>
  <c r="N631" i="2"/>
  <c r="O631" i="2"/>
  <c r="L632" i="2"/>
  <c r="M632" i="2"/>
  <c r="N632" i="2"/>
  <c r="O632" i="2"/>
  <c r="L633" i="2"/>
  <c r="M633" i="2"/>
  <c r="N633" i="2"/>
  <c r="O633" i="2"/>
  <c r="L634" i="2"/>
  <c r="M634" i="2"/>
  <c r="N634" i="2"/>
  <c r="O634" i="2"/>
  <c r="L635" i="2"/>
  <c r="M635" i="2"/>
  <c r="N635" i="2"/>
  <c r="O635" i="2"/>
  <c r="L636" i="2"/>
  <c r="M636" i="2"/>
  <c r="N636" i="2"/>
  <c r="O636" i="2"/>
  <c r="L637" i="2"/>
  <c r="M637" i="2"/>
  <c r="N637" i="2"/>
  <c r="O637" i="2"/>
  <c r="L638" i="2"/>
  <c r="M638" i="2"/>
  <c r="N638" i="2"/>
  <c r="O638" i="2"/>
  <c r="L639" i="2"/>
  <c r="M639" i="2"/>
  <c r="N639" i="2"/>
  <c r="O639" i="2"/>
  <c r="L640" i="2"/>
  <c r="M640" i="2"/>
  <c r="N640" i="2"/>
  <c r="O640" i="2"/>
  <c r="L641" i="2"/>
  <c r="M641" i="2"/>
  <c r="N641" i="2"/>
  <c r="O641" i="2"/>
  <c r="L642" i="2"/>
  <c r="M642" i="2"/>
  <c r="N642" i="2"/>
  <c r="O642" i="2"/>
  <c r="L643" i="2"/>
  <c r="M643" i="2"/>
  <c r="N643" i="2"/>
  <c r="O643" i="2"/>
  <c r="L644" i="2"/>
  <c r="M644" i="2"/>
  <c r="N644" i="2"/>
  <c r="O644" i="2"/>
  <c r="L645" i="2"/>
  <c r="M645" i="2"/>
  <c r="N645" i="2"/>
  <c r="O645" i="2"/>
  <c r="L646" i="2"/>
  <c r="M646" i="2"/>
  <c r="N646" i="2"/>
  <c r="O646" i="2"/>
  <c r="L647" i="2"/>
  <c r="M647" i="2"/>
  <c r="N647" i="2"/>
  <c r="O647" i="2"/>
  <c r="L648" i="2"/>
  <c r="M648" i="2"/>
  <c r="N648" i="2"/>
  <c r="O648" i="2"/>
  <c r="L649" i="2"/>
  <c r="M649" i="2"/>
  <c r="N649" i="2"/>
  <c r="O649" i="2"/>
  <c r="L650" i="2"/>
  <c r="M650" i="2"/>
  <c r="N650" i="2"/>
  <c r="O650" i="2"/>
  <c r="L651" i="2"/>
  <c r="M651" i="2"/>
  <c r="N651" i="2"/>
  <c r="O651" i="2"/>
  <c r="L652" i="2"/>
  <c r="M652" i="2"/>
  <c r="N652" i="2"/>
  <c r="O652" i="2"/>
  <c r="L653" i="2"/>
  <c r="M653" i="2"/>
  <c r="N653" i="2"/>
  <c r="O653" i="2"/>
  <c r="L654" i="2"/>
  <c r="M654" i="2"/>
  <c r="N654" i="2"/>
  <c r="O654" i="2"/>
  <c r="L655" i="2"/>
  <c r="M655" i="2"/>
  <c r="N655" i="2"/>
  <c r="O655" i="2"/>
  <c r="L656" i="2"/>
  <c r="M656" i="2"/>
  <c r="N656" i="2"/>
  <c r="O656" i="2"/>
  <c r="L657" i="2"/>
  <c r="M657" i="2"/>
  <c r="N657" i="2"/>
  <c r="O657" i="2"/>
  <c r="L658" i="2"/>
  <c r="M658" i="2"/>
  <c r="N658" i="2"/>
  <c r="O658" i="2"/>
  <c r="L659" i="2"/>
  <c r="M659" i="2"/>
  <c r="N659" i="2"/>
  <c r="O659" i="2"/>
  <c r="L660" i="2"/>
  <c r="M660" i="2"/>
  <c r="N660" i="2"/>
  <c r="O660" i="2"/>
  <c r="L661" i="2"/>
  <c r="M661" i="2"/>
  <c r="N661" i="2"/>
  <c r="O661" i="2"/>
  <c r="L662" i="2"/>
  <c r="M662" i="2"/>
  <c r="N662" i="2"/>
  <c r="O662" i="2"/>
  <c r="L663" i="2"/>
  <c r="M663" i="2"/>
  <c r="N663" i="2"/>
  <c r="O663" i="2"/>
  <c r="L664" i="2"/>
  <c r="M664" i="2"/>
  <c r="N664" i="2"/>
  <c r="O664" i="2"/>
  <c r="L665" i="2"/>
  <c r="M665" i="2"/>
  <c r="N665" i="2"/>
  <c r="O665" i="2"/>
  <c r="L666" i="2"/>
  <c r="M666" i="2"/>
  <c r="N666" i="2"/>
  <c r="O666" i="2"/>
  <c r="L667" i="2"/>
  <c r="M667" i="2"/>
  <c r="N667" i="2"/>
  <c r="O667" i="2"/>
  <c r="L668" i="2"/>
  <c r="M668" i="2"/>
  <c r="N668" i="2"/>
  <c r="O668" i="2"/>
  <c r="L669" i="2"/>
  <c r="M669" i="2"/>
  <c r="N669" i="2"/>
  <c r="O669" i="2"/>
  <c r="L670" i="2"/>
  <c r="M670" i="2"/>
  <c r="N670" i="2"/>
  <c r="O670" i="2"/>
  <c r="L671" i="2"/>
  <c r="M671" i="2"/>
  <c r="N671" i="2"/>
  <c r="O671" i="2"/>
  <c r="L672" i="2"/>
  <c r="M672" i="2"/>
  <c r="N672" i="2"/>
  <c r="O672" i="2"/>
  <c r="L673" i="2"/>
  <c r="M673" i="2"/>
  <c r="N673" i="2"/>
  <c r="O673" i="2"/>
  <c r="L674" i="2"/>
  <c r="M674" i="2"/>
  <c r="N674" i="2"/>
  <c r="O674" i="2"/>
  <c r="L675" i="2"/>
  <c r="M675" i="2"/>
  <c r="N675" i="2"/>
  <c r="O675" i="2"/>
  <c r="L676" i="2"/>
  <c r="M676" i="2"/>
  <c r="N676" i="2"/>
  <c r="O676" i="2"/>
  <c r="L677" i="2"/>
  <c r="M677" i="2"/>
  <c r="N677" i="2"/>
  <c r="O677" i="2"/>
  <c r="L678" i="2"/>
  <c r="M678" i="2"/>
  <c r="N678" i="2"/>
  <c r="O678" i="2"/>
  <c r="L679" i="2"/>
  <c r="M679" i="2"/>
  <c r="N679" i="2"/>
  <c r="O679" i="2"/>
  <c r="L680" i="2"/>
  <c r="M680" i="2"/>
  <c r="N680" i="2"/>
  <c r="O680" i="2"/>
  <c r="L681" i="2"/>
  <c r="M681" i="2"/>
  <c r="N681" i="2"/>
  <c r="O681" i="2"/>
  <c r="L682" i="2"/>
  <c r="M682" i="2"/>
  <c r="N682" i="2"/>
  <c r="O682" i="2"/>
  <c r="L683" i="2"/>
  <c r="M683" i="2"/>
  <c r="N683" i="2"/>
  <c r="O683" i="2"/>
  <c r="L684" i="2"/>
  <c r="M684" i="2"/>
  <c r="N684" i="2"/>
  <c r="O684" i="2"/>
  <c r="L685" i="2"/>
  <c r="M685" i="2"/>
  <c r="N685" i="2"/>
  <c r="O685" i="2"/>
  <c r="L686" i="2"/>
  <c r="M686" i="2"/>
  <c r="N686" i="2"/>
  <c r="O686" i="2"/>
  <c r="L687" i="2"/>
  <c r="M687" i="2"/>
  <c r="N687" i="2"/>
  <c r="O687" i="2"/>
  <c r="L688" i="2"/>
  <c r="M688" i="2"/>
  <c r="N688" i="2"/>
  <c r="O688" i="2"/>
  <c r="L689" i="2"/>
  <c r="M689" i="2"/>
  <c r="N689" i="2"/>
  <c r="O689" i="2"/>
  <c r="L690" i="2"/>
  <c r="M690" i="2"/>
  <c r="N690" i="2"/>
  <c r="O690" i="2"/>
  <c r="L691" i="2"/>
  <c r="M691" i="2"/>
  <c r="N691" i="2"/>
  <c r="O691" i="2"/>
  <c r="L692" i="2"/>
  <c r="M692" i="2"/>
  <c r="N692" i="2"/>
  <c r="O692" i="2"/>
  <c r="L693" i="2"/>
  <c r="M693" i="2"/>
  <c r="N693" i="2"/>
  <c r="O693" i="2"/>
  <c r="L694" i="2"/>
  <c r="M694" i="2"/>
  <c r="N694" i="2"/>
  <c r="O694" i="2"/>
  <c r="L695" i="2"/>
  <c r="M695" i="2"/>
  <c r="N695" i="2"/>
  <c r="O695" i="2"/>
  <c r="L696" i="2"/>
  <c r="M696" i="2"/>
  <c r="N696" i="2"/>
  <c r="O696" i="2"/>
  <c r="L697" i="2"/>
  <c r="M697" i="2"/>
  <c r="N697" i="2"/>
  <c r="O697" i="2"/>
  <c r="L698" i="2"/>
  <c r="M698" i="2"/>
  <c r="N698" i="2"/>
  <c r="O698" i="2"/>
  <c r="L699" i="2"/>
  <c r="M699" i="2"/>
  <c r="N699" i="2"/>
  <c r="O699" i="2"/>
  <c r="L700" i="2"/>
  <c r="M700" i="2"/>
  <c r="N700" i="2"/>
  <c r="O700" i="2"/>
  <c r="L701" i="2"/>
  <c r="M701" i="2"/>
  <c r="N701" i="2"/>
  <c r="O701" i="2"/>
  <c r="L702" i="2"/>
  <c r="M702" i="2"/>
  <c r="N702" i="2"/>
  <c r="O702" i="2"/>
  <c r="L703" i="2"/>
  <c r="M703" i="2"/>
  <c r="N703" i="2"/>
  <c r="O703" i="2"/>
  <c r="L704" i="2"/>
  <c r="M704" i="2"/>
  <c r="N704" i="2"/>
  <c r="O704" i="2"/>
  <c r="L705" i="2"/>
  <c r="M705" i="2"/>
  <c r="N705" i="2"/>
  <c r="O705" i="2"/>
  <c r="L706" i="2"/>
  <c r="M706" i="2"/>
  <c r="N706" i="2"/>
  <c r="O706" i="2"/>
  <c r="L707" i="2"/>
  <c r="M707" i="2"/>
  <c r="N707" i="2"/>
  <c r="O707" i="2"/>
  <c r="L708" i="2"/>
  <c r="M708" i="2"/>
  <c r="N708" i="2"/>
  <c r="O708" i="2"/>
  <c r="L709" i="2"/>
  <c r="M709" i="2"/>
  <c r="N709" i="2"/>
  <c r="O709" i="2"/>
  <c r="L710" i="2"/>
  <c r="M710" i="2"/>
  <c r="N710" i="2"/>
  <c r="O710" i="2"/>
  <c r="L711" i="2"/>
  <c r="M711" i="2"/>
  <c r="N711" i="2"/>
  <c r="O711" i="2"/>
  <c r="L712" i="2"/>
  <c r="M712" i="2"/>
  <c r="N712" i="2"/>
  <c r="O712" i="2"/>
  <c r="L713" i="2"/>
  <c r="M713" i="2"/>
  <c r="N713" i="2"/>
  <c r="O713" i="2"/>
  <c r="L714" i="2"/>
  <c r="M714" i="2"/>
  <c r="N714" i="2"/>
  <c r="O714" i="2"/>
  <c r="L715" i="2"/>
  <c r="M715" i="2"/>
  <c r="N715" i="2"/>
  <c r="O715" i="2"/>
  <c r="L716" i="2"/>
  <c r="M716" i="2"/>
  <c r="N716" i="2"/>
  <c r="O716" i="2"/>
  <c r="L717" i="2"/>
  <c r="M717" i="2"/>
  <c r="N717" i="2"/>
  <c r="O717" i="2"/>
  <c r="L718" i="2"/>
  <c r="M718" i="2"/>
  <c r="N718" i="2"/>
  <c r="O718" i="2"/>
  <c r="L719" i="2"/>
  <c r="M719" i="2"/>
  <c r="N719" i="2"/>
  <c r="O719" i="2"/>
  <c r="L720" i="2"/>
  <c r="M720" i="2"/>
  <c r="N720" i="2"/>
  <c r="O720" i="2"/>
  <c r="L721" i="2"/>
  <c r="M721" i="2"/>
  <c r="N721" i="2"/>
  <c r="O721" i="2"/>
  <c r="L722" i="2"/>
  <c r="M722" i="2"/>
  <c r="N722" i="2"/>
  <c r="O722" i="2"/>
  <c r="L723" i="2"/>
  <c r="M723" i="2"/>
  <c r="N723" i="2"/>
  <c r="O723" i="2"/>
  <c r="L724" i="2"/>
  <c r="M724" i="2"/>
  <c r="N724" i="2"/>
  <c r="O724" i="2"/>
  <c r="L725" i="2"/>
  <c r="M725" i="2"/>
  <c r="N725" i="2"/>
  <c r="O725" i="2"/>
  <c r="L726" i="2"/>
  <c r="M726" i="2"/>
  <c r="N726" i="2"/>
  <c r="O726" i="2"/>
  <c r="L727" i="2"/>
  <c r="M727" i="2"/>
  <c r="N727" i="2"/>
  <c r="O727" i="2"/>
  <c r="L728" i="2"/>
  <c r="M728" i="2"/>
  <c r="N728" i="2"/>
  <c r="O728" i="2"/>
  <c r="L729" i="2"/>
  <c r="M729" i="2"/>
  <c r="N729" i="2"/>
  <c r="O729" i="2"/>
  <c r="L730" i="2"/>
  <c r="M730" i="2"/>
  <c r="N730" i="2"/>
  <c r="O730" i="2"/>
  <c r="L731" i="2"/>
  <c r="M731" i="2"/>
  <c r="N731" i="2"/>
  <c r="O731" i="2"/>
  <c r="L732" i="2"/>
  <c r="M732" i="2"/>
  <c r="N732" i="2"/>
  <c r="O732" i="2"/>
  <c r="L733" i="2"/>
  <c r="M733" i="2"/>
  <c r="N733" i="2"/>
  <c r="O733" i="2"/>
  <c r="L734" i="2"/>
  <c r="M734" i="2"/>
  <c r="N734" i="2"/>
  <c r="O734" i="2"/>
  <c r="L735" i="2"/>
  <c r="M735" i="2"/>
  <c r="N735" i="2"/>
  <c r="O735" i="2"/>
  <c r="L736" i="2"/>
  <c r="M736" i="2"/>
  <c r="N736" i="2"/>
  <c r="O736" i="2"/>
  <c r="L737" i="2"/>
  <c r="M737" i="2"/>
  <c r="N737" i="2"/>
  <c r="O737" i="2"/>
  <c r="L738" i="2"/>
  <c r="M738" i="2"/>
  <c r="N738" i="2"/>
  <c r="O738" i="2"/>
  <c r="L739" i="2"/>
  <c r="M739" i="2"/>
  <c r="N739" i="2"/>
  <c r="O739" i="2"/>
  <c r="L740" i="2"/>
  <c r="M740" i="2"/>
  <c r="N740" i="2"/>
  <c r="O740" i="2"/>
  <c r="L741" i="2"/>
  <c r="M741" i="2"/>
  <c r="N741" i="2"/>
  <c r="O741" i="2"/>
  <c r="L742" i="2"/>
  <c r="M742" i="2"/>
  <c r="N742" i="2"/>
  <c r="O742" i="2"/>
  <c r="L743" i="2"/>
  <c r="M743" i="2"/>
  <c r="N743" i="2"/>
  <c r="O743" i="2"/>
  <c r="L744" i="2"/>
  <c r="M744" i="2"/>
  <c r="N744" i="2"/>
  <c r="O744" i="2"/>
  <c r="L745" i="2"/>
  <c r="M745" i="2"/>
  <c r="N745" i="2"/>
  <c r="O745" i="2"/>
  <c r="L746" i="2"/>
  <c r="M746" i="2"/>
  <c r="N746" i="2"/>
  <c r="O746" i="2"/>
  <c r="L747" i="2"/>
  <c r="M747" i="2"/>
  <c r="N747" i="2"/>
  <c r="O747" i="2"/>
  <c r="L748" i="2"/>
  <c r="M748" i="2"/>
  <c r="N748" i="2"/>
  <c r="O748" i="2"/>
  <c r="L749" i="2"/>
  <c r="M749" i="2"/>
  <c r="N749" i="2"/>
  <c r="O749" i="2"/>
  <c r="L750" i="2"/>
  <c r="M750" i="2"/>
  <c r="N750" i="2"/>
  <c r="O750" i="2"/>
  <c r="L751" i="2"/>
  <c r="M751" i="2"/>
  <c r="N751" i="2"/>
  <c r="O751" i="2"/>
  <c r="L752" i="2"/>
  <c r="M752" i="2"/>
  <c r="N752" i="2"/>
  <c r="O752" i="2"/>
  <c r="L753" i="2"/>
  <c r="M753" i="2"/>
  <c r="N753" i="2"/>
  <c r="O753" i="2"/>
  <c r="L754" i="2"/>
  <c r="M754" i="2"/>
  <c r="N754" i="2"/>
  <c r="O754" i="2"/>
  <c r="L755" i="2"/>
  <c r="M755" i="2"/>
  <c r="N755" i="2"/>
  <c r="O755" i="2"/>
  <c r="L756" i="2"/>
  <c r="M756" i="2"/>
  <c r="N756" i="2"/>
  <c r="O756" i="2"/>
  <c r="L757" i="2"/>
  <c r="M757" i="2"/>
  <c r="N757" i="2"/>
  <c r="O757" i="2"/>
  <c r="L758" i="2"/>
  <c r="M758" i="2"/>
  <c r="N758" i="2"/>
  <c r="O758" i="2"/>
  <c r="L759" i="2"/>
  <c r="M759" i="2"/>
  <c r="N759" i="2"/>
  <c r="O759" i="2"/>
  <c r="L760" i="2"/>
  <c r="M760" i="2"/>
  <c r="N760" i="2"/>
  <c r="O760" i="2"/>
  <c r="L761" i="2"/>
  <c r="M761" i="2"/>
  <c r="N761" i="2"/>
  <c r="O761" i="2"/>
  <c r="L762" i="2"/>
  <c r="M762" i="2"/>
  <c r="N762" i="2"/>
  <c r="O762" i="2"/>
  <c r="L763" i="2"/>
  <c r="M763" i="2"/>
  <c r="N763" i="2"/>
  <c r="O763" i="2"/>
  <c r="L764" i="2"/>
  <c r="M764" i="2"/>
  <c r="N764" i="2"/>
  <c r="O764" i="2"/>
  <c r="L765" i="2"/>
  <c r="M765" i="2"/>
  <c r="N765" i="2"/>
  <c r="O765" i="2"/>
  <c r="L766" i="2"/>
  <c r="M766" i="2"/>
  <c r="N766" i="2"/>
  <c r="O766" i="2"/>
  <c r="L767" i="2"/>
  <c r="M767" i="2"/>
  <c r="N767" i="2"/>
  <c r="O767" i="2"/>
  <c r="L768" i="2"/>
  <c r="M768" i="2"/>
  <c r="N768" i="2"/>
  <c r="O768" i="2"/>
  <c r="L769" i="2"/>
  <c r="M769" i="2"/>
  <c r="N769" i="2"/>
  <c r="O769" i="2"/>
  <c r="L770" i="2"/>
  <c r="M770" i="2"/>
  <c r="N770" i="2"/>
  <c r="O770" i="2"/>
  <c r="L771" i="2"/>
  <c r="M771" i="2"/>
  <c r="N771" i="2"/>
  <c r="O771" i="2"/>
  <c r="L772" i="2"/>
  <c r="M772" i="2"/>
  <c r="N772" i="2"/>
  <c r="O772" i="2"/>
  <c r="L773" i="2"/>
  <c r="M773" i="2"/>
  <c r="N773" i="2"/>
  <c r="O773" i="2"/>
  <c r="L774" i="2"/>
  <c r="M774" i="2"/>
  <c r="N774" i="2"/>
  <c r="O774" i="2"/>
  <c r="L775" i="2"/>
  <c r="M775" i="2"/>
  <c r="N775" i="2"/>
  <c r="O775" i="2"/>
  <c r="L776" i="2"/>
  <c r="M776" i="2"/>
  <c r="N776" i="2"/>
  <c r="O776" i="2"/>
  <c r="L777" i="2"/>
  <c r="M777" i="2"/>
  <c r="N777" i="2"/>
  <c r="O777" i="2"/>
  <c r="L778" i="2"/>
  <c r="M778" i="2"/>
  <c r="N778" i="2"/>
  <c r="O778" i="2"/>
  <c r="L779" i="2"/>
  <c r="M779" i="2"/>
  <c r="N779" i="2"/>
  <c r="O779" i="2"/>
  <c r="L780" i="2"/>
  <c r="M780" i="2"/>
  <c r="N780" i="2"/>
  <c r="O780" i="2"/>
  <c r="L781" i="2"/>
  <c r="M781" i="2"/>
  <c r="N781" i="2"/>
  <c r="O781" i="2"/>
  <c r="L782" i="2"/>
  <c r="M782" i="2"/>
  <c r="N782" i="2"/>
  <c r="O782" i="2"/>
  <c r="L783" i="2"/>
  <c r="M783" i="2"/>
  <c r="N783" i="2"/>
  <c r="O783" i="2"/>
  <c r="L784" i="2"/>
  <c r="M784" i="2"/>
  <c r="N784" i="2"/>
  <c r="O784" i="2"/>
  <c r="L785" i="2"/>
  <c r="M785" i="2"/>
  <c r="N785" i="2"/>
  <c r="O785" i="2"/>
  <c r="L786" i="2"/>
  <c r="M786" i="2"/>
  <c r="N786" i="2"/>
  <c r="O786" i="2"/>
  <c r="L787" i="2"/>
  <c r="M787" i="2"/>
  <c r="N787" i="2"/>
  <c r="O787" i="2"/>
  <c r="L788" i="2"/>
  <c r="M788" i="2"/>
  <c r="N788" i="2"/>
  <c r="O788" i="2"/>
  <c r="L789" i="2"/>
  <c r="M789" i="2"/>
  <c r="N789" i="2"/>
  <c r="O789" i="2"/>
  <c r="L790" i="2"/>
  <c r="M790" i="2"/>
  <c r="N790" i="2"/>
  <c r="O790" i="2"/>
  <c r="L791" i="2"/>
  <c r="M791" i="2"/>
  <c r="N791" i="2"/>
  <c r="O791" i="2"/>
  <c r="L792" i="2"/>
  <c r="M792" i="2"/>
  <c r="N792" i="2"/>
  <c r="O792" i="2"/>
  <c r="L793" i="2"/>
  <c r="M793" i="2"/>
  <c r="N793" i="2"/>
  <c r="O793" i="2"/>
  <c r="L794" i="2"/>
  <c r="M794" i="2"/>
  <c r="N794" i="2"/>
  <c r="O794" i="2"/>
  <c r="L795" i="2"/>
  <c r="M795" i="2"/>
  <c r="N795" i="2"/>
  <c r="O795" i="2"/>
  <c r="L796" i="2"/>
  <c r="M796" i="2"/>
  <c r="N796" i="2"/>
  <c r="O796" i="2"/>
  <c r="L797" i="2"/>
  <c r="M797" i="2"/>
  <c r="N797" i="2"/>
  <c r="O797" i="2"/>
  <c r="L798" i="2"/>
  <c r="M798" i="2"/>
  <c r="N798" i="2"/>
  <c r="O798" i="2"/>
  <c r="L799" i="2"/>
  <c r="M799" i="2"/>
  <c r="N799" i="2"/>
  <c r="O799" i="2"/>
  <c r="L800" i="2"/>
  <c r="M800" i="2"/>
  <c r="N800" i="2"/>
  <c r="O800" i="2"/>
  <c r="L801" i="2"/>
  <c r="M801" i="2"/>
  <c r="N801" i="2"/>
  <c r="O801" i="2"/>
  <c r="L802" i="2"/>
  <c r="M802" i="2"/>
  <c r="N802" i="2"/>
  <c r="O802" i="2"/>
  <c r="L803" i="2"/>
  <c r="M803" i="2"/>
  <c r="N803" i="2"/>
  <c r="O803" i="2"/>
  <c r="L804" i="2"/>
  <c r="M804" i="2"/>
  <c r="N804" i="2"/>
  <c r="O804" i="2"/>
  <c r="L805" i="2"/>
  <c r="M805" i="2"/>
  <c r="N805" i="2"/>
  <c r="O805" i="2"/>
  <c r="L806" i="2"/>
  <c r="M806" i="2"/>
  <c r="N806" i="2"/>
  <c r="O806" i="2"/>
  <c r="L807" i="2"/>
  <c r="M807" i="2"/>
  <c r="N807" i="2"/>
  <c r="O807" i="2"/>
  <c r="L808" i="2"/>
  <c r="M808" i="2"/>
  <c r="N808" i="2"/>
  <c r="O808" i="2"/>
  <c r="L809" i="2"/>
  <c r="M809" i="2"/>
  <c r="N809" i="2"/>
  <c r="O809" i="2"/>
  <c r="L810" i="2"/>
  <c r="M810" i="2"/>
  <c r="N810" i="2"/>
  <c r="O810" i="2"/>
  <c r="L811" i="2"/>
  <c r="M811" i="2"/>
  <c r="N811" i="2"/>
  <c r="O811" i="2"/>
  <c r="L812" i="2"/>
  <c r="M812" i="2"/>
  <c r="N812" i="2"/>
  <c r="O812" i="2"/>
  <c r="L813" i="2"/>
  <c r="M813" i="2"/>
  <c r="N813" i="2"/>
  <c r="O813" i="2"/>
  <c r="L814" i="2"/>
  <c r="M814" i="2"/>
  <c r="N814" i="2"/>
  <c r="O814" i="2"/>
  <c r="L815" i="2"/>
  <c r="M815" i="2"/>
  <c r="N815" i="2"/>
  <c r="O815" i="2"/>
  <c r="L816" i="2"/>
  <c r="M816" i="2"/>
  <c r="N816" i="2"/>
  <c r="O816" i="2"/>
  <c r="L817" i="2"/>
  <c r="M817" i="2"/>
  <c r="N817" i="2"/>
  <c r="O817" i="2"/>
  <c r="L818" i="2"/>
  <c r="M818" i="2"/>
  <c r="N818" i="2"/>
  <c r="O818" i="2"/>
  <c r="L819" i="2"/>
  <c r="M819" i="2"/>
  <c r="N819" i="2"/>
  <c r="O819" i="2"/>
  <c r="L820" i="2"/>
  <c r="M820" i="2"/>
  <c r="N820" i="2"/>
  <c r="O820" i="2"/>
  <c r="L821" i="2"/>
  <c r="M821" i="2"/>
  <c r="N821" i="2"/>
  <c r="O821" i="2"/>
  <c r="L822" i="2"/>
  <c r="M822" i="2"/>
  <c r="N822" i="2"/>
  <c r="O822" i="2"/>
  <c r="L823" i="2"/>
  <c r="M823" i="2"/>
  <c r="N823" i="2"/>
  <c r="O823" i="2"/>
  <c r="L824" i="2"/>
  <c r="M824" i="2"/>
  <c r="N824" i="2"/>
  <c r="O824" i="2"/>
  <c r="L825" i="2"/>
  <c r="M825" i="2"/>
  <c r="N825" i="2"/>
  <c r="O825" i="2"/>
  <c r="L826" i="2"/>
  <c r="M826" i="2"/>
  <c r="N826" i="2"/>
  <c r="O826" i="2"/>
  <c r="L827" i="2"/>
  <c r="M827" i="2"/>
  <c r="N827" i="2"/>
  <c r="O827" i="2"/>
  <c r="L828" i="2"/>
  <c r="M828" i="2"/>
  <c r="N828" i="2"/>
  <c r="O828" i="2"/>
  <c r="L829" i="2"/>
  <c r="M829" i="2"/>
  <c r="N829" i="2"/>
  <c r="O829" i="2"/>
  <c r="L830" i="2"/>
  <c r="M830" i="2"/>
  <c r="N830" i="2"/>
  <c r="O830" i="2"/>
  <c r="L831" i="2"/>
  <c r="M831" i="2"/>
  <c r="N831" i="2"/>
  <c r="O831" i="2"/>
  <c r="L832" i="2"/>
  <c r="M832" i="2"/>
  <c r="N832" i="2"/>
  <c r="O832" i="2"/>
  <c r="L833" i="2"/>
  <c r="M833" i="2"/>
  <c r="N833" i="2"/>
  <c r="O833" i="2"/>
  <c r="L834" i="2"/>
  <c r="M834" i="2"/>
  <c r="N834" i="2"/>
  <c r="O834" i="2"/>
  <c r="L835" i="2"/>
  <c r="M835" i="2"/>
  <c r="N835" i="2"/>
  <c r="O835" i="2"/>
  <c r="L836" i="2"/>
  <c r="M836" i="2"/>
  <c r="N836" i="2"/>
  <c r="O836" i="2"/>
  <c r="L837" i="2"/>
  <c r="M837" i="2"/>
  <c r="N837" i="2"/>
  <c r="O837" i="2"/>
  <c r="L838" i="2"/>
  <c r="M838" i="2"/>
  <c r="N838" i="2"/>
  <c r="O838" i="2"/>
  <c r="L839" i="2"/>
  <c r="M839" i="2"/>
  <c r="N839" i="2"/>
  <c r="O839" i="2"/>
  <c r="L840" i="2"/>
  <c r="M840" i="2"/>
  <c r="N840" i="2"/>
  <c r="O840" i="2"/>
  <c r="L841" i="2"/>
  <c r="M841" i="2"/>
  <c r="N841" i="2"/>
  <c r="O841" i="2"/>
  <c r="L842" i="2"/>
  <c r="M842" i="2"/>
  <c r="N842" i="2"/>
  <c r="O842" i="2"/>
  <c r="L843" i="2"/>
  <c r="M843" i="2"/>
  <c r="N843" i="2"/>
  <c r="O843" i="2"/>
  <c r="L844" i="2"/>
  <c r="M844" i="2"/>
  <c r="N844" i="2"/>
  <c r="O844" i="2"/>
  <c r="L845" i="2"/>
  <c r="M845" i="2"/>
  <c r="N845" i="2"/>
  <c r="O845" i="2"/>
  <c r="L846" i="2"/>
  <c r="M846" i="2"/>
  <c r="N846" i="2"/>
  <c r="O846" i="2"/>
  <c r="L847" i="2"/>
  <c r="M847" i="2"/>
  <c r="N847" i="2"/>
  <c r="O847" i="2"/>
  <c r="L848" i="2"/>
  <c r="M848" i="2"/>
  <c r="N848" i="2"/>
  <c r="O848" i="2"/>
  <c r="L849" i="2"/>
  <c r="M849" i="2"/>
  <c r="N849" i="2"/>
  <c r="O849" i="2"/>
  <c r="L850" i="2"/>
  <c r="M850" i="2"/>
  <c r="N850" i="2"/>
  <c r="O850" i="2"/>
  <c r="L851" i="2"/>
  <c r="M851" i="2"/>
  <c r="N851" i="2"/>
  <c r="O851" i="2"/>
  <c r="L852" i="2"/>
  <c r="M852" i="2"/>
  <c r="N852" i="2"/>
  <c r="O852" i="2"/>
  <c r="L853" i="2"/>
  <c r="M853" i="2"/>
  <c r="N853" i="2"/>
  <c r="O853" i="2"/>
  <c r="L854" i="2"/>
  <c r="M854" i="2"/>
  <c r="N854" i="2"/>
  <c r="O854" i="2"/>
  <c r="L855" i="2"/>
  <c r="M855" i="2"/>
  <c r="N855" i="2"/>
  <c r="O855" i="2"/>
  <c r="L856" i="2"/>
  <c r="M856" i="2"/>
  <c r="N856" i="2"/>
  <c r="O856" i="2"/>
  <c r="L857" i="2"/>
  <c r="M857" i="2"/>
  <c r="N857" i="2"/>
  <c r="O857" i="2"/>
  <c r="L858" i="2"/>
  <c r="M858" i="2"/>
  <c r="N858" i="2"/>
  <c r="O858" i="2"/>
  <c r="L859" i="2"/>
  <c r="M859" i="2"/>
  <c r="N859" i="2"/>
  <c r="O859" i="2"/>
  <c r="L860" i="2"/>
  <c r="M860" i="2"/>
  <c r="N860" i="2"/>
  <c r="O860" i="2"/>
  <c r="L861" i="2"/>
  <c r="M861" i="2"/>
  <c r="N861" i="2"/>
  <c r="O861" i="2"/>
  <c r="L862" i="2"/>
  <c r="M862" i="2"/>
  <c r="N862" i="2"/>
  <c r="O862" i="2"/>
  <c r="L863" i="2"/>
  <c r="M863" i="2"/>
  <c r="N863" i="2"/>
  <c r="O863" i="2"/>
  <c r="L864" i="2"/>
  <c r="M864" i="2"/>
  <c r="N864" i="2"/>
  <c r="O864" i="2"/>
  <c r="L865" i="2"/>
  <c r="M865" i="2"/>
  <c r="N865" i="2"/>
  <c r="O865" i="2"/>
  <c r="L866" i="2"/>
  <c r="M866" i="2"/>
  <c r="N866" i="2"/>
  <c r="O866" i="2"/>
  <c r="L867" i="2"/>
  <c r="M867" i="2"/>
  <c r="N867" i="2"/>
  <c r="O867" i="2"/>
  <c r="L868" i="2"/>
  <c r="M868" i="2"/>
  <c r="N868" i="2"/>
  <c r="O868" i="2"/>
  <c r="L869" i="2"/>
  <c r="M869" i="2"/>
  <c r="N869" i="2"/>
  <c r="O869" i="2"/>
  <c r="L870" i="2"/>
  <c r="M870" i="2"/>
  <c r="N870" i="2"/>
  <c r="O870" i="2"/>
  <c r="L871" i="2"/>
  <c r="M871" i="2"/>
  <c r="N871" i="2"/>
  <c r="O871" i="2"/>
  <c r="L872" i="2"/>
  <c r="M872" i="2"/>
  <c r="N872" i="2"/>
  <c r="O872" i="2"/>
  <c r="L873" i="2"/>
  <c r="M873" i="2"/>
  <c r="N873" i="2"/>
  <c r="O873" i="2"/>
  <c r="L874" i="2"/>
  <c r="M874" i="2"/>
  <c r="N874" i="2"/>
  <c r="O874" i="2"/>
  <c r="L875" i="2"/>
  <c r="M875" i="2"/>
  <c r="N875" i="2"/>
  <c r="O875" i="2"/>
  <c r="L876" i="2"/>
  <c r="M876" i="2"/>
  <c r="N876" i="2"/>
  <c r="O876" i="2"/>
  <c r="L877" i="2"/>
  <c r="M877" i="2"/>
  <c r="N877" i="2"/>
  <c r="O877" i="2"/>
  <c r="L878" i="2"/>
  <c r="M878" i="2"/>
  <c r="N878" i="2"/>
  <c r="O878" i="2"/>
  <c r="L879" i="2"/>
  <c r="M879" i="2"/>
  <c r="N879" i="2"/>
  <c r="O879" i="2"/>
  <c r="L880" i="2"/>
  <c r="M880" i="2"/>
  <c r="N880" i="2"/>
  <c r="O880" i="2"/>
  <c r="L881" i="2"/>
  <c r="M881" i="2"/>
  <c r="N881" i="2"/>
  <c r="O881" i="2"/>
  <c r="L882" i="2"/>
  <c r="M882" i="2"/>
  <c r="N882" i="2"/>
  <c r="O882" i="2"/>
  <c r="L883" i="2"/>
  <c r="M883" i="2"/>
  <c r="N883" i="2"/>
  <c r="O883" i="2"/>
  <c r="L884" i="2"/>
  <c r="M884" i="2"/>
  <c r="N884" i="2"/>
  <c r="O884" i="2"/>
  <c r="L885" i="2"/>
  <c r="M885" i="2"/>
  <c r="N885" i="2"/>
  <c r="O885" i="2"/>
  <c r="L886" i="2"/>
  <c r="M886" i="2"/>
  <c r="N886" i="2"/>
  <c r="O886" i="2"/>
  <c r="L887" i="2"/>
  <c r="M887" i="2"/>
  <c r="N887" i="2"/>
  <c r="O887" i="2"/>
  <c r="L888" i="2"/>
  <c r="M888" i="2"/>
  <c r="N888" i="2"/>
  <c r="O888" i="2"/>
  <c r="L889" i="2"/>
  <c r="M889" i="2"/>
  <c r="N889" i="2"/>
  <c r="O889" i="2"/>
  <c r="L890" i="2"/>
  <c r="M890" i="2"/>
  <c r="N890" i="2"/>
  <c r="O890" i="2"/>
  <c r="L891" i="2"/>
  <c r="M891" i="2"/>
  <c r="N891" i="2"/>
  <c r="O891" i="2"/>
  <c r="L892" i="2"/>
  <c r="M892" i="2"/>
  <c r="N892" i="2"/>
  <c r="O892" i="2"/>
  <c r="L893" i="2"/>
  <c r="M893" i="2"/>
  <c r="N893" i="2"/>
  <c r="O893" i="2"/>
  <c r="L894" i="2"/>
  <c r="M894" i="2"/>
  <c r="N894" i="2"/>
  <c r="O894" i="2"/>
  <c r="L895" i="2"/>
  <c r="M895" i="2"/>
  <c r="N895" i="2"/>
  <c r="O895" i="2"/>
  <c r="L896" i="2"/>
  <c r="M896" i="2"/>
  <c r="N896" i="2"/>
  <c r="O896" i="2"/>
  <c r="L897" i="2"/>
  <c r="M897" i="2"/>
  <c r="N897" i="2"/>
  <c r="O897" i="2"/>
  <c r="L898" i="2"/>
  <c r="M898" i="2"/>
  <c r="N898" i="2"/>
  <c r="O898" i="2"/>
  <c r="L899" i="2"/>
  <c r="M899" i="2"/>
  <c r="N899" i="2"/>
  <c r="O899" i="2"/>
  <c r="L900" i="2"/>
  <c r="M900" i="2"/>
  <c r="N900" i="2"/>
  <c r="O900" i="2"/>
  <c r="L901" i="2"/>
  <c r="M901" i="2"/>
  <c r="N901" i="2"/>
  <c r="O901" i="2"/>
  <c r="L902" i="2"/>
  <c r="M902" i="2"/>
  <c r="N902" i="2"/>
  <c r="O902" i="2"/>
  <c r="L903" i="2"/>
  <c r="M903" i="2"/>
  <c r="N903" i="2"/>
  <c r="O903" i="2"/>
  <c r="L904" i="2"/>
  <c r="M904" i="2"/>
  <c r="N904" i="2"/>
  <c r="O904" i="2"/>
  <c r="L905" i="2"/>
  <c r="M905" i="2"/>
  <c r="N905" i="2"/>
  <c r="O905" i="2"/>
  <c r="L906" i="2"/>
  <c r="M906" i="2"/>
  <c r="N906" i="2"/>
  <c r="O906" i="2"/>
  <c r="L907" i="2"/>
  <c r="M907" i="2"/>
  <c r="N907" i="2"/>
  <c r="O907" i="2"/>
  <c r="L908" i="2"/>
  <c r="M908" i="2"/>
  <c r="N908" i="2"/>
  <c r="O908" i="2"/>
  <c r="L909" i="2"/>
  <c r="M909" i="2"/>
  <c r="N909" i="2"/>
  <c r="O909" i="2"/>
  <c r="L910" i="2"/>
  <c r="M910" i="2"/>
  <c r="N910" i="2"/>
  <c r="O910" i="2"/>
  <c r="L911" i="2"/>
  <c r="M911" i="2"/>
  <c r="N911" i="2"/>
  <c r="O911" i="2"/>
  <c r="L912" i="2"/>
  <c r="M912" i="2"/>
  <c r="N912" i="2"/>
  <c r="O912" i="2"/>
  <c r="L913" i="2"/>
  <c r="M913" i="2"/>
  <c r="N913" i="2"/>
  <c r="O913" i="2"/>
  <c r="L914" i="2"/>
  <c r="M914" i="2"/>
  <c r="N914" i="2"/>
  <c r="O914" i="2"/>
  <c r="L915" i="2"/>
  <c r="M915" i="2"/>
  <c r="N915" i="2"/>
  <c r="O915" i="2"/>
  <c r="L916" i="2"/>
  <c r="M916" i="2"/>
  <c r="N916" i="2"/>
  <c r="O916" i="2"/>
  <c r="L917" i="2"/>
  <c r="M917" i="2"/>
  <c r="N917" i="2"/>
  <c r="O917" i="2"/>
  <c r="L918" i="2"/>
  <c r="M918" i="2"/>
  <c r="N918" i="2"/>
  <c r="O918" i="2"/>
  <c r="L919" i="2"/>
  <c r="M919" i="2"/>
  <c r="N919" i="2"/>
  <c r="O919" i="2"/>
  <c r="L920" i="2"/>
  <c r="M920" i="2"/>
  <c r="N920" i="2"/>
  <c r="O920" i="2"/>
  <c r="L921" i="2"/>
  <c r="M921" i="2"/>
  <c r="N921" i="2"/>
  <c r="O921" i="2"/>
  <c r="L922" i="2"/>
  <c r="M922" i="2"/>
  <c r="N922" i="2"/>
  <c r="O922" i="2"/>
  <c r="L923" i="2"/>
  <c r="M923" i="2"/>
  <c r="N923" i="2"/>
  <c r="O923" i="2"/>
  <c r="L924" i="2"/>
  <c r="M924" i="2"/>
  <c r="N924" i="2"/>
  <c r="O924" i="2"/>
  <c r="L925" i="2"/>
  <c r="M925" i="2"/>
  <c r="N925" i="2"/>
  <c r="O925" i="2"/>
  <c r="L926" i="2"/>
  <c r="M926" i="2"/>
  <c r="N926" i="2"/>
  <c r="O926" i="2"/>
  <c r="L927" i="2"/>
  <c r="M927" i="2"/>
  <c r="N927" i="2"/>
  <c r="O927" i="2"/>
  <c r="L928" i="2"/>
  <c r="M928" i="2"/>
  <c r="N928" i="2"/>
  <c r="O928" i="2"/>
  <c r="L929" i="2"/>
  <c r="M929" i="2"/>
  <c r="N929" i="2"/>
  <c r="O929" i="2"/>
  <c r="L930" i="2"/>
  <c r="M930" i="2"/>
  <c r="N930" i="2"/>
  <c r="O930" i="2"/>
  <c r="L931" i="2"/>
  <c r="M931" i="2"/>
  <c r="N931" i="2"/>
  <c r="O931" i="2"/>
  <c r="L932" i="2"/>
  <c r="M932" i="2"/>
  <c r="N932" i="2"/>
  <c r="O932" i="2"/>
  <c r="L933" i="2"/>
  <c r="M933" i="2"/>
  <c r="N933" i="2"/>
  <c r="O933" i="2"/>
  <c r="L934" i="2"/>
  <c r="M934" i="2"/>
  <c r="N934" i="2"/>
  <c r="O934" i="2"/>
  <c r="L935" i="2"/>
  <c r="M935" i="2"/>
  <c r="N935" i="2"/>
  <c r="O935" i="2"/>
  <c r="L936" i="2"/>
  <c r="M936" i="2"/>
  <c r="N936" i="2"/>
  <c r="O936" i="2"/>
  <c r="L937" i="2"/>
  <c r="M937" i="2"/>
  <c r="N937" i="2"/>
  <c r="O937" i="2"/>
  <c r="L938" i="2"/>
  <c r="M938" i="2"/>
  <c r="N938" i="2"/>
  <c r="O938" i="2"/>
  <c r="L939" i="2"/>
  <c r="M939" i="2"/>
  <c r="N939" i="2"/>
  <c r="O939" i="2"/>
  <c r="L940" i="2"/>
  <c r="M940" i="2"/>
  <c r="N940" i="2"/>
  <c r="O940" i="2"/>
  <c r="L941" i="2"/>
  <c r="M941" i="2"/>
  <c r="N941" i="2"/>
  <c r="O941" i="2"/>
  <c r="L942" i="2"/>
  <c r="M942" i="2"/>
  <c r="N942" i="2"/>
  <c r="O942" i="2"/>
  <c r="L943" i="2"/>
  <c r="M943" i="2"/>
  <c r="N943" i="2"/>
  <c r="O943" i="2"/>
  <c r="L944" i="2"/>
  <c r="M944" i="2"/>
  <c r="N944" i="2"/>
  <c r="O944" i="2"/>
  <c r="L945" i="2"/>
  <c r="M945" i="2"/>
  <c r="N945" i="2"/>
  <c r="O945" i="2"/>
  <c r="L946" i="2"/>
  <c r="M946" i="2"/>
  <c r="N946" i="2"/>
  <c r="O946" i="2"/>
  <c r="L947" i="2"/>
  <c r="M947" i="2"/>
  <c r="N947" i="2"/>
  <c r="O947" i="2"/>
  <c r="L948" i="2"/>
  <c r="M948" i="2"/>
  <c r="N948" i="2"/>
  <c r="O948" i="2"/>
  <c r="L949" i="2"/>
  <c r="M949" i="2"/>
  <c r="N949" i="2"/>
  <c r="O949" i="2"/>
  <c r="L950" i="2"/>
  <c r="M950" i="2"/>
  <c r="N950" i="2"/>
  <c r="O950" i="2"/>
  <c r="L951" i="2"/>
  <c r="M951" i="2"/>
  <c r="N951" i="2"/>
  <c r="O951" i="2"/>
  <c r="L952" i="2"/>
  <c r="M952" i="2"/>
  <c r="N952" i="2"/>
  <c r="O952" i="2"/>
  <c r="L953" i="2"/>
  <c r="M953" i="2"/>
  <c r="N953" i="2"/>
  <c r="O953" i="2"/>
  <c r="L954" i="2"/>
  <c r="M954" i="2"/>
  <c r="N954" i="2"/>
  <c r="O954" i="2"/>
  <c r="L955" i="2"/>
  <c r="M955" i="2"/>
  <c r="N955" i="2"/>
  <c r="O955" i="2"/>
  <c r="L956" i="2"/>
  <c r="M956" i="2"/>
  <c r="N956" i="2"/>
  <c r="O956" i="2"/>
  <c r="L957" i="2"/>
  <c r="M957" i="2"/>
  <c r="N957" i="2"/>
  <c r="O957" i="2"/>
  <c r="L958" i="2"/>
  <c r="M958" i="2"/>
  <c r="N958" i="2"/>
  <c r="O958" i="2"/>
  <c r="L959" i="2"/>
  <c r="M959" i="2"/>
  <c r="N959" i="2"/>
  <c r="O959" i="2"/>
  <c r="L960" i="2"/>
  <c r="M960" i="2"/>
  <c r="N960" i="2"/>
  <c r="O960" i="2"/>
  <c r="L961" i="2"/>
  <c r="M961" i="2"/>
  <c r="N961" i="2"/>
  <c r="O961" i="2"/>
  <c r="L962" i="2"/>
  <c r="M962" i="2"/>
  <c r="N962" i="2"/>
  <c r="O962" i="2"/>
  <c r="L963" i="2"/>
  <c r="M963" i="2"/>
  <c r="N963" i="2"/>
  <c r="O963" i="2"/>
  <c r="L964" i="2"/>
  <c r="M964" i="2"/>
  <c r="N964" i="2"/>
  <c r="O964" i="2"/>
  <c r="L965" i="2"/>
  <c r="M965" i="2"/>
  <c r="N965" i="2"/>
  <c r="O965" i="2"/>
  <c r="L966" i="2"/>
  <c r="M966" i="2"/>
  <c r="N966" i="2"/>
  <c r="O966" i="2"/>
  <c r="L967" i="2"/>
  <c r="M967" i="2"/>
  <c r="N967" i="2"/>
  <c r="O967" i="2"/>
  <c r="L968" i="2"/>
  <c r="M968" i="2"/>
  <c r="N968" i="2"/>
  <c r="O968" i="2"/>
  <c r="L969" i="2"/>
  <c r="M969" i="2"/>
  <c r="N969" i="2"/>
  <c r="O969" i="2"/>
  <c r="L970" i="2"/>
  <c r="M970" i="2"/>
  <c r="N970" i="2"/>
  <c r="O970" i="2"/>
  <c r="L971" i="2"/>
  <c r="M971" i="2"/>
  <c r="N971" i="2"/>
  <c r="O971" i="2"/>
  <c r="L972" i="2"/>
  <c r="M972" i="2"/>
  <c r="N972" i="2"/>
  <c r="O972" i="2"/>
  <c r="L973" i="2"/>
  <c r="M973" i="2"/>
  <c r="N973" i="2"/>
  <c r="O973" i="2"/>
  <c r="L974" i="2"/>
  <c r="M974" i="2"/>
  <c r="N974" i="2"/>
  <c r="O974" i="2"/>
  <c r="L975" i="2"/>
  <c r="M975" i="2"/>
  <c r="N975" i="2"/>
  <c r="O975" i="2"/>
  <c r="L976" i="2"/>
  <c r="M976" i="2"/>
  <c r="N976" i="2"/>
  <c r="O976" i="2"/>
  <c r="L977" i="2"/>
  <c r="M977" i="2"/>
  <c r="N977" i="2"/>
  <c r="O977" i="2"/>
  <c r="L978" i="2"/>
  <c r="M978" i="2"/>
  <c r="N978" i="2"/>
  <c r="O978" i="2"/>
  <c r="L979" i="2"/>
  <c r="M979" i="2"/>
  <c r="N979" i="2"/>
  <c r="O979" i="2"/>
  <c r="L980" i="2"/>
  <c r="M980" i="2"/>
  <c r="N980" i="2"/>
  <c r="O980" i="2"/>
  <c r="L981" i="2"/>
  <c r="M981" i="2"/>
  <c r="N981" i="2"/>
  <c r="O981" i="2"/>
  <c r="L982" i="2"/>
  <c r="M982" i="2"/>
  <c r="N982" i="2"/>
  <c r="O982" i="2"/>
  <c r="L983" i="2"/>
  <c r="M983" i="2"/>
  <c r="N983" i="2"/>
  <c r="O983" i="2"/>
  <c r="L984" i="2"/>
  <c r="M984" i="2"/>
  <c r="N984" i="2"/>
  <c r="O984" i="2"/>
  <c r="L985" i="2"/>
  <c r="M985" i="2"/>
  <c r="N985" i="2"/>
  <c r="O985" i="2"/>
  <c r="L986" i="2"/>
  <c r="M986" i="2"/>
  <c r="N986" i="2"/>
  <c r="O986" i="2"/>
  <c r="L987" i="2"/>
  <c r="M987" i="2"/>
  <c r="N987" i="2"/>
  <c r="O987" i="2"/>
  <c r="L988" i="2"/>
  <c r="M988" i="2"/>
  <c r="N988" i="2"/>
  <c r="O988" i="2"/>
  <c r="L989" i="2"/>
  <c r="M989" i="2"/>
  <c r="N989" i="2"/>
  <c r="O989" i="2"/>
  <c r="L990" i="2"/>
  <c r="M990" i="2"/>
  <c r="N990" i="2"/>
  <c r="O990" i="2"/>
  <c r="L991" i="2"/>
  <c r="M991" i="2"/>
  <c r="N991" i="2"/>
  <c r="O991" i="2"/>
  <c r="L992" i="2"/>
  <c r="M992" i="2"/>
  <c r="N992" i="2"/>
  <c r="O992" i="2"/>
  <c r="L993" i="2"/>
  <c r="M993" i="2"/>
  <c r="N993" i="2"/>
  <c r="O993" i="2"/>
  <c r="L994" i="2"/>
  <c r="M994" i="2"/>
  <c r="N994" i="2"/>
  <c r="O994" i="2"/>
  <c r="L995" i="2"/>
  <c r="M995" i="2"/>
  <c r="N995" i="2"/>
  <c r="O995" i="2"/>
  <c r="L996" i="2"/>
  <c r="M996" i="2"/>
  <c r="N996" i="2"/>
  <c r="O996" i="2"/>
  <c r="L997" i="2"/>
  <c r="M997" i="2"/>
  <c r="N997" i="2"/>
  <c r="O997" i="2"/>
  <c r="L998" i="2"/>
  <c r="M998" i="2"/>
  <c r="N998" i="2"/>
  <c r="O998" i="2"/>
  <c r="L999" i="2"/>
  <c r="M999" i="2"/>
  <c r="N999" i="2"/>
  <c r="O999" i="2"/>
  <c r="L1000" i="2"/>
  <c r="M1000" i="2"/>
  <c r="N1000" i="2"/>
  <c r="O1000" i="2"/>
  <c r="L1001" i="2"/>
  <c r="M1001" i="2"/>
  <c r="N1001" i="2"/>
  <c r="O1001" i="2"/>
  <c r="L1002" i="2"/>
  <c r="M1002" i="2"/>
  <c r="N1002" i="2"/>
  <c r="O1002" i="2"/>
  <c r="L1003" i="2"/>
  <c r="M1003" i="2"/>
  <c r="N1003" i="2"/>
  <c r="O1003" i="2"/>
  <c r="L1004" i="2"/>
  <c r="M1004" i="2"/>
  <c r="N1004" i="2"/>
  <c r="O1004" i="2"/>
  <c r="L1005" i="2"/>
  <c r="M1005" i="2"/>
  <c r="N1005" i="2"/>
  <c r="O1005" i="2"/>
  <c r="L1006" i="2"/>
  <c r="M1006" i="2"/>
  <c r="N1006" i="2"/>
  <c r="O1006" i="2"/>
  <c r="L1007" i="2"/>
  <c r="M1007" i="2"/>
  <c r="N1007" i="2"/>
  <c r="O1007" i="2"/>
  <c r="L1008" i="2"/>
  <c r="M1008" i="2"/>
  <c r="N1008" i="2"/>
  <c r="O1008" i="2"/>
  <c r="L1009" i="2"/>
  <c r="M1009" i="2"/>
  <c r="N1009" i="2"/>
  <c r="O1009" i="2"/>
  <c r="L1010" i="2"/>
  <c r="M1010" i="2"/>
  <c r="N1010" i="2"/>
  <c r="O1010" i="2"/>
  <c r="L1011" i="2"/>
  <c r="M1011" i="2"/>
  <c r="N1011" i="2"/>
  <c r="O1011" i="2"/>
  <c r="L1012" i="2"/>
  <c r="M1012" i="2"/>
  <c r="N1012" i="2"/>
  <c r="O1012" i="2"/>
  <c r="L1013" i="2"/>
  <c r="M1013" i="2"/>
  <c r="N1013" i="2"/>
  <c r="O1013" i="2"/>
  <c r="L1014" i="2"/>
  <c r="M1014" i="2"/>
  <c r="N1014" i="2"/>
  <c r="O1014" i="2"/>
  <c r="L1015" i="2"/>
  <c r="M1015" i="2"/>
  <c r="N1015" i="2"/>
  <c r="O1015" i="2"/>
  <c r="L1016" i="2"/>
  <c r="M1016" i="2"/>
  <c r="N1016" i="2"/>
  <c r="O1016" i="2"/>
  <c r="L1017" i="2"/>
  <c r="M1017" i="2"/>
  <c r="N1017" i="2"/>
  <c r="O1017" i="2"/>
  <c r="L1018" i="2"/>
  <c r="M1018" i="2"/>
  <c r="N1018" i="2"/>
  <c r="O1018" i="2"/>
  <c r="L1019" i="2"/>
  <c r="M1019" i="2"/>
  <c r="N1019" i="2"/>
  <c r="O1019" i="2"/>
  <c r="L1020" i="2"/>
  <c r="M1020" i="2"/>
  <c r="N1020" i="2"/>
  <c r="O1020" i="2"/>
  <c r="L1021" i="2"/>
  <c r="M1021" i="2"/>
  <c r="N1021" i="2"/>
  <c r="O1021" i="2"/>
  <c r="L1022" i="2"/>
  <c r="M1022" i="2"/>
  <c r="N1022" i="2"/>
  <c r="O1022" i="2"/>
  <c r="L1023" i="2"/>
  <c r="M1023" i="2"/>
  <c r="N1023" i="2"/>
  <c r="O1023" i="2"/>
  <c r="L1024" i="2"/>
  <c r="M1024" i="2"/>
  <c r="N1024" i="2"/>
  <c r="O1024" i="2"/>
  <c r="L1025" i="2"/>
  <c r="M1025" i="2"/>
  <c r="N1025" i="2"/>
  <c r="O1025" i="2"/>
  <c r="L1026" i="2"/>
  <c r="M1026" i="2"/>
  <c r="N1026" i="2"/>
  <c r="O1026" i="2"/>
  <c r="L1027" i="2"/>
  <c r="M1027" i="2"/>
  <c r="N1027" i="2"/>
  <c r="O1027" i="2"/>
  <c r="L1028" i="2"/>
  <c r="M1028" i="2"/>
  <c r="N1028" i="2"/>
  <c r="O1028" i="2"/>
  <c r="L1029" i="2"/>
  <c r="M1029" i="2"/>
  <c r="N1029" i="2"/>
  <c r="O1029" i="2"/>
  <c r="L1030" i="2"/>
  <c r="M1030" i="2"/>
  <c r="N1030" i="2"/>
  <c r="O1030" i="2"/>
  <c r="L1031" i="2"/>
  <c r="M1031" i="2"/>
  <c r="N1031" i="2"/>
  <c r="O1031" i="2"/>
  <c r="L1032" i="2"/>
  <c r="M1032" i="2"/>
  <c r="N1032" i="2"/>
  <c r="O1032" i="2"/>
  <c r="L1033" i="2"/>
  <c r="M1033" i="2"/>
  <c r="N1033" i="2"/>
  <c r="O1033" i="2"/>
  <c r="L1034" i="2"/>
  <c r="M1034" i="2"/>
  <c r="N1034" i="2"/>
  <c r="O1034" i="2"/>
  <c r="L1035" i="2"/>
  <c r="M1035" i="2"/>
  <c r="N1035" i="2"/>
  <c r="O1035" i="2"/>
  <c r="L1036" i="2"/>
  <c r="M1036" i="2"/>
  <c r="N1036" i="2"/>
  <c r="O1036" i="2"/>
  <c r="L1037" i="2"/>
  <c r="M1037" i="2"/>
  <c r="N1037" i="2"/>
  <c r="O1037" i="2"/>
  <c r="L1038" i="2"/>
  <c r="M1038" i="2"/>
  <c r="N1038" i="2"/>
  <c r="O1038" i="2"/>
  <c r="L1039" i="2"/>
  <c r="M1039" i="2"/>
  <c r="N1039" i="2"/>
  <c r="O1039" i="2"/>
  <c r="L1040" i="2"/>
  <c r="M1040" i="2"/>
  <c r="N1040" i="2"/>
  <c r="O1040" i="2"/>
  <c r="L1041" i="2"/>
  <c r="M1041" i="2"/>
  <c r="N1041" i="2"/>
  <c r="O1041" i="2"/>
  <c r="L1042" i="2"/>
  <c r="M1042" i="2"/>
  <c r="N1042" i="2"/>
  <c r="O1042" i="2"/>
  <c r="L1043" i="2"/>
  <c r="M1043" i="2"/>
  <c r="N1043" i="2"/>
  <c r="O1043" i="2"/>
  <c r="L1044" i="2"/>
  <c r="M1044" i="2"/>
  <c r="N1044" i="2"/>
  <c r="O1044" i="2"/>
  <c r="L1045" i="2"/>
  <c r="M1045" i="2"/>
  <c r="N1045" i="2"/>
  <c r="O1045" i="2"/>
  <c r="L1046" i="2"/>
  <c r="M1046" i="2"/>
  <c r="N1046" i="2"/>
  <c r="O1046" i="2"/>
  <c r="L1047" i="2"/>
  <c r="M1047" i="2"/>
  <c r="N1047" i="2"/>
  <c r="O1047" i="2"/>
  <c r="L1048" i="2"/>
  <c r="M1048" i="2"/>
  <c r="N1048" i="2"/>
  <c r="O1048" i="2"/>
  <c r="L1049" i="2"/>
  <c r="M1049" i="2"/>
  <c r="N1049" i="2"/>
  <c r="O1049" i="2"/>
  <c r="L1050" i="2"/>
  <c r="M1050" i="2"/>
  <c r="N1050" i="2"/>
  <c r="O1050" i="2"/>
  <c r="L1051" i="2"/>
  <c r="M1051" i="2"/>
  <c r="N1051" i="2"/>
  <c r="O1051" i="2"/>
  <c r="L1052" i="2"/>
  <c r="M1052" i="2"/>
  <c r="N1052" i="2"/>
  <c r="O1052" i="2"/>
  <c r="L1053" i="2"/>
  <c r="M1053" i="2"/>
  <c r="N1053" i="2"/>
  <c r="O1053" i="2"/>
  <c r="L1054" i="2"/>
  <c r="M1054" i="2"/>
  <c r="N1054" i="2"/>
  <c r="O1054" i="2"/>
  <c r="L1055" i="2"/>
  <c r="M1055" i="2"/>
  <c r="N1055" i="2"/>
  <c r="O1055" i="2"/>
  <c r="L1056" i="2"/>
  <c r="M1056" i="2"/>
  <c r="N1056" i="2"/>
  <c r="O1056" i="2"/>
  <c r="L1057" i="2"/>
  <c r="M1057" i="2"/>
  <c r="N1057" i="2"/>
  <c r="O1057" i="2"/>
  <c r="L1058" i="2"/>
  <c r="M1058" i="2"/>
  <c r="N1058" i="2"/>
  <c r="O1058" i="2"/>
  <c r="L1059" i="2"/>
  <c r="M1059" i="2"/>
  <c r="N1059" i="2"/>
  <c r="O1059" i="2"/>
  <c r="L1060" i="2"/>
  <c r="M1060" i="2"/>
  <c r="N1060" i="2"/>
  <c r="O1060" i="2"/>
  <c r="L1061" i="2"/>
  <c r="M1061" i="2"/>
  <c r="N1061" i="2"/>
  <c r="O1061" i="2"/>
  <c r="L1062" i="2"/>
  <c r="M1062" i="2"/>
  <c r="N1062" i="2"/>
  <c r="O1062" i="2"/>
  <c r="L1063" i="2"/>
  <c r="M1063" i="2"/>
  <c r="N1063" i="2"/>
  <c r="O1063" i="2"/>
  <c r="L1064" i="2"/>
  <c r="M1064" i="2"/>
  <c r="N1064" i="2"/>
  <c r="O1064" i="2"/>
  <c r="L1065" i="2"/>
  <c r="M1065" i="2"/>
  <c r="N1065" i="2"/>
  <c r="O1065" i="2"/>
  <c r="L1066" i="2"/>
  <c r="M1066" i="2"/>
  <c r="N1066" i="2"/>
  <c r="O1066" i="2"/>
  <c r="L1067" i="2"/>
  <c r="M1067" i="2"/>
  <c r="N1067" i="2"/>
  <c r="O1067" i="2"/>
  <c r="L1068" i="2"/>
  <c r="M1068" i="2"/>
  <c r="N1068" i="2"/>
  <c r="O1068" i="2"/>
  <c r="L1069" i="2"/>
  <c r="M1069" i="2"/>
  <c r="N1069" i="2"/>
  <c r="O1069" i="2"/>
  <c r="L1070" i="2"/>
  <c r="M1070" i="2"/>
  <c r="N1070" i="2"/>
  <c r="O1070" i="2"/>
  <c r="L1071" i="2"/>
  <c r="M1071" i="2"/>
  <c r="N1071" i="2"/>
  <c r="O1071" i="2"/>
  <c r="L1072" i="2"/>
  <c r="M1072" i="2"/>
  <c r="N1072" i="2"/>
  <c r="O1072" i="2"/>
  <c r="L1073" i="2"/>
  <c r="M1073" i="2"/>
  <c r="N1073" i="2"/>
  <c r="O1073" i="2"/>
  <c r="L1074" i="2"/>
  <c r="M1074" i="2"/>
  <c r="N1074" i="2"/>
  <c r="O1074" i="2"/>
  <c r="L1075" i="2"/>
  <c r="M1075" i="2"/>
  <c r="N1075" i="2"/>
  <c r="O1075" i="2"/>
  <c r="L1076" i="2"/>
  <c r="M1076" i="2"/>
  <c r="N1076" i="2"/>
  <c r="O1076" i="2"/>
  <c r="L1077" i="2"/>
  <c r="M1077" i="2"/>
  <c r="N1077" i="2"/>
  <c r="O1077" i="2"/>
  <c r="L1078" i="2"/>
  <c r="M1078" i="2"/>
  <c r="N1078" i="2"/>
  <c r="O1078" i="2"/>
  <c r="L1079" i="2"/>
  <c r="M1079" i="2"/>
  <c r="N1079" i="2"/>
  <c r="O1079" i="2"/>
  <c r="L1080" i="2"/>
  <c r="M1080" i="2"/>
  <c r="N1080" i="2"/>
  <c r="O1080" i="2"/>
  <c r="L1081" i="2"/>
  <c r="M1081" i="2"/>
  <c r="N1081" i="2"/>
  <c r="O1081" i="2"/>
  <c r="L1082" i="2"/>
  <c r="M1082" i="2"/>
  <c r="N1082" i="2"/>
  <c r="O1082" i="2"/>
  <c r="L1083" i="2"/>
  <c r="M1083" i="2"/>
  <c r="N1083" i="2"/>
  <c r="O1083" i="2"/>
  <c r="L1084" i="2"/>
  <c r="M1084" i="2"/>
  <c r="N1084" i="2"/>
  <c r="O1084" i="2"/>
  <c r="L1085" i="2"/>
  <c r="M1085" i="2"/>
  <c r="N1085" i="2"/>
  <c r="O1085" i="2"/>
  <c r="L1086" i="2"/>
  <c r="M1086" i="2"/>
  <c r="N1086" i="2"/>
  <c r="O1086" i="2"/>
  <c r="L1087" i="2"/>
  <c r="M1087" i="2"/>
  <c r="N1087" i="2"/>
  <c r="O1087" i="2"/>
  <c r="L1088" i="2"/>
  <c r="M1088" i="2"/>
  <c r="N1088" i="2"/>
  <c r="O1088" i="2"/>
  <c r="L1089" i="2"/>
  <c r="M1089" i="2"/>
  <c r="N1089" i="2"/>
  <c r="O1089" i="2"/>
  <c r="L1090" i="2"/>
  <c r="M1090" i="2"/>
  <c r="N1090" i="2"/>
  <c r="O1090" i="2"/>
  <c r="L1091" i="2"/>
  <c r="M1091" i="2"/>
  <c r="N1091" i="2"/>
  <c r="O1091" i="2"/>
  <c r="L1092" i="2"/>
  <c r="M1092" i="2"/>
  <c r="N1092" i="2"/>
  <c r="O1092" i="2"/>
  <c r="L1093" i="2"/>
  <c r="M1093" i="2"/>
  <c r="N1093" i="2"/>
  <c r="O1093" i="2"/>
  <c r="L1094" i="2"/>
  <c r="M1094" i="2"/>
  <c r="N1094" i="2"/>
  <c r="O1094" i="2"/>
  <c r="L1095" i="2"/>
  <c r="M1095" i="2"/>
  <c r="N1095" i="2"/>
  <c r="O1095" i="2"/>
  <c r="L1096" i="2"/>
  <c r="M1096" i="2"/>
  <c r="N1096" i="2"/>
  <c r="O1096" i="2"/>
  <c r="L1097" i="2"/>
  <c r="M1097" i="2"/>
  <c r="N1097" i="2"/>
  <c r="O1097" i="2"/>
  <c r="L1098" i="2"/>
  <c r="M1098" i="2"/>
  <c r="N1098" i="2"/>
  <c r="O1098" i="2"/>
  <c r="L1099" i="2"/>
  <c r="M1099" i="2"/>
  <c r="N1099" i="2"/>
  <c r="O1099" i="2"/>
  <c r="L1100" i="2"/>
  <c r="M1100" i="2"/>
  <c r="N1100" i="2"/>
  <c r="O1100" i="2"/>
  <c r="L1101" i="2"/>
  <c r="M1101" i="2"/>
  <c r="N1101" i="2"/>
  <c r="O1101" i="2"/>
  <c r="L1102" i="2"/>
  <c r="M1102" i="2"/>
  <c r="N1102" i="2"/>
  <c r="O1102" i="2"/>
  <c r="L1103" i="2"/>
  <c r="M1103" i="2"/>
  <c r="N1103" i="2"/>
  <c r="O1103" i="2"/>
  <c r="L1104" i="2"/>
  <c r="M1104" i="2"/>
  <c r="N1104" i="2"/>
  <c r="O1104" i="2"/>
  <c r="L1105" i="2"/>
  <c r="M1105" i="2"/>
  <c r="N1105" i="2"/>
  <c r="O1105" i="2"/>
  <c r="L1106" i="2"/>
  <c r="M1106" i="2"/>
  <c r="N1106" i="2"/>
  <c r="O1106" i="2"/>
  <c r="L1107" i="2"/>
  <c r="M1107" i="2"/>
  <c r="N1107" i="2"/>
  <c r="O1107" i="2"/>
  <c r="L1108" i="2"/>
  <c r="M1108" i="2"/>
  <c r="N1108" i="2"/>
  <c r="O1108" i="2"/>
  <c r="L1109" i="2"/>
  <c r="M1109" i="2"/>
  <c r="N1109" i="2"/>
  <c r="O1109" i="2"/>
  <c r="L1110" i="2"/>
  <c r="M1110" i="2"/>
  <c r="N1110" i="2"/>
  <c r="O1110" i="2"/>
  <c r="L1111" i="2"/>
  <c r="M1111" i="2"/>
  <c r="N1111" i="2"/>
  <c r="O1111" i="2"/>
  <c r="L1112" i="2"/>
  <c r="M1112" i="2"/>
  <c r="N1112" i="2"/>
  <c r="O1112" i="2"/>
  <c r="L1113" i="2"/>
  <c r="M1113" i="2"/>
  <c r="N1113" i="2"/>
  <c r="O1113" i="2"/>
  <c r="L1114" i="2"/>
  <c r="M1114" i="2"/>
  <c r="N1114" i="2"/>
  <c r="O1114" i="2"/>
  <c r="L1115" i="2"/>
  <c r="M1115" i="2"/>
  <c r="N1115" i="2"/>
  <c r="O1115" i="2"/>
  <c r="L1116" i="2"/>
  <c r="M1116" i="2"/>
  <c r="N1116" i="2"/>
  <c r="O1116" i="2"/>
  <c r="L1117" i="2"/>
  <c r="M1117" i="2"/>
  <c r="N1117" i="2"/>
  <c r="O1117" i="2"/>
  <c r="L1118" i="2"/>
  <c r="M1118" i="2"/>
  <c r="N1118" i="2"/>
  <c r="O1118" i="2"/>
  <c r="L1119" i="2"/>
  <c r="M1119" i="2"/>
  <c r="N1119" i="2"/>
  <c r="O1119" i="2"/>
  <c r="L1120" i="2"/>
  <c r="M1120" i="2"/>
  <c r="N1120" i="2"/>
  <c r="O1120" i="2"/>
  <c r="L1121" i="2"/>
  <c r="M1121" i="2"/>
  <c r="N1121" i="2"/>
  <c r="O1121" i="2"/>
  <c r="L1122" i="2"/>
  <c r="M1122" i="2"/>
  <c r="N1122" i="2"/>
  <c r="O1122" i="2"/>
  <c r="L1123" i="2"/>
  <c r="M1123" i="2"/>
  <c r="N1123" i="2"/>
  <c r="O1123" i="2"/>
  <c r="L1124" i="2"/>
  <c r="M1124" i="2"/>
  <c r="N1124" i="2"/>
  <c r="O1124" i="2"/>
  <c r="L1125" i="2"/>
  <c r="M1125" i="2"/>
  <c r="N1125" i="2"/>
  <c r="O1125" i="2"/>
  <c r="L1126" i="2"/>
  <c r="M1126" i="2"/>
  <c r="N1126" i="2"/>
  <c r="O1126" i="2"/>
  <c r="L1127" i="2"/>
  <c r="M1127" i="2"/>
  <c r="N1127" i="2"/>
  <c r="O1127" i="2"/>
  <c r="L1128" i="2"/>
  <c r="M1128" i="2"/>
  <c r="N1128" i="2"/>
  <c r="O1128" i="2"/>
  <c r="L1129" i="2"/>
  <c r="M1129" i="2"/>
  <c r="N1129" i="2"/>
  <c r="O1129" i="2"/>
  <c r="L1130" i="2"/>
  <c r="M1130" i="2"/>
  <c r="N1130" i="2"/>
  <c r="O1130" i="2"/>
  <c r="L1131" i="2"/>
  <c r="M1131" i="2"/>
  <c r="N1131" i="2"/>
  <c r="O1131" i="2"/>
  <c r="L1132" i="2"/>
  <c r="M1132" i="2"/>
  <c r="N1132" i="2"/>
  <c r="O1132" i="2"/>
  <c r="L1133" i="2"/>
  <c r="M1133" i="2"/>
  <c r="N1133" i="2"/>
  <c r="O1133" i="2"/>
  <c r="L1134" i="2"/>
  <c r="M1134" i="2"/>
  <c r="N1134" i="2"/>
  <c r="O1134" i="2"/>
  <c r="L1135" i="2"/>
  <c r="M1135" i="2"/>
  <c r="N1135" i="2"/>
  <c r="O1135" i="2"/>
  <c r="L1136" i="2"/>
  <c r="M1136" i="2"/>
  <c r="N1136" i="2"/>
  <c r="O1136" i="2"/>
  <c r="L1137" i="2"/>
  <c r="M1137" i="2"/>
  <c r="N1137" i="2"/>
  <c r="O1137" i="2"/>
  <c r="L1138" i="2"/>
  <c r="M1138" i="2"/>
  <c r="N1138" i="2"/>
  <c r="O1138" i="2"/>
  <c r="L1139" i="2"/>
  <c r="M1139" i="2"/>
  <c r="N1139" i="2"/>
  <c r="O1139" i="2"/>
  <c r="L1140" i="2"/>
  <c r="M1140" i="2"/>
  <c r="N1140" i="2"/>
  <c r="O1140" i="2"/>
  <c r="L1141" i="2"/>
  <c r="M1141" i="2"/>
  <c r="N1141" i="2"/>
  <c r="O1141" i="2"/>
  <c r="L1142" i="2"/>
  <c r="M1142" i="2"/>
  <c r="N1142" i="2"/>
  <c r="O1142" i="2"/>
  <c r="L1143" i="2"/>
  <c r="M1143" i="2"/>
  <c r="N1143" i="2"/>
  <c r="O1143" i="2"/>
  <c r="L1144" i="2"/>
  <c r="M1144" i="2"/>
  <c r="N1144" i="2"/>
  <c r="O1144" i="2"/>
  <c r="L1145" i="2"/>
  <c r="M1145" i="2"/>
  <c r="N1145" i="2"/>
  <c r="O1145" i="2"/>
  <c r="L1146" i="2"/>
  <c r="M1146" i="2"/>
  <c r="N1146" i="2"/>
  <c r="O1146" i="2"/>
  <c r="L1147" i="2"/>
  <c r="M1147" i="2"/>
  <c r="N1147" i="2"/>
  <c r="O1147" i="2"/>
  <c r="L1148" i="2"/>
  <c r="M1148" i="2"/>
  <c r="N1148" i="2"/>
  <c r="O1148" i="2"/>
  <c r="L1149" i="2"/>
  <c r="M1149" i="2"/>
  <c r="N1149" i="2"/>
  <c r="O1149" i="2"/>
  <c r="L1150" i="2"/>
  <c r="M1150" i="2"/>
  <c r="N1150" i="2"/>
  <c r="O1150" i="2"/>
  <c r="L1151" i="2"/>
  <c r="M1151" i="2"/>
  <c r="N1151" i="2"/>
  <c r="O1151" i="2"/>
  <c r="L1152" i="2"/>
  <c r="M1152" i="2"/>
  <c r="N1152" i="2"/>
  <c r="O1152" i="2"/>
  <c r="L1153" i="2"/>
  <c r="M1153" i="2"/>
  <c r="N1153" i="2"/>
  <c r="O1153" i="2"/>
  <c r="L1154" i="2"/>
  <c r="M1154" i="2"/>
  <c r="N1154" i="2"/>
  <c r="O1154" i="2"/>
  <c r="L1155" i="2"/>
  <c r="M1155" i="2"/>
  <c r="N1155" i="2"/>
  <c r="O1155" i="2"/>
  <c r="L1156" i="2"/>
  <c r="M1156" i="2"/>
  <c r="N1156" i="2"/>
  <c r="O1156" i="2"/>
  <c r="L1157" i="2"/>
  <c r="M1157" i="2"/>
  <c r="N1157" i="2"/>
  <c r="O1157" i="2"/>
  <c r="L1158" i="2"/>
  <c r="M1158" i="2"/>
  <c r="N1158" i="2"/>
  <c r="O1158" i="2"/>
  <c r="L1159" i="2"/>
  <c r="M1159" i="2"/>
  <c r="N1159" i="2"/>
  <c r="O1159" i="2"/>
  <c r="L1160" i="2"/>
  <c r="M1160" i="2"/>
  <c r="N1160" i="2"/>
  <c r="O1160" i="2"/>
  <c r="L1161" i="2"/>
  <c r="M1161" i="2"/>
  <c r="N1161" i="2"/>
  <c r="O1161" i="2"/>
  <c r="L1162" i="2"/>
  <c r="M1162" i="2"/>
  <c r="N1162" i="2"/>
  <c r="O1162" i="2"/>
  <c r="L1163" i="2"/>
  <c r="M1163" i="2"/>
  <c r="N1163" i="2"/>
  <c r="O1163" i="2"/>
  <c r="L1164" i="2"/>
  <c r="M1164" i="2"/>
  <c r="N1164" i="2"/>
  <c r="O1164" i="2"/>
  <c r="L1165" i="2"/>
  <c r="M1165" i="2"/>
  <c r="N1165" i="2"/>
  <c r="O1165" i="2"/>
  <c r="L1166" i="2"/>
  <c r="M1166" i="2"/>
  <c r="N1166" i="2"/>
  <c r="O1166" i="2"/>
  <c r="L1167" i="2"/>
  <c r="M1167" i="2"/>
  <c r="N1167" i="2"/>
  <c r="O1167" i="2"/>
  <c r="L1168" i="2"/>
  <c r="M1168" i="2"/>
  <c r="N1168" i="2"/>
  <c r="O1168" i="2"/>
  <c r="L1169" i="2"/>
  <c r="M1169" i="2"/>
  <c r="N1169" i="2"/>
  <c r="O1169" i="2"/>
  <c r="L1170" i="2"/>
  <c r="M1170" i="2"/>
  <c r="N1170" i="2"/>
  <c r="O1170" i="2"/>
  <c r="L1171" i="2"/>
  <c r="M1171" i="2"/>
  <c r="N1171" i="2"/>
  <c r="O1171" i="2"/>
  <c r="L1172" i="2"/>
  <c r="M1172" i="2"/>
  <c r="N1172" i="2"/>
  <c r="O1172" i="2"/>
  <c r="L1173" i="2"/>
  <c r="M1173" i="2"/>
  <c r="N1173" i="2"/>
  <c r="O1173" i="2"/>
  <c r="L1174" i="2"/>
  <c r="M1174" i="2"/>
  <c r="N1174" i="2"/>
  <c r="O1174" i="2"/>
  <c r="L1175" i="2"/>
  <c r="M1175" i="2"/>
  <c r="N1175" i="2"/>
  <c r="O1175" i="2"/>
  <c r="L1176" i="2"/>
  <c r="M1176" i="2"/>
  <c r="N1176" i="2"/>
  <c r="O1176" i="2"/>
  <c r="L1177" i="2"/>
  <c r="M1177" i="2"/>
  <c r="N1177" i="2"/>
  <c r="O1177" i="2"/>
  <c r="L1178" i="2"/>
  <c r="M1178" i="2"/>
  <c r="N1178" i="2"/>
  <c r="O1178" i="2"/>
  <c r="L1179" i="2"/>
  <c r="M1179" i="2"/>
  <c r="N1179" i="2"/>
  <c r="O1179" i="2"/>
  <c r="L1180" i="2"/>
  <c r="M1180" i="2"/>
  <c r="N1180" i="2"/>
  <c r="O1180" i="2"/>
  <c r="L1181" i="2"/>
  <c r="M1181" i="2"/>
  <c r="N1181" i="2"/>
  <c r="O1181" i="2"/>
  <c r="L1182" i="2"/>
  <c r="M1182" i="2"/>
  <c r="N1182" i="2"/>
  <c r="O1182" i="2"/>
  <c r="L1183" i="2"/>
  <c r="M1183" i="2"/>
  <c r="N1183" i="2"/>
  <c r="O1183" i="2"/>
  <c r="L1184" i="2"/>
  <c r="M1184" i="2"/>
  <c r="N1184" i="2"/>
  <c r="O1184" i="2"/>
  <c r="L1185" i="2"/>
  <c r="M1185" i="2"/>
  <c r="N1185" i="2"/>
  <c r="O1185" i="2"/>
  <c r="L1186" i="2"/>
  <c r="M1186" i="2"/>
  <c r="N1186" i="2"/>
  <c r="O1186" i="2"/>
  <c r="L1187" i="2"/>
  <c r="M1187" i="2"/>
  <c r="N1187" i="2"/>
  <c r="O1187" i="2"/>
  <c r="L1188" i="2"/>
  <c r="M1188" i="2"/>
  <c r="N1188" i="2"/>
  <c r="O1188" i="2"/>
  <c r="L1189" i="2"/>
  <c r="M1189" i="2"/>
  <c r="N1189" i="2"/>
  <c r="O1189" i="2"/>
  <c r="L1190" i="2"/>
  <c r="M1190" i="2"/>
  <c r="N1190" i="2"/>
  <c r="O1190" i="2"/>
  <c r="L1191" i="2"/>
  <c r="M1191" i="2"/>
  <c r="N1191" i="2"/>
  <c r="O1191" i="2"/>
  <c r="L1192" i="2"/>
  <c r="M1192" i="2"/>
  <c r="N1192" i="2"/>
  <c r="O1192" i="2"/>
  <c r="L1193" i="2"/>
  <c r="M1193" i="2"/>
  <c r="N1193" i="2"/>
  <c r="O1193" i="2"/>
  <c r="L1194" i="2"/>
  <c r="M1194" i="2"/>
  <c r="N1194" i="2"/>
  <c r="O1194" i="2"/>
  <c r="L1195" i="2"/>
  <c r="M1195" i="2"/>
  <c r="N1195" i="2"/>
  <c r="O1195" i="2"/>
  <c r="L1196" i="2"/>
  <c r="M1196" i="2"/>
  <c r="N1196" i="2"/>
  <c r="O1196" i="2"/>
  <c r="L1197" i="2"/>
  <c r="M1197" i="2"/>
  <c r="N1197" i="2"/>
  <c r="O1197" i="2"/>
  <c r="L1198" i="2"/>
  <c r="M1198" i="2"/>
  <c r="N1198" i="2"/>
  <c r="O1198" i="2"/>
  <c r="L1199" i="2"/>
  <c r="M1199" i="2"/>
  <c r="N1199" i="2"/>
  <c r="O1199" i="2"/>
  <c r="L1200" i="2"/>
  <c r="M1200" i="2"/>
  <c r="N1200" i="2"/>
  <c r="O1200" i="2"/>
  <c r="L1201" i="2"/>
  <c r="M1201" i="2"/>
  <c r="N1201" i="2"/>
  <c r="O1201" i="2"/>
  <c r="L1202" i="2"/>
  <c r="M1202" i="2"/>
  <c r="N1202" i="2"/>
  <c r="O1202" i="2"/>
  <c r="L1203" i="2"/>
  <c r="M1203" i="2"/>
  <c r="N1203" i="2"/>
  <c r="O1203" i="2"/>
  <c r="L1204" i="2"/>
  <c r="M1204" i="2"/>
  <c r="N1204" i="2"/>
  <c r="O1204" i="2"/>
  <c r="L1205" i="2"/>
  <c r="M1205" i="2"/>
  <c r="N1205" i="2"/>
  <c r="O1205" i="2"/>
  <c r="L1206" i="2"/>
  <c r="M1206" i="2"/>
  <c r="N1206" i="2"/>
  <c r="O1206" i="2"/>
  <c r="L1207" i="2"/>
  <c r="M1207" i="2"/>
  <c r="N1207" i="2"/>
  <c r="O1207" i="2"/>
  <c r="L1208" i="2"/>
  <c r="M1208" i="2"/>
  <c r="N1208" i="2"/>
  <c r="O1208" i="2"/>
  <c r="L1209" i="2"/>
  <c r="M1209" i="2"/>
  <c r="N1209" i="2"/>
  <c r="O1209" i="2"/>
  <c r="L1210" i="2"/>
  <c r="M1210" i="2"/>
  <c r="N1210" i="2"/>
  <c r="O1210" i="2"/>
  <c r="L1211" i="2"/>
  <c r="M1211" i="2"/>
  <c r="N1211" i="2"/>
  <c r="O1211" i="2"/>
  <c r="L1212" i="2"/>
  <c r="M1212" i="2"/>
  <c r="N1212" i="2"/>
  <c r="O1212" i="2"/>
  <c r="L1213" i="2"/>
  <c r="M1213" i="2"/>
  <c r="N1213" i="2"/>
  <c r="O1213" i="2"/>
  <c r="L1214" i="2"/>
  <c r="M1214" i="2"/>
  <c r="N1214" i="2"/>
  <c r="O1214" i="2"/>
  <c r="L1215" i="2"/>
  <c r="M1215" i="2"/>
  <c r="N1215" i="2"/>
  <c r="O1215" i="2"/>
  <c r="L1216" i="2"/>
  <c r="M1216" i="2"/>
  <c r="N1216" i="2"/>
  <c r="O1216" i="2"/>
  <c r="L1217" i="2"/>
  <c r="M1217" i="2"/>
  <c r="N1217" i="2"/>
  <c r="O1217" i="2"/>
  <c r="L1218" i="2"/>
  <c r="M1218" i="2"/>
  <c r="N1218" i="2"/>
  <c r="O1218" i="2"/>
  <c r="L1219" i="2"/>
  <c r="M1219" i="2"/>
  <c r="N1219" i="2"/>
  <c r="O1219" i="2"/>
  <c r="L1220" i="2"/>
  <c r="M1220" i="2"/>
  <c r="N1220" i="2"/>
  <c r="O1220" i="2"/>
  <c r="L1221" i="2"/>
  <c r="M1221" i="2"/>
  <c r="N1221" i="2"/>
  <c r="O1221" i="2"/>
  <c r="L1222" i="2"/>
  <c r="M1222" i="2"/>
  <c r="N1222" i="2"/>
  <c r="O1222" i="2"/>
  <c r="L1223" i="2"/>
  <c r="M1223" i="2"/>
  <c r="N1223" i="2"/>
  <c r="O1223" i="2"/>
  <c r="L1224" i="2"/>
  <c r="M1224" i="2"/>
  <c r="N1224" i="2"/>
  <c r="O1224" i="2"/>
  <c r="L1225" i="2"/>
  <c r="M1225" i="2"/>
  <c r="N1225" i="2"/>
  <c r="O1225" i="2"/>
  <c r="L1226" i="2"/>
  <c r="M1226" i="2"/>
  <c r="N1226" i="2"/>
  <c r="O1226" i="2"/>
  <c r="L1227" i="2"/>
  <c r="M1227" i="2"/>
  <c r="N1227" i="2"/>
  <c r="O1227" i="2"/>
  <c r="L1228" i="2"/>
  <c r="M1228" i="2"/>
  <c r="N1228" i="2"/>
  <c r="O1228" i="2"/>
  <c r="L1229" i="2"/>
  <c r="M1229" i="2"/>
  <c r="N1229" i="2"/>
  <c r="O1229" i="2"/>
  <c r="L1230" i="2"/>
  <c r="M1230" i="2"/>
  <c r="N1230" i="2"/>
  <c r="O1230" i="2"/>
  <c r="L1231" i="2"/>
  <c r="M1231" i="2"/>
  <c r="N1231" i="2"/>
  <c r="O1231" i="2"/>
  <c r="L1232" i="2"/>
  <c r="M1232" i="2"/>
  <c r="N1232" i="2"/>
  <c r="O1232" i="2"/>
  <c r="L1233" i="2"/>
  <c r="M1233" i="2"/>
  <c r="N1233" i="2"/>
  <c r="O1233" i="2"/>
  <c r="L1234" i="2"/>
  <c r="M1234" i="2"/>
  <c r="N1234" i="2"/>
  <c r="O1234" i="2"/>
  <c r="L1235" i="2"/>
  <c r="M1235" i="2"/>
  <c r="N1235" i="2"/>
  <c r="O1235" i="2"/>
  <c r="L1236" i="2"/>
  <c r="M1236" i="2"/>
  <c r="N1236" i="2"/>
  <c r="O1236" i="2"/>
  <c r="L1237" i="2"/>
  <c r="M1237" i="2"/>
  <c r="N1237" i="2"/>
  <c r="O1237" i="2"/>
  <c r="L1238" i="2"/>
  <c r="M1238" i="2"/>
  <c r="N1238" i="2"/>
  <c r="O1238" i="2"/>
  <c r="L1239" i="2"/>
  <c r="M1239" i="2"/>
  <c r="N1239" i="2"/>
  <c r="O1239" i="2"/>
  <c r="L1240" i="2"/>
  <c r="M1240" i="2"/>
  <c r="N1240" i="2"/>
  <c r="O1240" i="2"/>
  <c r="L1241" i="2"/>
  <c r="M1241" i="2"/>
  <c r="N1241" i="2"/>
  <c r="O1241" i="2"/>
  <c r="L1242" i="2"/>
  <c r="M1242" i="2"/>
  <c r="N1242" i="2"/>
  <c r="O1242" i="2"/>
  <c r="L1243" i="2"/>
  <c r="M1243" i="2"/>
  <c r="N1243" i="2"/>
  <c r="O1243" i="2"/>
  <c r="L1244" i="2"/>
  <c r="M1244" i="2"/>
  <c r="N1244" i="2"/>
  <c r="O1244" i="2"/>
  <c r="L1245" i="2"/>
  <c r="M1245" i="2"/>
  <c r="N1245" i="2"/>
  <c r="O1245" i="2"/>
  <c r="L1246" i="2"/>
  <c r="M1246" i="2"/>
  <c r="N1246" i="2"/>
  <c r="O1246" i="2"/>
  <c r="L1247" i="2"/>
  <c r="M1247" i="2"/>
  <c r="N1247" i="2"/>
  <c r="O1247" i="2"/>
  <c r="L1248" i="2"/>
  <c r="M1248" i="2"/>
  <c r="N1248" i="2"/>
  <c r="O1248" i="2"/>
  <c r="L1249" i="2"/>
  <c r="M1249" i="2"/>
  <c r="N1249" i="2"/>
  <c r="O1249" i="2"/>
  <c r="L1250" i="2"/>
  <c r="M1250" i="2"/>
  <c r="N1250" i="2"/>
  <c r="O1250" i="2"/>
  <c r="L1251" i="2"/>
  <c r="M1251" i="2"/>
  <c r="N1251" i="2"/>
  <c r="O1251" i="2"/>
  <c r="L1252" i="2"/>
  <c r="M1252" i="2"/>
  <c r="N1252" i="2"/>
  <c r="O1252" i="2"/>
  <c r="L1253" i="2"/>
  <c r="M1253" i="2"/>
  <c r="N1253" i="2"/>
  <c r="O1253" i="2"/>
  <c r="L1254" i="2"/>
  <c r="M1254" i="2"/>
  <c r="N1254" i="2"/>
  <c r="O1254" i="2"/>
  <c r="L1255" i="2"/>
  <c r="M1255" i="2"/>
  <c r="N1255" i="2"/>
  <c r="O1255" i="2"/>
  <c r="L1256" i="2"/>
  <c r="M1256" i="2"/>
  <c r="N1256" i="2"/>
  <c r="O1256" i="2"/>
  <c r="L1257" i="2"/>
  <c r="M1257" i="2"/>
  <c r="N1257" i="2"/>
  <c r="O1257" i="2"/>
  <c r="L1258" i="2"/>
  <c r="M1258" i="2"/>
  <c r="N1258" i="2"/>
  <c r="O1258" i="2"/>
  <c r="L1259" i="2"/>
  <c r="M1259" i="2"/>
  <c r="N1259" i="2"/>
  <c r="O1259" i="2"/>
  <c r="L1260" i="2"/>
  <c r="M1260" i="2"/>
  <c r="N1260" i="2"/>
  <c r="O1260" i="2"/>
  <c r="L1261" i="2"/>
  <c r="M1261" i="2"/>
  <c r="N1261" i="2"/>
  <c r="O1261" i="2"/>
  <c r="L1262" i="2"/>
  <c r="M1262" i="2"/>
  <c r="N1262" i="2"/>
  <c r="O1262" i="2"/>
  <c r="L1263" i="2"/>
  <c r="M1263" i="2"/>
  <c r="N1263" i="2"/>
  <c r="O1263" i="2"/>
  <c r="L1264" i="2"/>
  <c r="M1264" i="2"/>
  <c r="N1264" i="2"/>
  <c r="O1264" i="2"/>
  <c r="L1265" i="2"/>
  <c r="M1265" i="2"/>
  <c r="N1265" i="2"/>
  <c r="O1265" i="2"/>
  <c r="L1266" i="2"/>
  <c r="M1266" i="2"/>
  <c r="N1266" i="2"/>
  <c r="O1266" i="2"/>
  <c r="L1267" i="2"/>
  <c r="M1267" i="2"/>
  <c r="N1267" i="2"/>
  <c r="O1267" i="2"/>
  <c r="L1268" i="2"/>
  <c r="M1268" i="2"/>
  <c r="N1268" i="2"/>
  <c r="O1268" i="2"/>
  <c r="L1269" i="2"/>
  <c r="M1269" i="2"/>
  <c r="N1269" i="2"/>
  <c r="O1269" i="2"/>
  <c r="L1270" i="2"/>
  <c r="M1270" i="2"/>
  <c r="N1270" i="2"/>
  <c r="O1270" i="2"/>
  <c r="L1271" i="2"/>
  <c r="M1271" i="2"/>
  <c r="N1271" i="2"/>
  <c r="O1271" i="2"/>
  <c r="L1272" i="2"/>
  <c r="M1272" i="2"/>
  <c r="N1272" i="2"/>
  <c r="O1272" i="2"/>
  <c r="L1273" i="2"/>
  <c r="M1273" i="2"/>
  <c r="N1273" i="2"/>
  <c r="O1273" i="2"/>
  <c r="L1274" i="2"/>
  <c r="M1274" i="2"/>
  <c r="N1274" i="2"/>
  <c r="O1274" i="2"/>
  <c r="L1275" i="2"/>
  <c r="M1275" i="2"/>
  <c r="N1275" i="2"/>
  <c r="O1275" i="2"/>
  <c r="L1276" i="2"/>
  <c r="M1276" i="2"/>
  <c r="N1276" i="2"/>
  <c r="O1276" i="2"/>
  <c r="L1277" i="2"/>
  <c r="M1277" i="2"/>
  <c r="N1277" i="2"/>
  <c r="O1277" i="2"/>
  <c r="L1278" i="2"/>
  <c r="M1278" i="2"/>
  <c r="N1278" i="2"/>
  <c r="O1278" i="2"/>
  <c r="L1279" i="2"/>
  <c r="M1279" i="2"/>
  <c r="N1279" i="2"/>
  <c r="O1279" i="2"/>
  <c r="L1280" i="2"/>
  <c r="M1280" i="2"/>
  <c r="N1280" i="2"/>
  <c r="O1280" i="2"/>
  <c r="L1281" i="2"/>
  <c r="M1281" i="2"/>
  <c r="N1281" i="2"/>
  <c r="O1281" i="2"/>
  <c r="L1282" i="2"/>
  <c r="M1282" i="2"/>
  <c r="N1282" i="2"/>
  <c r="O1282" i="2"/>
  <c r="L1283" i="2"/>
  <c r="M1283" i="2"/>
  <c r="N1283" i="2"/>
  <c r="O1283" i="2"/>
  <c r="L1284" i="2"/>
  <c r="M1284" i="2"/>
  <c r="N1284" i="2"/>
  <c r="O1284" i="2"/>
  <c r="L1285" i="2"/>
  <c r="M1285" i="2"/>
  <c r="N1285" i="2"/>
  <c r="O1285" i="2"/>
  <c r="L1286" i="2"/>
  <c r="M1286" i="2"/>
  <c r="N1286" i="2"/>
  <c r="O1286" i="2"/>
  <c r="L1287" i="2"/>
  <c r="M1287" i="2"/>
  <c r="N1287" i="2"/>
  <c r="O1287" i="2"/>
  <c r="L1288" i="2"/>
  <c r="M1288" i="2"/>
  <c r="N1288" i="2"/>
  <c r="O1288" i="2"/>
  <c r="L1289" i="2"/>
  <c r="M1289" i="2"/>
  <c r="N1289" i="2"/>
  <c r="O1289" i="2"/>
  <c r="L1290" i="2"/>
  <c r="M1290" i="2"/>
  <c r="N1290" i="2"/>
  <c r="O1290" i="2"/>
  <c r="L1291" i="2"/>
  <c r="M1291" i="2"/>
  <c r="N1291" i="2"/>
  <c r="O1291" i="2"/>
  <c r="L1292" i="2"/>
  <c r="M1292" i="2"/>
  <c r="N1292" i="2"/>
  <c r="O1292" i="2"/>
  <c r="L1293" i="2"/>
  <c r="M1293" i="2"/>
  <c r="N1293" i="2"/>
  <c r="O1293" i="2"/>
  <c r="L1294" i="2"/>
  <c r="M1294" i="2"/>
  <c r="N1294" i="2"/>
  <c r="O1294" i="2"/>
  <c r="L1295" i="2"/>
  <c r="M1295" i="2"/>
  <c r="N1295" i="2"/>
  <c r="O1295" i="2"/>
  <c r="L1296" i="2"/>
  <c r="M1296" i="2"/>
  <c r="N1296" i="2"/>
  <c r="O1296" i="2"/>
  <c r="L1297" i="2"/>
  <c r="M1297" i="2"/>
  <c r="N1297" i="2"/>
  <c r="O1297" i="2"/>
  <c r="L1298" i="2"/>
  <c r="M1298" i="2"/>
  <c r="N1298" i="2"/>
  <c r="O1298" i="2"/>
  <c r="L1299" i="2"/>
  <c r="M1299" i="2"/>
  <c r="N1299" i="2"/>
  <c r="O1299" i="2"/>
  <c r="L1300" i="2"/>
  <c r="M1300" i="2"/>
  <c r="N1300" i="2"/>
  <c r="O1300" i="2"/>
  <c r="L1301" i="2"/>
  <c r="M1301" i="2"/>
  <c r="N1301" i="2"/>
  <c r="O1301" i="2"/>
  <c r="L1302" i="2"/>
  <c r="M1302" i="2"/>
  <c r="N1302" i="2"/>
  <c r="O1302" i="2"/>
  <c r="L1303" i="2"/>
  <c r="M1303" i="2"/>
  <c r="N1303" i="2"/>
  <c r="O1303" i="2"/>
  <c r="L1304" i="2"/>
  <c r="M1304" i="2"/>
  <c r="N1304" i="2"/>
  <c r="O1304" i="2"/>
  <c r="L1305" i="2"/>
  <c r="M1305" i="2"/>
  <c r="N1305" i="2"/>
  <c r="O1305" i="2"/>
  <c r="L1306" i="2"/>
  <c r="M1306" i="2"/>
  <c r="N1306" i="2"/>
  <c r="O1306" i="2"/>
  <c r="L1307" i="2"/>
  <c r="M1307" i="2"/>
  <c r="N1307" i="2"/>
  <c r="O1307" i="2"/>
  <c r="L1308" i="2"/>
  <c r="M1308" i="2"/>
  <c r="N1308" i="2"/>
  <c r="O1308" i="2"/>
  <c r="L1309" i="2"/>
  <c r="M1309" i="2"/>
  <c r="N1309" i="2"/>
  <c r="O1309" i="2"/>
  <c r="L1310" i="2"/>
  <c r="M1310" i="2"/>
  <c r="N1310" i="2"/>
  <c r="O1310" i="2"/>
  <c r="L1311" i="2"/>
  <c r="M1311" i="2"/>
  <c r="N1311" i="2"/>
  <c r="O1311" i="2"/>
  <c r="L1312" i="2"/>
  <c r="M1312" i="2"/>
  <c r="N1312" i="2"/>
  <c r="O1312" i="2"/>
  <c r="L1313" i="2"/>
  <c r="M1313" i="2"/>
  <c r="N1313" i="2"/>
  <c r="O1313" i="2"/>
  <c r="L1314" i="2"/>
  <c r="M1314" i="2"/>
  <c r="N1314" i="2"/>
  <c r="O1314" i="2"/>
  <c r="L1315" i="2"/>
  <c r="M1315" i="2"/>
  <c r="N1315" i="2"/>
  <c r="O1315" i="2"/>
  <c r="L1316" i="2"/>
  <c r="M1316" i="2"/>
  <c r="N1316" i="2"/>
  <c r="O1316" i="2"/>
  <c r="L1317" i="2"/>
  <c r="M1317" i="2"/>
  <c r="N1317" i="2"/>
  <c r="O1317" i="2"/>
  <c r="L1318" i="2"/>
  <c r="M1318" i="2"/>
  <c r="N1318" i="2"/>
  <c r="O1318" i="2"/>
  <c r="L1319" i="2"/>
  <c r="M1319" i="2"/>
  <c r="N1319" i="2"/>
  <c r="O1319" i="2"/>
  <c r="L1320" i="2"/>
  <c r="M1320" i="2"/>
  <c r="N1320" i="2"/>
  <c r="O1320" i="2"/>
  <c r="L1321" i="2"/>
  <c r="M1321" i="2"/>
  <c r="N1321" i="2"/>
  <c r="O1321" i="2"/>
  <c r="L1322" i="2"/>
  <c r="M1322" i="2"/>
  <c r="N1322" i="2"/>
  <c r="O1322" i="2"/>
  <c r="L1323" i="2"/>
  <c r="M1323" i="2"/>
  <c r="N1323" i="2"/>
  <c r="O1323" i="2"/>
  <c r="L1324" i="2"/>
  <c r="M1324" i="2"/>
  <c r="N1324" i="2"/>
  <c r="O1324" i="2"/>
  <c r="L1325" i="2"/>
  <c r="M1325" i="2"/>
  <c r="N1325" i="2"/>
  <c r="O1325" i="2"/>
  <c r="L1326" i="2"/>
  <c r="M1326" i="2"/>
  <c r="N1326" i="2"/>
  <c r="O1326" i="2"/>
  <c r="L1327" i="2"/>
  <c r="M1327" i="2"/>
  <c r="N1327" i="2"/>
  <c r="O1327" i="2"/>
  <c r="L1328" i="2"/>
  <c r="M1328" i="2"/>
  <c r="N1328" i="2"/>
  <c r="O1328" i="2"/>
  <c r="L1329" i="2"/>
  <c r="M1329" i="2"/>
  <c r="N1329" i="2"/>
  <c r="O1329" i="2"/>
  <c r="L1330" i="2"/>
  <c r="M1330" i="2"/>
  <c r="N1330" i="2"/>
  <c r="O1330" i="2"/>
  <c r="L1331" i="2"/>
  <c r="M1331" i="2"/>
  <c r="N1331" i="2"/>
  <c r="O1331" i="2"/>
  <c r="L1332" i="2"/>
  <c r="M1332" i="2"/>
  <c r="N1332" i="2"/>
  <c r="O1332" i="2"/>
  <c r="L1333" i="2"/>
  <c r="M1333" i="2"/>
  <c r="N1333" i="2"/>
  <c r="O1333" i="2"/>
  <c r="L1334" i="2"/>
  <c r="M1334" i="2"/>
  <c r="N1334" i="2"/>
  <c r="O1334" i="2"/>
  <c r="L1335" i="2"/>
  <c r="M1335" i="2"/>
  <c r="N1335" i="2"/>
  <c r="O1335" i="2"/>
  <c r="L1336" i="2"/>
  <c r="M1336" i="2"/>
  <c r="N1336" i="2"/>
  <c r="O1336" i="2"/>
  <c r="L1337" i="2"/>
  <c r="M1337" i="2"/>
  <c r="N1337" i="2"/>
  <c r="O1337" i="2"/>
  <c r="L1338" i="2"/>
  <c r="M1338" i="2"/>
  <c r="N1338" i="2"/>
  <c r="O1338" i="2"/>
  <c r="L1339" i="2"/>
  <c r="M1339" i="2"/>
  <c r="N1339" i="2"/>
  <c r="O1339" i="2"/>
  <c r="L1340" i="2"/>
  <c r="M1340" i="2"/>
  <c r="N1340" i="2"/>
  <c r="O1340" i="2"/>
  <c r="L1341" i="2"/>
  <c r="M1341" i="2"/>
  <c r="N1341" i="2"/>
  <c r="O1341" i="2"/>
  <c r="L1342" i="2"/>
  <c r="M1342" i="2"/>
  <c r="N1342" i="2"/>
  <c r="O1342" i="2"/>
  <c r="L1343" i="2"/>
  <c r="M1343" i="2"/>
  <c r="N1343" i="2"/>
  <c r="O1343" i="2"/>
  <c r="L1344" i="2"/>
  <c r="M1344" i="2"/>
  <c r="N1344" i="2"/>
  <c r="O1344" i="2"/>
  <c r="L1345" i="2"/>
  <c r="M1345" i="2"/>
  <c r="N1345" i="2"/>
  <c r="O1345" i="2"/>
  <c r="L1346" i="2"/>
  <c r="M1346" i="2"/>
  <c r="N1346" i="2"/>
  <c r="O1346" i="2"/>
  <c r="L1347" i="2"/>
  <c r="M1347" i="2"/>
  <c r="N1347" i="2"/>
  <c r="O1347" i="2"/>
  <c r="L1348" i="2"/>
  <c r="M1348" i="2"/>
  <c r="N1348" i="2"/>
  <c r="O1348" i="2"/>
  <c r="L1349" i="2"/>
  <c r="M1349" i="2"/>
  <c r="N1349" i="2"/>
  <c r="O1349" i="2"/>
  <c r="L1350" i="2"/>
  <c r="M1350" i="2"/>
  <c r="N1350" i="2"/>
  <c r="O1350" i="2"/>
  <c r="L1351" i="2"/>
  <c r="M1351" i="2"/>
  <c r="N1351" i="2"/>
  <c r="O1351" i="2"/>
  <c r="L1352" i="2"/>
  <c r="M1352" i="2"/>
  <c r="N1352" i="2"/>
  <c r="O1352" i="2"/>
  <c r="L1353" i="2"/>
  <c r="M1353" i="2"/>
  <c r="N1353" i="2"/>
  <c r="O1353" i="2"/>
  <c r="L1354" i="2"/>
  <c r="M1354" i="2"/>
  <c r="N1354" i="2"/>
  <c r="O1354" i="2"/>
  <c r="L1355" i="2"/>
  <c r="M1355" i="2"/>
  <c r="N1355" i="2"/>
  <c r="O1355" i="2"/>
  <c r="L1356" i="2"/>
  <c r="M1356" i="2"/>
  <c r="N1356" i="2"/>
  <c r="O1356" i="2"/>
  <c r="L1357" i="2"/>
  <c r="M1357" i="2"/>
  <c r="N1357" i="2"/>
  <c r="O1357" i="2"/>
  <c r="L1358" i="2"/>
  <c r="M1358" i="2"/>
  <c r="N1358" i="2"/>
  <c r="O1358" i="2"/>
  <c r="L1359" i="2"/>
  <c r="M1359" i="2"/>
  <c r="N1359" i="2"/>
  <c r="O1359" i="2"/>
  <c r="L1360" i="2"/>
  <c r="M1360" i="2"/>
  <c r="N1360" i="2"/>
  <c r="O1360" i="2"/>
  <c r="L1361" i="2"/>
  <c r="M1361" i="2"/>
  <c r="N1361" i="2"/>
  <c r="O1361" i="2"/>
  <c r="L1362" i="2"/>
  <c r="M1362" i="2"/>
  <c r="N1362" i="2"/>
  <c r="O1362" i="2"/>
  <c r="L1363" i="2"/>
  <c r="M1363" i="2"/>
  <c r="N1363" i="2"/>
  <c r="O1363" i="2"/>
  <c r="L1364" i="2"/>
  <c r="M1364" i="2"/>
  <c r="N1364" i="2"/>
  <c r="O1364" i="2"/>
  <c r="L1365" i="2"/>
  <c r="M1365" i="2"/>
  <c r="N1365" i="2"/>
  <c r="O1365" i="2"/>
  <c r="L1366" i="2"/>
  <c r="M1366" i="2"/>
  <c r="N1366" i="2"/>
  <c r="O1366" i="2"/>
  <c r="L1367" i="2"/>
  <c r="M1367" i="2"/>
  <c r="N1367" i="2"/>
  <c r="O1367" i="2"/>
  <c r="L1368" i="2"/>
  <c r="M1368" i="2"/>
  <c r="N1368" i="2"/>
  <c r="O1368" i="2"/>
  <c r="L1369" i="2"/>
  <c r="M1369" i="2"/>
  <c r="N1369" i="2"/>
  <c r="O1369" i="2"/>
  <c r="L1370" i="2"/>
  <c r="M1370" i="2"/>
  <c r="N1370" i="2"/>
  <c r="O1370" i="2"/>
  <c r="L1371" i="2"/>
  <c r="M1371" i="2"/>
  <c r="N1371" i="2"/>
  <c r="O1371" i="2"/>
  <c r="L1372" i="2"/>
  <c r="M1372" i="2"/>
  <c r="N1372" i="2"/>
  <c r="O1372" i="2"/>
  <c r="L1373" i="2"/>
  <c r="M1373" i="2"/>
  <c r="N1373" i="2"/>
  <c r="O1373" i="2"/>
  <c r="L1374" i="2"/>
  <c r="M1374" i="2"/>
  <c r="N1374" i="2"/>
  <c r="O1374" i="2"/>
  <c r="L1375" i="2"/>
  <c r="M1375" i="2"/>
  <c r="N1375" i="2"/>
  <c r="O1375" i="2"/>
  <c r="L1376" i="2"/>
  <c r="M1376" i="2"/>
  <c r="N1376" i="2"/>
  <c r="O1376" i="2"/>
  <c r="L1377" i="2"/>
  <c r="M1377" i="2"/>
  <c r="N1377" i="2"/>
  <c r="O1377" i="2"/>
  <c r="L1378" i="2"/>
  <c r="M1378" i="2"/>
  <c r="N1378" i="2"/>
  <c r="O1378" i="2"/>
  <c r="L1379" i="2"/>
  <c r="M1379" i="2"/>
  <c r="N1379" i="2"/>
  <c r="O1379" i="2"/>
  <c r="L1380" i="2"/>
  <c r="M1380" i="2"/>
  <c r="N1380" i="2"/>
  <c r="O1380" i="2"/>
  <c r="L1381" i="2"/>
  <c r="M1381" i="2"/>
  <c r="N1381" i="2"/>
  <c r="O1381" i="2"/>
  <c r="L1382" i="2"/>
  <c r="M1382" i="2"/>
  <c r="N1382" i="2"/>
  <c r="O1382" i="2"/>
  <c r="L1383" i="2"/>
  <c r="M1383" i="2"/>
  <c r="N1383" i="2"/>
  <c r="O1383" i="2"/>
  <c r="L1384" i="2"/>
  <c r="M1384" i="2"/>
  <c r="N1384" i="2"/>
  <c r="O1384" i="2"/>
  <c r="L1385" i="2"/>
  <c r="M1385" i="2"/>
  <c r="N1385" i="2"/>
  <c r="O1385" i="2"/>
  <c r="L1386" i="2"/>
  <c r="M1386" i="2"/>
  <c r="N1386" i="2"/>
  <c r="O1386" i="2"/>
  <c r="L1387" i="2"/>
  <c r="M1387" i="2"/>
  <c r="N1387" i="2"/>
  <c r="O1387" i="2"/>
  <c r="L1388" i="2"/>
  <c r="M1388" i="2"/>
  <c r="N1388" i="2"/>
  <c r="O1388" i="2"/>
  <c r="L1389" i="2"/>
  <c r="M1389" i="2"/>
  <c r="N1389" i="2"/>
  <c r="O1389" i="2"/>
  <c r="L1390" i="2"/>
  <c r="M1390" i="2"/>
  <c r="N1390" i="2"/>
  <c r="O1390" i="2"/>
  <c r="L1391" i="2"/>
  <c r="M1391" i="2"/>
  <c r="N1391" i="2"/>
  <c r="O1391" i="2"/>
  <c r="L1392" i="2"/>
  <c r="M1392" i="2"/>
  <c r="N1392" i="2"/>
  <c r="O1392" i="2"/>
  <c r="L1393" i="2"/>
  <c r="M1393" i="2"/>
  <c r="N1393" i="2"/>
  <c r="O1393" i="2"/>
  <c r="L1394" i="2"/>
  <c r="M1394" i="2"/>
  <c r="N1394" i="2"/>
  <c r="O1394" i="2"/>
  <c r="L1395" i="2"/>
  <c r="M1395" i="2"/>
  <c r="N1395" i="2"/>
  <c r="O1395" i="2"/>
  <c r="L1396" i="2"/>
  <c r="M1396" i="2"/>
  <c r="N1396" i="2"/>
  <c r="O1396" i="2"/>
  <c r="L1397" i="2"/>
  <c r="M1397" i="2"/>
  <c r="N1397" i="2"/>
  <c r="O1397" i="2"/>
  <c r="L1398" i="2"/>
  <c r="M1398" i="2"/>
  <c r="N1398" i="2"/>
  <c r="O1398" i="2"/>
  <c r="L1399" i="2"/>
  <c r="M1399" i="2"/>
  <c r="N1399" i="2"/>
  <c r="O1399" i="2"/>
  <c r="L1400" i="2"/>
  <c r="M1400" i="2"/>
  <c r="N1400" i="2"/>
  <c r="O1400" i="2"/>
  <c r="L1401" i="2"/>
  <c r="M1401" i="2"/>
  <c r="N1401" i="2"/>
  <c r="O1401" i="2"/>
  <c r="L1402" i="2"/>
  <c r="M1402" i="2"/>
  <c r="N1402" i="2"/>
  <c r="O1402" i="2"/>
  <c r="L1403" i="2"/>
  <c r="M1403" i="2"/>
  <c r="N1403" i="2"/>
  <c r="O1403" i="2"/>
  <c r="L1404" i="2"/>
  <c r="M1404" i="2"/>
  <c r="N1404" i="2"/>
  <c r="O1404" i="2"/>
  <c r="L1405" i="2"/>
  <c r="M1405" i="2"/>
  <c r="N1405" i="2"/>
  <c r="O1405" i="2"/>
  <c r="L1406" i="2"/>
  <c r="M1406" i="2"/>
  <c r="N1406" i="2"/>
  <c r="O1406" i="2"/>
  <c r="L1407" i="2"/>
  <c r="M1407" i="2"/>
  <c r="N1407" i="2"/>
  <c r="O1407" i="2"/>
  <c r="L1408" i="2"/>
  <c r="M1408" i="2"/>
  <c r="N1408" i="2"/>
  <c r="O1408" i="2"/>
  <c r="L1409" i="2"/>
  <c r="M1409" i="2"/>
  <c r="N1409" i="2"/>
  <c r="O1409" i="2"/>
  <c r="L1410" i="2"/>
  <c r="M1410" i="2"/>
  <c r="N1410" i="2"/>
  <c r="O1410" i="2"/>
  <c r="L1411" i="2"/>
  <c r="M1411" i="2"/>
  <c r="N1411" i="2"/>
  <c r="O1411" i="2"/>
  <c r="L1412" i="2"/>
  <c r="M1412" i="2"/>
  <c r="N1412" i="2"/>
  <c r="O1412" i="2"/>
  <c r="L1413" i="2"/>
  <c r="M1413" i="2"/>
  <c r="N1413" i="2"/>
  <c r="O1413" i="2"/>
  <c r="L1414" i="2"/>
  <c r="M1414" i="2"/>
  <c r="N1414" i="2"/>
  <c r="O1414" i="2"/>
  <c r="L1415" i="2"/>
  <c r="M1415" i="2"/>
  <c r="N1415" i="2"/>
  <c r="O1415" i="2"/>
  <c r="L1416" i="2"/>
  <c r="M1416" i="2"/>
  <c r="N1416" i="2"/>
  <c r="O1416" i="2"/>
  <c r="L1417" i="2"/>
  <c r="M1417" i="2"/>
  <c r="N1417" i="2"/>
  <c r="O1417" i="2"/>
  <c r="L1418" i="2"/>
  <c r="M1418" i="2"/>
  <c r="N1418" i="2"/>
  <c r="O1418" i="2"/>
  <c r="L1419" i="2"/>
  <c r="M1419" i="2"/>
  <c r="N1419" i="2"/>
  <c r="O1419" i="2"/>
  <c r="L1420" i="2"/>
  <c r="M1420" i="2"/>
  <c r="N1420" i="2"/>
  <c r="O1420" i="2"/>
  <c r="L1421" i="2"/>
  <c r="M1421" i="2"/>
  <c r="N1421" i="2"/>
  <c r="O1421" i="2"/>
  <c r="L1422" i="2"/>
  <c r="M1422" i="2"/>
  <c r="N1422" i="2"/>
  <c r="O1422" i="2"/>
  <c r="L1423" i="2"/>
  <c r="M1423" i="2"/>
  <c r="N1423" i="2"/>
  <c r="O1423" i="2"/>
  <c r="L1424" i="2"/>
  <c r="M1424" i="2"/>
  <c r="N1424" i="2"/>
  <c r="O1424" i="2"/>
  <c r="L1425" i="2"/>
  <c r="M1425" i="2"/>
  <c r="N1425" i="2"/>
  <c r="O1425" i="2"/>
  <c r="L1426" i="2"/>
  <c r="M1426" i="2"/>
  <c r="N1426" i="2"/>
  <c r="O1426" i="2"/>
  <c r="L1427" i="2"/>
  <c r="M1427" i="2"/>
  <c r="N1427" i="2"/>
  <c r="O1427" i="2"/>
  <c r="L1428" i="2"/>
  <c r="M1428" i="2"/>
  <c r="N1428" i="2"/>
  <c r="O1428" i="2"/>
  <c r="L1429" i="2"/>
  <c r="M1429" i="2"/>
  <c r="N1429" i="2"/>
  <c r="O1429" i="2"/>
  <c r="L1430" i="2"/>
  <c r="M1430" i="2"/>
  <c r="N1430" i="2"/>
  <c r="O1430" i="2"/>
  <c r="L1431" i="2"/>
  <c r="M1431" i="2"/>
  <c r="N1431" i="2"/>
  <c r="O1431" i="2"/>
  <c r="L1432" i="2"/>
  <c r="M1432" i="2"/>
  <c r="N1432" i="2"/>
  <c r="O1432" i="2"/>
  <c r="L1433" i="2"/>
  <c r="M1433" i="2"/>
  <c r="N1433" i="2"/>
  <c r="O1433" i="2"/>
  <c r="L1434" i="2"/>
  <c r="M1434" i="2"/>
  <c r="N1434" i="2"/>
  <c r="O1434" i="2"/>
  <c r="L1435" i="2"/>
  <c r="M1435" i="2"/>
  <c r="N1435" i="2"/>
  <c r="O1435" i="2"/>
  <c r="L1436" i="2"/>
  <c r="M1436" i="2"/>
  <c r="N1436" i="2"/>
  <c r="O1436" i="2"/>
  <c r="L1437" i="2"/>
  <c r="M1437" i="2"/>
  <c r="N1437" i="2"/>
  <c r="O1437" i="2"/>
  <c r="L1438" i="2"/>
  <c r="M1438" i="2"/>
  <c r="N1438" i="2"/>
  <c r="O1438" i="2"/>
  <c r="L1439" i="2"/>
  <c r="M1439" i="2"/>
  <c r="N1439" i="2"/>
  <c r="O1439" i="2"/>
  <c r="L1440" i="2"/>
  <c r="M1440" i="2"/>
  <c r="N1440" i="2"/>
  <c r="O1440" i="2"/>
  <c r="L1441" i="2"/>
  <c r="M1441" i="2"/>
  <c r="N1441" i="2"/>
  <c r="O1441" i="2"/>
  <c r="L1442" i="2"/>
  <c r="M1442" i="2"/>
  <c r="N1442" i="2"/>
  <c r="O1442" i="2"/>
  <c r="L1443" i="2"/>
  <c r="M1443" i="2"/>
  <c r="N1443" i="2"/>
  <c r="O1443" i="2"/>
  <c r="L1444" i="2"/>
  <c r="M1444" i="2"/>
  <c r="N1444" i="2"/>
  <c r="O1444" i="2"/>
  <c r="L1445" i="2"/>
  <c r="M1445" i="2"/>
  <c r="N1445" i="2"/>
  <c r="O1445" i="2"/>
  <c r="L1446" i="2"/>
  <c r="M1446" i="2"/>
  <c r="N1446" i="2"/>
  <c r="O1446" i="2"/>
  <c r="L1447" i="2"/>
  <c r="M1447" i="2"/>
  <c r="N1447" i="2"/>
  <c r="O1447" i="2"/>
  <c r="L1448" i="2"/>
  <c r="M1448" i="2"/>
  <c r="N1448" i="2"/>
  <c r="O1448" i="2"/>
  <c r="L1449" i="2"/>
  <c r="M1449" i="2"/>
  <c r="N1449" i="2"/>
  <c r="O1449" i="2"/>
  <c r="L1450" i="2"/>
  <c r="M1450" i="2"/>
  <c r="N1450" i="2"/>
  <c r="O1450" i="2"/>
  <c r="L1451" i="2"/>
  <c r="M1451" i="2"/>
  <c r="N1451" i="2"/>
  <c r="O1451" i="2"/>
  <c r="L1452" i="2"/>
  <c r="M1452" i="2"/>
  <c r="N1452" i="2"/>
  <c r="O1452" i="2"/>
  <c r="L1453" i="2"/>
  <c r="M1453" i="2"/>
  <c r="N1453" i="2"/>
  <c r="O1453" i="2"/>
  <c r="L1454" i="2"/>
  <c r="M1454" i="2"/>
  <c r="N1454" i="2"/>
  <c r="O1454" i="2"/>
  <c r="L1455" i="2"/>
  <c r="M1455" i="2"/>
  <c r="N1455" i="2"/>
  <c r="O1455" i="2"/>
  <c r="L1456" i="2"/>
  <c r="M1456" i="2"/>
  <c r="N1456" i="2"/>
  <c r="O1456" i="2"/>
  <c r="L1457" i="2"/>
  <c r="M1457" i="2"/>
  <c r="N1457" i="2"/>
  <c r="O1457" i="2"/>
  <c r="L1458" i="2"/>
  <c r="M1458" i="2"/>
  <c r="N1458" i="2"/>
  <c r="O1458" i="2"/>
  <c r="L1459" i="2"/>
  <c r="M1459" i="2"/>
  <c r="N1459" i="2"/>
  <c r="O1459" i="2"/>
  <c r="L1460" i="2"/>
  <c r="M1460" i="2"/>
  <c r="N1460" i="2"/>
  <c r="O1460" i="2"/>
  <c r="L1461" i="2"/>
  <c r="M1461" i="2"/>
  <c r="N1461" i="2"/>
  <c r="O1461" i="2"/>
  <c r="L1462" i="2"/>
  <c r="M1462" i="2"/>
  <c r="N1462" i="2"/>
  <c r="O1462" i="2"/>
  <c r="L1463" i="2"/>
  <c r="M1463" i="2"/>
  <c r="N1463" i="2"/>
  <c r="O1463" i="2"/>
  <c r="L1464" i="2"/>
  <c r="M1464" i="2"/>
  <c r="N1464" i="2"/>
  <c r="O1464" i="2"/>
  <c r="L1465" i="2"/>
  <c r="M1465" i="2"/>
  <c r="N1465" i="2"/>
  <c r="O1465" i="2"/>
  <c r="L1466" i="2"/>
  <c r="M1466" i="2"/>
  <c r="N1466" i="2"/>
  <c r="O1466" i="2"/>
  <c r="L1467" i="2"/>
  <c r="M1467" i="2"/>
  <c r="N1467" i="2"/>
  <c r="O1467" i="2"/>
  <c r="L1468" i="2"/>
  <c r="M1468" i="2"/>
  <c r="N1468" i="2"/>
  <c r="O1468" i="2"/>
  <c r="L1469" i="2"/>
  <c r="M1469" i="2"/>
  <c r="N1469" i="2"/>
  <c r="O1469" i="2"/>
  <c r="L1470" i="2"/>
  <c r="M1470" i="2"/>
  <c r="N1470" i="2"/>
  <c r="O1470" i="2"/>
  <c r="L1471" i="2"/>
  <c r="M1471" i="2"/>
  <c r="N1471" i="2"/>
  <c r="O1471" i="2"/>
  <c r="L1472" i="2"/>
  <c r="M1472" i="2"/>
  <c r="N1472" i="2"/>
  <c r="O1472" i="2"/>
  <c r="L1473" i="2"/>
  <c r="M1473" i="2"/>
  <c r="N1473" i="2"/>
  <c r="O1473" i="2"/>
  <c r="L1474" i="2"/>
  <c r="M1474" i="2"/>
  <c r="N1474" i="2"/>
  <c r="O1474" i="2"/>
  <c r="L1475" i="2"/>
  <c r="M1475" i="2"/>
  <c r="N1475" i="2"/>
  <c r="O1475" i="2"/>
  <c r="L1476" i="2"/>
  <c r="M1476" i="2"/>
  <c r="N1476" i="2"/>
  <c r="O1476" i="2"/>
  <c r="L1477" i="2"/>
  <c r="M1477" i="2"/>
  <c r="N1477" i="2"/>
  <c r="O1477" i="2"/>
  <c r="L1478" i="2"/>
  <c r="M1478" i="2"/>
  <c r="N1478" i="2"/>
  <c r="O1478" i="2"/>
  <c r="L1479" i="2"/>
  <c r="M1479" i="2"/>
  <c r="N1479" i="2"/>
  <c r="O1479" i="2"/>
  <c r="L1480" i="2"/>
  <c r="M1480" i="2"/>
  <c r="N1480" i="2"/>
  <c r="O1480" i="2"/>
  <c r="L1481" i="2"/>
  <c r="M1481" i="2"/>
  <c r="N1481" i="2"/>
  <c r="O1481" i="2"/>
  <c r="L1482" i="2"/>
  <c r="M1482" i="2"/>
  <c r="N1482" i="2"/>
  <c r="O1482" i="2"/>
  <c r="L1483" i="2"/>
  <c r="M1483" i="2"/>
  <c r="N1483" i="2"/>
  <c r="O1483" i="2"/>
  <c r="L1484" i="2"/>
  <c r="M1484" i="2"/>
  <c r="N1484" i="2"/>
  <c r="O1484" i="2"/>
  <c r="L1485" i="2"/>
  <c r="M1485" i="2"/>
  <c r="N1485" i="2"/>
  <c r="O1485" i="2"/>
  <c r="L1486" i="2"/>
  <c r="M1486" i="2"/>
  <c r="N1486" i="2"/>
  <c r="O1486" i="2"/>
  <c r="L1487" i="2"/>
  <c r="M1487" i="2"/>
  <c r="N1487" i="2"/>
  <c r="O1487" i="2"/>
  <c r="L1488" i="2"/>
  <c r="M1488" i="2"/>
  <c r="N1488" i="2"/>
  <c r="O1488" i="2"/>
  <c r="L1489" i="2"/>
  <c r="M1489" i="2"/>
  <c r="N1489" i="2"/>
  <c r="O1489" i="2"/>
  <c r="L1490" i="2"/>
  <c r="M1490" i="2"/>
  <c r="N1490" i="2"/>
  <c r="O1490" i="2"/>
  <c r="L1491" i="2"/>
  <c r="M1491" i="2"/>
  <c r="N1491" i="2"/>
  <c r="O1491" i="2"/>
  <c r="L1492" i="2"/>
  <c r="M1492" i="2"/>
  <c r="N1492" i="2"/>
  <c r="O1492" i="2"/>
  <c r="L1493" i="2"/>
  <c r="M1493" i="2"/>
  <c r="N1493" i="2"/>
  <c r="O1493" i="2"/>
  <c r="L1494" i="2"/>
  <c r="M1494" i="2"/>
  <c r="N1494" i="2"/>
  <c r="O1494" i="2"/>
  <c r="L1495" i="2"/>
  <c r="M1495" i="2"/>
  <c r="N1495" i="2"/>
  <c r="O1495" i="2"/>
  <c r="L1496" i="2"/>
  <c r="M1496" i="2"/>
  <c r="N1496" i="2"/>
  <c r="O1496" i="2"/>
  <c r="L1497" i="2"/>
  <c r="M1497" i="2"/>
  <c r="N1497" i="2"/>
  <c r="O1497" i="2"/>
  <c r="L1498" i="2"/>
  <c r="M1498" i="2"/>
  <c r="N1498" i="2"/>
  <c r="O1498" i="2"/>
  <c r="L1499" i="2"/>
  <c r="M1499" i="2"/>
  <c r="N1499" i="2"/>
  <c r="O1499" i="2"/>
  <c r="L1500" i="2"/>
  <c r="M1500" i="2"/>
  <c r="N1500" i="2"/>
  <c r="O1500" i="2"/>
  <c r="L1501" i="2"/>
  <c r="M1501" i="2"/>
  <c r="N1501" i="2"/>
  <c r="O1501" i="2"/>
  <c r="L1502" i="2"/>
  <c r="M1502" i="2"/>
  <c r="N1502" i="2"/>
  <c r="O1502" i="2"/>
  <c r="L1503" i="2"/>
  <c r="M1503" i="2"/>
  <c r="N1503" i="2"/>
  <c r="O1503" i="2"/>
  <c r="L1504" i="2"/>
  <c r="M1504" i="2"/>
  <c r="N1504" i="2"/>
  <c r="O1504" i="2"/>
  <c r="L1505" i="2"/>
  <c r="M1505" i="2"/>
  <c r="N1505" i="2"/>
  <c r="O1505" i="2"/>
  <c r="L1506" i="2"/>
  <c r="M1506" i="2"/>
  <c r="N1506" i="2"/>
  <c r="O1506" i="2"/>
  <c r="L1507" i="2"/>
  <c r="M1507" i="2"/>
  <c r="N1507" i="2"/>
  <c r="O1507" i="2"/>
  <c r="L1508" i="2"/>
  <c r="M1508" i="2"/>
  <c r="N1508" i="2"/>
  <c r="O1508" i="2"/>
  <c r="L1509" i="2"/>
  <c r="M1509" i="2"/>
  <c r="N1509" i="2"/>
  <c r="O1509" i="2"/>
  <c r="L1510" i="2"/>
  <c r="M1510" i="2"/>
  <c r="N1510" i="2"/>
  <c r="O1510" i="2"/>
  <c r="L1511" i="2"/>
  <c r="M1511" i="2"/>
  <c r="N1511" i="2"/>
  <c r="O1511" i="2"/>
  <c r="L1512" i="2"/>
  <c r="M1512" i="2"/>
  <c r="N1512" i="2"/>
  <c r="O1512" i="2"/>
  <c r="L1513" i="2"/>
  <c r="M1513" i="2"/>
  <c r="N1513" i="2"/>
  <c r="O1513" i="2"/>
  <c r="L1514" i="2"/>
  <c r="M1514" i="2"/>
  <c r="N1514" i="2"/>
  <c r="O1514" i="2"/>
  <c r="L1515" i="2"/>
  <c r="M1515" i="2"/>
  <c r="N1515" i="2"/>
  <c r="O1515" i="2"/>
  <c r="L1516" i="2"/>
  <c r="M1516" i="2"/>
  <c r="N1516" i="2"/>
  <c r="O1516" i="2"/>
  <c r="L1517" i="2"/>
  <c r="M1517" i="2"/>
  <c r="N1517" i="2"/>
  <c r="O1517" i="2"/>
  <c r="L1518" i="2"/>
  <c r="M1518" i="2"/>
  <c r="N1518" i="2"/>
  <c r="O1518" i="2"/>
  <c r="L1519" i="2"/>
  <c r="M1519" i="2"/>
  <c r="N1519" i="2"/>
  <c r="O1519" i="2"/>
  <c r="L1520" i="2"/>
  <c r="M1520" i="2"/>
  <c r="N1520" i="2"/>
  <c r="O1520" i="2"/>
  <c r="L1521" i="2"/>
  <c r="M1521" i="2"/>
  <c r="N1521" i="2"/>
  <c r="O1521" i="2"/>
  <c r="L1522" i="2"/>
  <c r="M1522" i="2"/>
  <c r="N1522" i="2"/>
  <c r="O1522" i="2"/>
  <c r="L1523" i="2"/>
  <c r="M1523" i="2"/>
  <c r="N1523" i="2"/>
  <c r="O1523" i="2"/>
  <c r="L1524" i="2"/>
  <c r="M1524" i="2"/>
  <c r="N1524" i="2"/>
  <c r="O1524" i="2"/>
  <c r="L1525" i="2"/>
  <c r="M1525" i="2"/>
  <c r="N1525" i="2"/>
  <c r="O1525" i="2"/>
  <c r="L1526" i="2"/>
  <c r="M1526" i="2"/>
  <c r="N1526" i="2"/>
  <c r="O1526" i="2"/>
  <c r="L1527" i="2"/>
  <c r="M1527" i="2"/>
  <c r="N1527" i="2"/>
  <c r="O1527" i="2"/>
  <c r="L1528" i="2"/>
  <c r="M1528" i="2"/>
  <c r="N1528" i="2"/>
  <c r="O1528" i="2"/>
  <c r="L1529" i="2"/>
  <c r="M1529" i="2"/>
  <c r="N1529" i="2"/>
  <c r="O1529" i="2"/>
  <c r="L1530" i="2"/>
  <c r="M1530" i="2"/>
  <c r="N1530" i="2"/>
  <c r="O1530" i="2"/>
  <c r="L1531" i="2"/>
  <c r="M1531" i="2"/>
  <c r="N1531" i="2"/>
  <c r="O1531" i="2"/>
  <c r="L1532" i="2"/>
  <c r="M1532" i="2"/>
  <c r="N1532" i="2"/>
  <c r="O1532" i="2"/>
  <c r="L1533" i="2"/>
  <c r="M1533" i="2"/>
  <c r="N1533" i="2"/>
  <c r="O1533" i="2"/>
  <c r="L1534" i="2"/>
  <c r="M1534" i="2"/>
  <c r="N1534" i="2"/>
  <c r="O1534" i="2"/>
  <c r="L1535" i="2"/>
  <c r="M1535" i="2"/>
  <c r="N1535" i="2"/>
  <c r="O1535" i="2"/>
  <c r="L1536" i="2"/>
  <c r="M1536" i="2"/>
  <c r="N1536" i="2"/>
  <c r="O1536" i="2"/>
  <c r="L1537" i="2"/>
  <c r="M1537" i="2"/>
  <c r="N1537" i="2"/>
  <c r="O1537" i="2"/>
  <c r="L1538" i="2"/>
  <c r="M1538" i="2"/>
  <c r="N1538" i="2"/>
  <c r="O1538" i="2"/>
  <c r="L1539" i="2"/>
  <c r="M1539" i="2"/>
  <c r="N1539" i="2"/>
  <c r="O1539" i="2"/>
  <c r="L1540" i="2"/>
  <c r="M1540" i="2"/>
  <c r="N1540" i="2"/>
  <c r="O1540" i="2"/>
  <c r="L1541" i="2"/>
  <c r="M1541" i="2"/>
  <c r="N1541" i="2"/>
  <c r="O1541" i="2"/>
  <c r="L1542" i="2"/>
  <c r="M1542" i="2"/>
  <c r="N1542" i="2"/>
  <c r="O1542" i="2"/>
  <c r="L1543" i="2"/>
  <c r="M1543" i="2"/>
  <c r="N1543" i="2"/>
  <c r="O1543" i="2"/>
  <c r="L1544" i="2"/>
  <c r="M1544" i="2"/>
  <c r="N1544" i="2"/>
  <c r="O1544" i="2"/>
  <c r="L1545" i="2"/>
  <c r="M1545" i="2"/>
  <c r="N1545" i="2"/>
  <c r="O1545" i="2"/>
  <c r="L1546" i="2"/>
  <c r="M1546" i="2"/>
  <c r="N1546" i="2"/>
  <c r="O1546" i="2"/>
  <c r="L1547" i="2"/>
  <c r="M1547" i="2"/>
  <c r="N1547" i="2"/>
  <c r="O1547" i="2"/>
  <c r="L1548" i="2"/>
  <c r="M1548" i="2"/>
  <c r="N1548" i="2"/>
  <c r="O1548" i="2"/>
  <c r="L1549" i="2"/>
  <c r="M1549" i="2"/>
  <c r="N1549" i="2"/>
  <c r="O1549" i="2"/>
  <c r="L1550" i="2"/>
  <c r="M1550" i="2"/>
  <c r="N1550" i="2"/>
  <c r="O1550" i="2"/>
  <c r="L1551" i="2"/>
  <c r="M1551" i="2"/>
  <c r="N1551" i="2"/>
  <c r="O1551" i="2"/>
  <c r="L1552" i="2"/>
  <c r="M1552" i="2"/>
  <c r="N1552" i="2"/>
  <c r="O1552" i="2"/>
  <c r="L1553" i="2"/>
  <c r="M1553" i="2"/>
  <c r="N1553" i="2"/>
  <c r="O1553" i="2"/>
  <c r="L1554" i="2"/>
  <c r="M1554" i="2"/>
  <c r="N1554" i="2"/>
  <c r="O1554" i="2"/>
  <c r="L1555" i="2"/>
  <c r="M1555" i="2"/>
  <c r="N1555" i="2"/>
  <c r="O1555" i="2"/>
  <c r="L1556" i="2"/>
  <c r="M1556" i="2"/>
  <c r="N1556" i="2"/>
  <c r="O1556" i="2"/>
  <c r="L1557" i="2"/>
  <c r="M1557" i="2"/>
  <c r="N1557" i="2"/>
  <c r="O1557" i="2"/>
  <c r="L1558" i="2"/>
  <c r="M1558" i="2"/>
  <c r="N1558" i="2"/>
  <c r="O1558" i="2"/>
  <c r="L1559" i="2"/>
  <c r="M1559" i="2"/>
  <c r="N1559" i="2"/>
  <c r="O1559" i="2"/>
  <c r="L1560" i="2"/>
  <c r="M1560" i="2"/>
  <c r="N1560" i="2"/>
  <c r="O1560" i="2"/>
  <c r="L1561" i="2"/>
  <c r="M1561" i="2"/>
  <c r="N1561" i="2"/>
  <c r="O1561" i="2"/>
  <c r="L1562" i="2"/>
  <c r="M1562" i="2"/>
  <c r="N1562" i="2"/>
  <c r="O1562" i="2"/>
  <c r="L1563" i="2"/>
  <c r="M1563" i="2"/>
  <c r="N1563" i="2"/>
  <c r="O1563" i="2"/>
  <c r="L1564" i="2"/>
  <c r="M1564" i="2"/>
  <c r="N1564" i="2"/>
  <c r="O1564" i="2"/>
  <c r="L1565" i="2"/>
  <c r="M1565" i="2"/>
  <c r="N1565" i="2"/>
  <c r="O1565" i="2"/>
  <c r="L1566" i="2"/>
  <c r="M1566" i="2"/>
  <c r="N1566" i="2"/>
  <c r="O1566" i="2"/>
  <c r="L1567" i="2"/>
  <c r="M1567" i="2"/>
  <c r="N1567" i="2"/>
  <c r="O1567" i="2"/>
  <c r="L1568" i="2"/>
  <c r="M1568" i="2"/>
  <c r="N1568" i="2"/>
  <c r="O1568" i="2"/>
  <c r="L1569" i="2"/>
  <c r="M1569" i="2"/>
  <c r="N1569" i="2"/>
  <c r="O1569" i="2"/>
  <c r="L1570" i="2"/>
  <c r="M1570" i="2"/>
  <c r="N1570" i="2"/>
  <c r="O1570" i="2"/>
  <c r="L1571" i="2"/>
  <c r="M1571" i="2"/>
  <c r="N1571" i="2"/>
  <c r="O1571" i="2"/>
  <c r="L1572" i="2"/>
  <c r="M1572" i="2"/>
  <c r="N1572" i="2"/>
  <c r="O1572" i="2"/>
  <c r="L1573" i="2"/>
  <c r="M1573" i="2"/>
  <c r="N1573" i="2"/>
  <c r="O1573" i="2"/>
  <c r="L1574" i="2"/>
  <c r="M1574" i="2"/>
  <c r="N1574" i="2"/>
  <c r="O1574" i="2"/>
  <c r="L1575" i="2"/>
  <c r="M1575" i="2"/>
  <c r="N1575" i="2"/>
  <c r="O1575" i="2"/>
  <c r="L1576" i="2"/>
  <c r="M1576" i="2"/>
  <c r="N1576" i="2"/>
  <c r="O1576" i="2"/>
  <c r="L1577" i="2"/>
  <c r="M1577" i="2"/>
  <c r="N1577" i="2"/>
  <c r="O1577" i="2"/>
  <c r="L1578" i="2"/>
  <c r="M1578" i="2"/>
  <c r="N1578" i="2"/>
  <c r="O1578" i="2"/>
  <c r="L1579" i="2"/>
  <c r="M1579" i="2"/>
  <c r="N1579" i="2"/>
  <c r="O1579" i="2"/>
  <c r="L1580" i="2"/>
  <c r="M1580" i="2"/>
  <c r="N1580" i="2"/>
  <c r="O1580" i="2"/>
  <c r="L1581" i="2"/>
  <c r="M1581" i="2"/>
  <c r="N1581" i="2"/>
  <c r="O1581" i="2"/>
  <c r="L1582" i="2"/>
  <c r="M1582" i="2"/>
  <c r="N1582" i="2"/>
  <c r="O1582" i="2"/>
  <c r="L1583" i="2"/>
  <c r="M1583" i="2"/>
  <c r="N1583" i="2"/>
  <c r="O1583" i="2"/>
  <c r="L1584" i="2"/>
  <c r="M1584" i="2"/>
  <c r="N1584" i="2"/>
  <c r="O1584" i="2"/>
  <c r="L1585" i="2"/>
  <c r="M1585" i="2"/>
  <c r="N1585" i="2"/>
  <c r="O1585" i="2"/>
  <c r="L1586" i="2"/>
  <c r="M1586" i="2"/>
  <c r="N1586" i="2"/>
  <c r="O1586" i="2"/>
  <c r="L1587" i="2"/>
  <c r="M1587" i="2"/>
  <c r="N1587" i="2"/>
  <c r="O1587" i="2"/>
  <c r="L1588" i="2"/>
  <c r="M1588" i="2"/>
  <c r="N1588" i="2"/>
  <c r="O1588" i="2"/>
  <c r="L1589" i="2"/>
  <c r="M1589" i="2"/>
  <c r="N1589" i="2"/>
  <c r="O1589" i="2"/>
  <c r="L1590" i="2"/>
  <c r="M1590" i="2"/>
  <c r="N1590" i="2"/>
  <c r="O1590" i="2"/>
  <c r="L1591" i="2"/>
  <c r="M1591" i="2"/>
  <c r="N1591" i="2"/>
  <c r="O1591" i="2"/>
  <c r="L1592" i="2"/>
  <c r="M1592" i="2"/>
  <c r="N1592" i="2"/>
  <c r="O1592" i="2"/>
  <c r="L1593" i="2"/>
  <c r="M1593" i="2"/>
  <c r="N1593" i="2"/>
  <c r="O1593" i="2"/>
  <c r="L1594" i="2"/>
  <c r="M1594" i="2"/>
  <c r="N1594" i="2"/>
  <c r="O1594" i="2"/>
  <c r="L1595" i="2"/>
  <c r="M1595" i="2"/>
  <c r="N1595" i="2"/>
  <c r="O1595" i="2"/>
  <c r="L1596" i="2"/>
  <c r="M1596" i="2"/>
  <c r="N1596" i="2"/>
  <c r="O1596" i="2"/>
  <c r="L1597" i="2"/>
  <c r="M1597" i="2"/>
  <c r="N1597" i="2"/>
  <c r="O1597" i="2"/>
  <c r="L1598" i="2"/>
  <c r="M1598" i="2"/>
  <c r="N1598" i="2"/>
  <c r="O1598" i="2"/>
  <c r="L1599" i="2"/>
  <c r="M1599" i="2"/>
  <c r="N1599" i="2"/>
  <c r="O1599" i="2"/>
  <c r="L1600" i="2"/>
  <c r="M1600" i="2"/>
  <c r="N1600" i="2"/>
  <c r="O1600" i="2"/>
  <c r="L1601" i="2"/>
  <c r="M1601" i="2"/>
  <c r="N1601" i="2"/>
  <c r="O1601" i="2"/>
  <c r="L1602" i="2"/>
  <c r="M1602" i="2"/>
  <c r="N1602" i="2"/>
  <c r="O1602" i="2"/>
  <c r="L1603" i="2"/>
  <c r="M1603" i="2"/>
  <c r="N1603" i="2"/>
  <c r="O1603" i="2"/>
  <c r="L1604" i="2"/>
  <c r="M1604" i="2"/>
  <c r="N1604" i="2"/>
  <c r="O1604" i="2"/>
  <c r="L1605" i="2"/>
  <c r="M1605" i="2"/>
  <c r="N1605" i="2"/>
  <c r="O1605" i="2"/>
  <c r="L1606" i="2"/>
  <c r="M1606" i="2"/>
  <c r="N1606" i="2"/>
  <c r="O1606" i="2"/>
  <c r="L1607" i="2"/>
  <c r="M1607" i="2"/>
  <c r="N1607" i="2"/>
  <c r="O1607" i="2"/>
  <c r="L1608" i="2"/>
  <c r="M1608" i="2"/>
  <c r="N1608" i="2"/>
  <c r="O1608" i="2"/>
  <c r="L1609" i="2"/>
  <c r="M1609" i="2"/>
  <c r="N1609" i="2"/>
  <c r="O1609" i="2"/>
  <c r="L1610" i="2"/>
  <c r="M1610" i="2"/>
  <c r="N1610" i="2"/>
  <c r="O1610" i="2"/>
  <c r="L1611" i="2"/>
  <c r="M1611" i="2"/>
  <c r="N1611" i="2"/>
  <c r="O1611" i="2"/>
  <c r="L1612" i="2"/>
  <c r="M1612" i="2"/>
  <c r="N1612" i="2"/>
  <c r="O1612" i="2"/>
  <c r="L1613" i="2"/>
  <c r="M1613" i="2"/>
  <c r="N1613" i="2"/>
  <c r="O1613" i="2"/>
  <c r="L1614" i="2"/>
  <c r="M1614" i="2"/>
  <c r="N1614" i="2"/>
  <c r="O1614" i="2"/>
  <c r="L1615" i="2"/>
  <c r="M1615" i="2"/>
  <c r="N1615" i="2"/>
  <c r="O1615" i="2"/>
  <c r="L1616" i="2"/>
  <c r="M1616" i="2"/>
  <c r="N1616" i="2"/>
  <c r="O1616" i="2"/>
  <c r="L1617" i="2"/>
  <c r="M1617" i="2"/>
  <c r="N1617" i="2"/>
  <c r="O1617" i="2"/>
  <c r="L1618" i="2"/>
  <c r="M1618" i="2"/>
  <c r="N1618" i="2"/>
  <c r="O1618" i="2"/>
  <c r="L1619" i="2"/>
  <c r="M1619" i="2"/>
  <c r="N1619" i="2"/>
  <c r="O1619" i="2"/>
  <c r="L1620" i="2"/>
  <c r="M1620" i="2"/>
  <c r="N1620" i="2"/>
  <c r="O1620" i="2"/>
  <c r="L1621" i="2"/>
  <c r="M1621" i="2"/>
  <c r="N1621" i="2"/>
  <c r="O1621" i="2"/>
  <c r="L1622" i="2"/>
  <c r="M1622" i="2"/>
  <c r="N1622" i="2"/>
  <c r="O1622" i="2"/>
  <c r="L1623" i="2"/>
  <c r="M1623" i="2"/>
  <c r="N1623" i="2"/>
  <c r="O1623" i="2"/>
  <c r="L1624" i="2"/>
  <c r="M1624" i="2"/>
  <c r="N1624" i="2"/>
  <c r="O1624" i="2"/>
  <c r="L1625" i="2"/>
  <c r="M1625" i="2"/>
  <c r="N1625" i="2"/>
  <c r="O1625" i="2"/>
  <c r="L1626" i="2"/>
  <c r="M1626" i="2"/>
  <c r="N1626" i="2"/>
  <c r="O1626" i="2"/>
  <c r="L1627" i="2"/>
  <c r="M1627" i="2"/>
  <c r="N1627" i="2"/>
  <c r="O1627" i="2"/>
  <c r="L1628" i="2"/>
  <c r="M1628" i="2"/>
  <c r="N1628" i="2"/>
  <c r="O1628" i="2"/>
  <c r="L1629" i="2"/>
  <c r="M1629" i="2"/>
  <c r="N1629" i="2"/>
  <c r="O1629" i="2"/>
  <c r="L1630" i="2"/>
  <c r="M1630" i="2"/>
  <c r="N1630" i="2"/>
  <c r="O1630" i="2"/>
  <c r="L1631" i="2"/>
  <c r="M1631" i="2"/>
  <c r="N1631" i="2"/>
  <c r="O1631" i="2"/>
  <c r="L1632" i="2"/>
  <c r="M1632" i="2"/>
  <c r="N1632" i="2"/>
  <c r="O1632" i="2"/>
  <c r="L1633" i="2"/>
  <c r="M1633" i="2"/>
  <c r="N1633" i="2"/>
  <c r="O1633" i="2"/>
  <c r="L1634" i="2"/>
  <c r="M1634" i="2"/>
  <c r="N1634" i="2"/>
  <c r="O1634" i="2"/>
  <c r="L1635" i="2"/>
  <c r="M1635" i="2"/>
  <c r="N1635" i="2"/>
  <c r="O1635" i="2"/>
  <c r="L1636" i="2"/>
  <c r="M1636" i="2"/>
  <c r="N1636" i="2"/>
  <c r="O1636" i="2"/>
  <c r="L1637" i="2"/>
  <c r="M1637" i="2"/>
  <c r="N1637" i="2"/>
  <c r="O1637" i="2"/>
  <c r="L1638" i="2"/>
  <c r="M1638" i="2"/>
  <c r="N1638" i="2"/>
  <c r="O1638" i="2"/>
  <c r="L1639" i="2"/>
  <c r="M1639" i="2"/>
  <c r="N1639" i="2"/>
  <c r="O1639" i="2"/>
  <c r="L1640" i="2"/>
  <c r="M1640" i="2"/>
  <c r="N1640" i="2"/>
  <c r="O1640" i="2"/>
  <c r="L1641" i="2"/>
  <c r="M1641" i="2"/>
  <c r="N1641" i="2"/>
  <c r="O1641" i="2"/>
  <c r="L1642" i="2"/>
  <c r="M1642" i="2"/>
  <c r="N1642" i="2"/>
  <c r="O1642" i="2"/>
  <c r="L1643" i="2"/>
  <c r="M1643" i="2"/>
  <c r="N1643" i="2"/>
  <c r="O1643" i="2"/>
  <c r="L1644" i="2"/>
  <c r="M1644" i="2"/>
  <c r="N1644" i="2"/>
  <c r="O1644" i="2"/>
  <c r="L1645" i="2"/>
  <c r="M1645" i="2"/>
  <c r="N1645" i="2"/>
  <c r="O1645" i="2"/>
  <c r="L1646" i="2"/>
  <c r="M1646" i="2"/>
  <c r="N1646" i="2"/>
  <c r="O1646" i="2"/>
  <c r="L1647" i="2"/>
  <c r="M1647" i="2"/>
  <c r="N1647" i="2"/>
  <c r="O1647" i="2"/>
  <c r="L1648" i="2"/>
  <c r="M1648" i="2"/>
  <c r="N1648" i="2"/>
  <c r="O1648" i="2"/>
  <c r="L1649" i="2"/>
  <c r="M1649" i="2"/>
  <c r="N1649" i="2"/>
  <c r="O1649" i="2"/>
  <c r="L1650" i="2"/>
  <c r="M1650" i="2"/>
  <c r="N1650" i="2"/>
  <c r="O1650" i="2"/>
  <c r="L1651" i="2"/>
  <c r="M1651" i="2"/>
  <c r="N1651" i="2"/>
  <c r="O1651" i="2"/>
  <c r="L1652" i="2"/>
  <c r="M1652" i="2"/>
  <c r="N1652" i="2"/>
  <c r="O1652" i="2"/>
  <c r="L1653" i="2"/>
  <c r="M1653" i="2"/>
  <c r="N1653" i="2"/>
  <c r="O1653" i="2"/>
  <c r="L1654" i="2"/>
  <c r="M1654" i="2"/>
  <c r="N1654" i="2"/>
  <c r="O1654" i="2"/>
  <c r="L1655" i="2"/>
  <c r="M1655" i="2"/>
  <c r="N1655" i="2"/>
  <c r="O1655" i="2"/>
  <c r="L1656" i="2"/>
  <c r="M1656" i="2"/>
  <c r="N1656" i="2"/>
  <c r="O1656" i="2"/>
  <c r="L1657" i="2"/>
  <c r="M1657" i="2"/>
  <c r="N1657" i="2"/>
  <c r="O1657" i="2"/>
  <c r="L1658" i="2"/>
  <c r="M1658" i="2"/>
  <c r="N1658" i="2"/>
  <c r="O1658" i="2"/>
  <c r="L1659" i="2"/>
  <c r="M1659" i="2"/>
  <c r="N1659" i="2"/>
  <c r="O1659" i="2"/>
  <c r="L1660" i="2"/>
  <c r="M1660" i="2"/>
  <c r="N1660" i="2"/>
  <c r="O1660" i="2"/>
  <c r="L1661" i="2"/>
  <c r="M1661" i="2"/>
  <c r="N1661" i="2"/>
  <c r="O1661" i="2"/>
  <c r="L1662" i="2"/>
  <c r="M1662" i="2"/>
  <c r="N1662" i="2"/>
  <c r="O1662" i="2"/>
  <c r="L1663" i="2"/>
  <c r="M1663" i="2"/>
  <c r="N1663" i="2"/>
  <c r="O1663" i="2"/>
  <c r="L1664" i="2"/>
  <c r="M1664" i="2"/>
  <c r="N1664" i="2"/>
  <c r="O1664" i="2"/>
  <c r="L1665" i="2"/>
  <c r="M1665" i="2"/>
  <c r="N1665" i="2"/>
  <c r="O1665" i="2"/>
  <c r="L1666" i="2"/>
  <c r="M1666" i="2"/>
  <c r="N1666" i="2"/>
  <c r="O1666" i="2"/>
  <c r="L1667" i="2"/>
  <c r="M1667" i="2"/>
  <c r="N1667" i="2"/>
  <c r="O1667" i="2"/>
  <c r="L1668" i="2"/>
  <c r="M1668" i="2"/>
  <c r="N1668" i="2"/>
  <c r="O1668" i="2"/>
  <c r="L1669" i="2"/>
  <c r="M1669" i="2"/>
  <c r="N1669" i="2"/>
  <c r="O1669" i="2"/>
  <c r="L1670" i="2"/>
  <c r="M1670" i="2"/>
  <c r="N1670" i="2"/>
  <c r="O1670" i="2"/>
  <c r="L1671" i="2"/>
  <c r="M1671" i="2"/>
  <c r="N1671" i="2"/>
  <c r="O1671" i="2"/>
  <c r="L1672" i="2"/>
  <c r="M1672" i="2"/>
  <c r="N1672" i="2"/>
  <c r="O1672" i="2"/>
  <c r="L1673" i="2"/>
  <c r="M1673" i="2"/>
  <c r="N1673" i="2"/>
  <c r="O1673" i="2"/>
  <c r="L1674" i="2"/>
  <c r="M1674" i="2"/>
  <c r="N1674" i="2"/>
  <c r="O1674" i="2"/>
  <c r="L1675" i="2"/>
  <c r="M1675" i="2"/>
  <c r="N1675" i="2"/>
  <c r="O1675" i="2"/>
  <c r="L1676" i="2"/>
  <c r="M1676" i="2"/>
  <c r="N1676" i="2"/>
  <c r="O1676" i="2"/>
  <c r="L1677" i="2"/>
  <c r="M1677" i="2"/>
  <c r="N1677" i="2"/>
  <c r="O1677" i="2"/>
  <c r="L1678" i="2"/>
  <c r="M1678" i="2"/>
  <c r="N1678" i="2"/>
  <c r="O1678" i="2"/>
  <c r="L1679" i="2"/>
  <c r="M1679" i="2"/>
  <c r="N1679" i="2"/>
  <c r="O1679" i="2"/>
  <c r="L1680" i="2"/>
  <c r="M1680" i="2"/>
  <c r="N1680" i="2"/>
  <c r="O1680" i="2"/>
  <c r="L1681" i="2"/>
  <c r="M1681" i="2"/>
  <c r="N1681" i="2"/>
  <c r="O1681" i="2"/>
  <c r="L1682" i="2"/>
  <c r="M1682" i="2"/>
  <c r="N1682" i="2"/>
  <c r="O1682" i="2"/>
  <c r="L1683" i="2"/>
  <c r="M1683" i="2"/>
  <c r="N1683" i="2"/>
  <c r="O1683" i="2"/>
  <c r="L1684" i="2"/>
  <c r="M1684" i="2"/>
  <c r="N1684" i="2"/>
  <c r="O1684" i="2"/>
  <c r="L1685" i="2"/>
  <c r="M1685" i="2"/>
  <c r="N1685" i="2"/>
  <c r="O1685" i="2"/>
  <c r="L1686" i="2"/>
  <c r="M1686" i="2"/>
  <c r="N1686" i="2"/>
  <c r="O1686" i="2"/>
  <c r="L1687" i="2"/>
  <c r="M1687" i="2"/>
  <c r="N1687" i="2"/>
  <c r="O1687" i="2"/>
  <c r="L1688" i="2"/>
  <c r="M1688" i="2"/>
  <c r="N1688" i="2"/>
  <c r="O1688" i="2"/>
  <c r="L1689" i="2"/>
  <c r="M1689" i="2"/>
  <c r="N1689" i="2"/>
  <c r="O1689" i="2"/>
  <c r="L1690" i="2"/>
  <c r="M1690" i="2"/>
  <c r="N1690" i="2"/>
  <c r="O1690" i="2"/>
  <c r="L1691" i="2"/>
  <c r="M1691" i="2"/>
  <c r="N1691" i="2"/>
  <c r="O1691" i="2"/>
  <c r="L1692" i="2"/>
  <c r="M1692" i="2"/>
  <c r="N1692" i="2"/>
  <c r="O1692" i="2"/>
  <c r="L1693" i="2"/>
  <c r="M1693" i="2"/>
  <c r="N1693" i="2"/>
  <c r="O1693" i="2"/>
  <c r="L1694" i="2"/>
  <c r="M1694" i="2"/>
  <c r="N1694" i="2"/>
  <c r="O1694" i="2"/>
  <c r="L1695" i="2"/>
  <c r="M1695" i="2"/>
  <c r="N1695" i="2"/>
  <c r="O1695" i="2"/>
  <c r="L1696" i="2"/>
  <c r="M1696" i="2"/>
  <c r="N1696" i="2"/>
  <c r="O1696" i="2"/>
  <c r="L1697" i="2"/>
  <c r="M1697" i="2"/>
  <c r="N1697" i="2"/>
  <c r="O1697" i="2"/>
  <c r="L1698" i="2"/>
  <c r="M1698" i="2"/>
  <c r="N1698" i="2"/>
  <c r="O1698" i="2"/>
  <c r="L1699" i="2"/>
  <c r="M1699" i="2"/>
  <c r="N1699" i="2"/>
  <c r="O1699" i="2"/>
  <c r="L1700" i="2"/>
  <c r="M1700" i="2"/>
  <c r="N1700" i="2"/>
  <c r="O1700" i="2"/>
  <c r="L1701" i="2"/>
  <c r="M1701" i="2"/>
  <c r="N1701" i="2"/>
  <c r="O1701" i="2"/>
  <c r="L1702" i="2"/>
  <c r="M1702" i="2"/>
  <c r="N1702" i="2"/>
  <c r="O1702" i="2"/>
  <c r="L1703" i="2"/>
  <c r="M1703" i="2"/>
  <c r="N1703" i="2"/>
  <c r="O1703" i="2"/>
  <c r="L1704" i="2"/>
  <c r="M1704" i="2"/>
  <c r="N1704" i="2"/>
  <c r="O1704" i="2"/>
  <c r="L1705" i="2"/>
  <c r="M1705" i="2"/>
  <c r="N1705" i="2"/>
  <c r="O1705" i="2"/>
  <c r="L1706" i="2"/>
  <c r="M1706" i="2"/>
  <c r="N1706" i="2"/>
  <c r="O1706" i="2"/>
  <c r="L1707" i="2"/>
  <c r="M1707" i="2"/>
  <c r="N1707" i="2"/>
  <c r="O1707" i="2"/>
  <c r="L1708" i="2"/>
  <c r="M1708" i="2"/>
  <c r="N1708" i="2"/>
  <c r="O1708" i="2"/>
  <c r="L1709" i="2"/>
  <c r="M1709" i="2"/>
  <c r="N1709" i="2"/>
  <c r="O1709" i="2"/>
  <c r="L1710" i="2"/>
  <c r="M1710" i="2"/>
  <c r="N1710" i="2"/>
  <c r="O1710" i="2"/>
  <c r="L1711" i="2"/>
  <c r="M1711" i="2"/>
  <c r="N1711" i="2"/>
  <c r="O1711" i="2"/>
  <c r="L1712" i="2"/>
  <c r="M1712" i="2"/>
  <c r="N1712" i="2"/>
  <c r="O1712" i="2"/>
  <c r="L1713" i="2"/>
  <c r="M1713" i="2"/>
  <c r="N1713" i="2"/>
  <c r="O1713" i="2"/>
  <c r="L1714" i="2"/>
  <c r="M1714" i="2"/>
  <c r="N1714" i="2"/>
  <c r="O1714" i="2"/>
  <c r="L1715" i="2"/>
  <c r="M1715" i="2"/>
  <c r="N1715" i="2"/>
  <c r="O1715" i="2"/>
  <c r="L1716" i="2"/>
  <c r="M1716" i="2"/>
  <c r="N1716" i="2"/>
  <c r="O1716" i="2"/>
  <c r="L1717" i="2"/>
  <c r="M1717" i="2"/>
  <c r="N1717" i="2"/>
  <c r="O1717" i="2"/>
  <c r="L1718" i="2"/>
  <c r="M1718" i="2"/>
  <c r="N1718" i="2"/>
  <c r="O1718" i="2"/>
  <c r="L1719" i="2"/>
  <c r="M1719" i="2"/>
  <c r="N1719" i="2"/>
  <c r="O1719" i="2"/>
  <c r="L1720" i="2"/>
  <c r="M1720" i="2"/>
  <c r="N1720" i="2"/>
  <c r="O1720" i="2"/>
  <c r="L1721" i="2"/>
  <c r="M1721" i="2"/>
  <c r="N1721" i="2"/>
  <c r="O1721" i="2"/>
  <c r="L1722" i="2"/>
  <c r="M1722" i="2"/>
  <c r="N1722" i="2"/>
  <c r="O1722" i="2"/>
  <c r="L1723" i="2"/>
  <c r="M1723" i="2"/>
  <c r="N1723" i="2"/>
  <c r="O1723" i="2"/>
  <c r="L1724" i="2"/>
  <c r="M1724" i="2"/>
  <c r="N1724" i="2"/>
  <c r="O1724" i="2"/>
  <c r="L1725" i="2"/>
  <c r="M1725" i="2"/>
  <c r="N1725" i="2"/>
  <c r="O1725" i="2"/>
  <c r="L1726" i="2"/>
  <c r="M1726" i="2"/>
  <c r="N1726" i="2"/>
  <c r="O1726" i="2"/>
  <c r="L1727" i="2"/>
  <c r="M1727" i="2"/>
  <c r="N1727" i="2"/>
  <c r="O1727" i="2"/>
  <c r="L1728" i="2"/>
  <c r="M1728" i="2"/>
  <c r="N1728" i="2"/>
  <c r="O1728" i="2"/>
  <c r="L1729" i="2"/>
  <c r="M1729" i="2"/>
  <c r="N1729" i="2"/>
  <c r="O1729" i="2"/>
  <c r="L1730" i="2"/>
  <c r="M1730" i="2"/>
  <c r="N1730" i="2"/>
  <c r="O1730" i="2"/>
  <c r="L1731" i="2"/>
  <c r="M1731" i="2"/>
  <c r="N1731" i="2"/>
  <c r="O1731" i="2"/>
  <c r="L1732" i="2"/>
  <c r="M1732" i="2"/>
  <c r="N1732" i="2"/>
  <c r="O1732" i="2"/>
  <c r="L1733" i="2"/>
  <c r="M1733" i="2"/>
  <c r="N1733" i="2"/>
  <c r="O1733" i="2"/>
  <c r="L1734" i="2"/>
  <c r="M1734" i="2"/>
  <c r="N1734" i="2"/>
  <c r="O1734" i="2"/>
  <c r="L1735" i="2"/>
  <c r="M1735" i="2"/>
  <c r="N1735" i="2"/>
  <c r="O1735" i="2"/>
  <c r="L1736" i="2"/>
  <c r="M1736" i="2"/>
  <c r="N1736" i="2"/>
  <c r="O1736" i="2"/>
  <c r="L1737" i="2"/>
  <c r="M1737" i="2"/>
  <c r="N1737" i="2"/>
  <c r="O1737" i="2"/>
  <c r="L1738" i="2"/>
  <c r="M1738" i="2"/>
  <c r="N1738" i="2"/>
  <c r="O1738" i="2"/>
  <c r="L1739" i="2"/>
  <c r="M1739" i="2"/>
  <c r="N1739" i="2"/>
  <c r="O1739" i="2"/>
  <c r="L1740" i="2"/>
  <c r="M1740" i="2"/>
  <c r="N1740" i="2"/>
  <c r="O1740" i="2"/>
  <c r="L1741" i="2"/>
  <c r="M1741" i="2"/>
  <c r="N1741" i="2"/>
  <c r="O1741" i="2"/>
  <c r="L1742" i="2"/>
  <c r="M1742" i="2"/>
  <c r="N1742" i="2"/>
  <c r="O1742" i="2"/>
  <c r="L1743" i="2"/>
  <c r="M1743" i="2"/>
  <c r="N1743" i="2"/>
  <c r="O1743" i="2"/>
  <c r="L1744" i="2"/>
  <c r="M1744" i="2"/>
  <c r="N1744" i="2"/>
  <c r="O1744" i="2"/>
  <c r="L1745" i="2"/>
  <c r="M1745" i="2"/>
  <c r="N1745" i="2"/>
  <c r="O1745" i="2"/>
  <c r="L1746" i="2"/>
  <c r="M1746" i="2"/>
  <c r="N1746" i="2"/>
  <c r="O1746" i="2"/>
  <c r="L1747" i="2"/>
  <c r="M1747" i="2"/>
  <c r="N1747" i="2"/>
  <c r="O1747" i="2"/>
  <c r="L1748" i="2"/>
  <c r="M1748" i="2"/>
  <c r="N1748" i="2"/>
  <c r="O1748" i="2"/>
  <c r="L1749" i="2"/>
  <c r="M1749" i="2"/>
  <c r="N1749" i="2"/>
  <c r="O1749" i="2"/>
  <c r="L1750" i="2"/>
  <c r="M1750" i="2"/>
  <c r="N1750" i="2"/>
  <c r="O1750" i="2"/>
  <c r="L1751" i="2"/>
  <c r="M1751" i="2"/>
  <c r="N1751" i="2"/>
  <c r="O1751" i="2"/>
  <c r="L1752" i="2"/>
  <c r="M1752" i="2"/>
  <c r="N1752" i="2"/>
  <c r="O1752" i="2"/>
  <c r="L1753" i="2"/>
  <c r="M1753" i="2"/>
  <c r="N1753" i="2"/>
  <c r="O1753" i="2"/>
  <c r="L1754" i="2"/>
  <c r="M1754" i="2"/>
  <c r="N1754" i="2"/>
  <c r="O1754" i="2"/>
  <c r="L1755" i="2"/>
  <c r="M1755" i="2"/>
  <c r="N1755" i="2"/>
  <c r="O1755" i="2"/>
  <c r="L1756" i="2"/>
  <c r="M1756" i="2"/>
  <c r="N1756" i="2"/>
  <c r="O1756" i="2"/>
  <c r="L1757" i="2"/>
  <c r="M1757" i="2"/>
  <c r="N1757" i="2"/>
  <c r="O1757" i="2"/>
  <c r="L1758" i="2"/>
  <c r="M1758" i="2"/>
  <c r="N1758" i="2"/>
  <c r="O1758" i="2"/>
  <c r="L1759" i="2"/>
  <c r="M1759" i="2"/>
  <c r="N1759" i="2"/>
  <c r="O1759" i="2"/>
  <c r="L1760" i="2"/>
  <c r="M1760" i="2"/>
  <c r="N1760" i="2"/>
  <c r="O1760" i="2"/>
  <c r="L1761" i="2"/>
  <c r="M1761" i="2"/>
  <c r="N1761" i="2"/>
  <c r="O1761" i="2"/>
  <c r="L1762" i="2"/>
  <c r="M1762" i="2"/>
  <c r="N1762" i="2"/>
  <c r="O1762" i="2"/>
  <c r="L1763" i="2"/>
  <c r="M1763" i="2"/>
  <c r="N1763" i="2"/>
  <c r="O1763" i="2"/>
  <c r="L1764" i="2"/>
  <c r="M1764" i="2"/>
  <c r="N1764" i="2"/>
  <c r="O1764" i="2"/>
  <c r="L1765" i="2"/>
  <c r="M1765" i="2"/>
  <c r="N1765" i="2"/>
  <c r="O1765" i="2"/>
  <c r="L1766" i="2"/>
  <c r="M1766" i="2"/>
  <c r="N1766" i="2"/>
  <c r="O1766" i="2"/>
  <c r="L1767" i="2"/>
  <c r="M1767" i="2"/>
  <c r="N1767" i="2"/>
  <c r="O1767" i="2"/>
  <c r="L1768" i="2"/>
  <c r="M1768" i="2"/>
  <c r="N1768" i="2"/>
  <c r="O1768" i="2"/>
  <c r="L1769" i="2"/>
  <c r="M1769" i="2"/>
  <c r="N1769" i="2"/>
  <c r="O1769" i="2"/>
  <c r="L1770" i="2"/>
  <c r="M1770" i="2"/>
  <c r="N1770" i="2"/>
  <c r="O1770" i="2"/>
  <c r="L1771" i="2"/>
  <c r="M1771" i="2"/>
  <c r="N1771" i="2"/>
  <c r="O1771" i="2"/>
  <c r="L1772" i="2"/>
  <c r="M1772" i="2"/>
  <c r="N1772" i="2"/>
  <c r="O1772" i="2"/>
  <c r="L1773" i="2"/>
  <c r="M1773" i="2"/>
  <c r="N1773" i="2"/>
  <c r="O1773" i="2"/>
  <c r="L1774" i="2"/>
  <c r="M1774" i="2"/>
  <c r="N1774" i="2"/>
  <c r="O1774" i="2"/>
  <c r="L1775" i="2"/>
  <c r="M1775" i="2"/>
  <c r="N1775" i="2"/>
  <c r="O1775" i="2"/>
  <c r="L1776" i="2"/>
  <c r="M1776" i="2"/>
  <c r="N1776" i="2"/>
  <c r="O1776" i="2"/>
  <c r="L1777" i="2"/>
  <c r="M1777" i="2"/>
  <c r="N1777" i="2"/>
  <c r="O1777" i="2"/>
  <c r="L1778" i="2"/>
  <c r="M1778" i="2"/>
  <c r="N1778" i="2"/>
  <c r="O1778" i="2"/>
  <c r="L1779" i="2"/>
  <c r="M1779" i="2"/>
  <c r="N1779" i="2"/>
  <c r="O1779" i="2"/>
  <c r="L1780" i="2"/>
  <c r="M1780" i="2"/>
  <c r="N1780" i="2"/>
  <c r="O1780" i="2"/>
  <c r="L1781" i="2"/>
  <c r="M1781" i="2"/>
  <c r="N1781" i="2"/>
  <c r="O1781" i="2"/>
  <c r="L1782" i="2"/>
  <c r="M1782" i="2"/>
  <c r="N1782" i="2"/>
  <c r="O1782" i="2"/>
  <c r="L1783" i="2"/>
  <c r="M1783" i="2"/>
  <c r="N1783" i="2"/>
  <c r="O1783" i="2"/>
  <c r="L1784" i="2"/>
  <c r="M1784" i="2"/>
  <c r="N1784" i="2"/>
  <c r="O1784" i="2"/>
  <c r="L1785" i="2"/>
  <c r="M1785" i="2"/>
  <c r="N1785" i="2"/>
  <c r="O1785" i="2"/>
  <c r="L1786" i="2"/>
  <c r="M1786" i="2"/>
  <c r="N1786" i="2"/>
  <c r="O1786" i="2"/>
  <c r="L1787" i="2"/>
  <c r="M1787" i="2"/>
  <c r="N1787" i="2"/>
  <c r="O1787" i="2"/>
  <c r="L1788" i="2"/>
  <c r="M1788" i="2"/>
  <c r="N1788" i="2"/>
  <c r="O1788" i="2"/>
  <c r="L1789" i="2"/>
  <c r="M1789" i="2"/>
  <c r="N1789" i="2"/>
  <c r="O1789" i="2"/>
  <c r="L1790" i="2"/>
  <c r="M1790" i="2"/>
  <c r="N1790" i="2"/>
  <c r="O1790" i="2"/>
  <c r="L1791" i="2"/>
  <c r="M1791" i="2"/>
  <c r="N1791" i="2"/>
  <c r="O1791" i="2"/>
  <c r="L1792" i="2"/>
  <c r="M1792" i="2"/>
  <c r="N1792" i="2"/>
  <c r="O1792" i="2"/>
  <c r="L1793" i="2"/>
  <c r="M1793" i="2"/>
  <c r="N1793" i="2"/>
  <c r="O1793" i="2"/>
  <c r="L1794" i="2"/>
  <c r="M1794" i="2"/>
  <c r="N1794" i="2"/>
  <c r="O1794" i="2"/>
  <c r="L1795" i="2"/>
  <c r="M1795" i="2"/>
  <c r="N1795" i="2"/>
  <c r="O1795" i="2"/>
  <c r="L1796" i="2"/>
  <c r="M1796" i="2"/>
  <c r="N1796" i="2"/>
  <c r="O1796" i="2"/>
  <c r="L1797" i="2"/>
  <c r="M1797" i="2"/>
  <c r="N1797" i="2"/>
  <c r="O1797" i="2"/>
  <c r="L1798" i="2"/>
  <c r="M1798" i="2"/>
  <c r="N1798" i="2"/>
  <c r="O1798" i="2"/>
  <c r="L1799" i="2"/>
  <c r="M1799" i="2"/>
  <c r="N1799" i="2"/>
  <c r="O1799" i="2"/>
  <c r="L1800" i="2"/>
  <c r="M1800" i="2"/>
  <c r="N1800" i="2"/>
  <c r="O1800" i="2"/>
  <c r="L1801" i="2"/>
  <c r="M1801" i="2"/>
  <c r="N1801" i="2"/>
  <c r="O1801" i="2"/>
  <c r="L1802" i="2"/>
  <c r="M1802" i="2"/>
  <c r="N1802" i="2"/>
  <c r="O1802" i="2"/>
  <c r="L1803" i="2"/>
  <c r="M1803" i="2"/>
  <c r="N1803" i="2"/>
  <c r="O1803" i="2"/>
  <c r="L1804" i="2"/>
  <c r="M1804" i="2"/>
  <c r="N1804" i="2"/>
  <c r="O1804" i="2"/>
  <c r="L1805" i="2"/>
  <c r="M1805" i="2"/>
  <c r="N1805" i="2"/>
  <c r="O1805" i="2"/>
  <c r="L1806" i="2"/>
  <c r="M1806" i="2"/>
  <c r="N1806" i="2"/>
  <c r="O1806" i="2"/>
  <c r="L1807" i="2"/>
  <c r="M1807" i="2"/>
  <c r="N1807" i="2"/>
  <c r="O1807" i="2"/>
  <c r="L1808" i="2"/>
  <c r="M1808" i="2"/>
  <c r="N1808" i="2"/>
  <c r="O1808" i="2"/>
  <c r="L1809" i="2"/>
  <c r="M1809" i="2"/>
  <c r="N1809" i="2"/>
  <c r="O1809" i="2"/>
  <c r="L1810" i="2"/>
  <c r="M1810" i="2"/>
  <c r="N1810" i="2"/>
  <c r="O1810" i="2"/>
  <c r="L1811" i="2"/>
  <c r="M1811" i="2"/>
  <c r="N1811" i="2"/>
  <c r="O1811" i="2"/>
  <c r="L1812" i="2"/>
  <c r="M1812" i="2"/>
  <c r="N1812" i="2"/>
  <c r="O1812" i="2"/>
  <c r="L1813" i="2"/>
  <c r="M1813" i="2"/>
  <c r="N1813" i="2"/>
  <c r="O1813" i="2"/>
  <c r="L1814" i="2"/>
  <c r="M1814" i="2"/>
  <c r="N1814" i="2"/>
  <c r="O1814" i="2"/>
  <c r="L1815" i="2"/>
  <c r="M1815" i="2"/>
  <c r="N1815" i="2"/>
  <c r="O1815" i="2"/>
  <c r="L1816" i="2"/>
  <c r="M1816" i="2"/>
  <c r="N1816" i="2"/>
  <c r="O1816" i="2"/>
  <c r="L1817" i="2"/>
  <c r="M1817" i="2"/>
  <c r="N1817" i="2"/>
  <c r="O1817" i="2"/>
  <c r="L1818" i="2"/>
  <c r="M1818" i="2"/>
  <c r="N1818" i="2"/>
  <c r="O1818" i="2"/>
  <c r="L1819" i="2"/>
  <c r="M1819" i="2"/>
  <c r="N1819" i="2"/>
  <c r="O1819" i="2"/>
  <c r="L1820" i="2"/>
  <c r="M1820" i="2"/>
  <c r="N1820" i="2"/>
  <c r="O1820" i="2"/>
  <c r="L1821" i="2"/>
  <c r="M1821" i="2"/>
  <c r="N1821" i="2"/>
  <c r="O1821" i="2"/>
  <c r="L1822" i="2"/>
  <c r="M1822" i="2"/>
  <c r="N1822" i="2"/>
  <c r="O1822" i="2"/>
  <c r="L1823" i="2"/>
  <c r="M1823" i="2"/>
  <c r="N1823" i="2"/>
  <c r="O1823" i="2"/>
  <c r="L1824" i="2"/>
  <c r="M1824" i="2"/>
  <c r="N1824" i="2"/>
  <c r="O1824" i="2"/>
  <c r="L1825" i="2"/>
  <c r="M1825" i="2"/>
  <c r="N1825" i="2"/>
  <c r="O1825" i="2"/>
  <c r="L1826" i="2"/>
  <c r="M1826" i="2"/>
  <c r="N1826" i="2"/>
  <c r="O1826" i="2"/>
  <c r="L1827" i="2"/>
  <c r="M1827" i="2"/>
  <c r="N1827" i="2"/>
  <c r="O1827" i="2"/>
  <c r="L1828" i="2"/>
  <c r="M1828" i="2"/>
  <c r="N1828" i="2"/>
  <c r="O1828" i="2"/>
  <c r="L1829" i="2"/>
  <c r="M1829" i="2"/>
  <c r="N1829" i="2"/>
  <c r="O1829" i="2"/>
  <c r="L1830" i="2"/>
  <c r="M1830" i="2"/>
  <c r="N1830" i="2"/>
  <c r="O1830" i="2"/>
  <c r="L1831" i="2"/>
  <c r="M1831" i="2"/>
  <c r="N1831" i="2"/>
  <c r="O1831" i="2"/>
  <c r="L1832" i="2"/>
  <c r="M1832" i="2"/>
  <c r="N1832" i="2"/>
  <c r="O1832" i="2"/>
  <c r="L1833" i="2"/>
  <c r="M1833" i="2"/>
  <c r="N1833" i="2"/>
  <c r="O1833" i="2"/>
  <c r="L1834" i="2"/>
  <c r="M1834" i="2"/>
  <c r="N1834" i="2"/>
  <c r="O1834" i="2"/>
  <c r="L1835" i="2"/>
  <c r="M1835" i="2"/>
  <c r="N1835" i="2"/>
  <c r="O1835" i="2"/>
  <c r="L1836" i="2"/>
  <c r="M1836" i="2"/>
  <c r="N1836" i="2"/>
  <c r="O1836" i="2"/>
  <c r="L1837" i="2"/>
  <c r="M1837" i="2"/>
  <c r="N1837" i="2"/>
  <c r="O1837" i="2"/>
  <c r="L1838" i="2"/>
  <c r="M1838" i="2"/>
  <c r="N1838" i="2"/>
  <c r="O1838" i="2"/>
  <c r="L1839" i="2"/>
  <c r="M1839" i="2"/>
  <c r="N1839" i="2"/>
  <c r="O1839" i="2"/>
  <c r="L1840" i="2"/>
  <c r="M1840" i="2"/>
  <c r="N1840" i="2"/>
  <c r="O1840" i="2"/>
  <c r="L1841" i="2"/>
  <c r="M1841" i="2"/>
  <c r="N1841" i="2"/>
  <c r="O1841" i="2"/>
  <c r="L1842" i="2"/>
  <c r="M1842" i="2"/>
  <c r="N1842" i="2"/>
  <c r="O1842" i="2"/>
  <c r="L1843" i="2"/>
  <c r="M1843" i="2"/>
  <c r="N1843" i="2"/>
  <c r="O1843" i="2"/>
  <c r="L1844" i="2"/>
  <c r="M1844" i="2"/>
  <c r="N1844" i="2"/>
  <c r="O1844" i="2"/>
  <c r="L1845" i="2"/>
  <c r="M1845" i="2"/>
  <c r="N1845" i="2"/>
  <c r="O1845" i="2"/>
  <c r="L1846" i="2"/>
  <c r="M1846" i="2"/>
  <c r="N1846" i="2"/>
  <c r="O1846" i="2"/>
  <c r="L1847" i="2"/>
  <c r="M1847" i="2"/>
  <c r="N1847" i="2"/>
  <c r="O1847" i="2"/>
  <c r="L1848" i="2"/>
  <c r="M1848" i="2"/>
  <c r="N1848" i="2"/>
  <c r="O1848" i="2"/>
  <c r="L1849" i="2"/>
  <c r="M1849" i="2"/>
  <c r="N1849" i="2"/>
  <c r="O1849" i="2"/>
  <c r="L1850" i="2"/>
  <c r="M1850" i="2"/>
  <c r="N1850" i="2"/>
  <c r="O1850" i="2"/>
  <c r="L1851" i="2"/>
  <c r="M1851" i="2"/>
  <c r="N1851" i="2"/>
  <c r="O1851" i="2"/>
  <c r="L1852" i="2"/>
  <c r="M1852" i="2"/>
  <c r="N1852" i="2"/>
  <c r="O1852" i="2"/>
  <c r="L1853" i="2"/>
  <c r="M1853" i="2"/>
  <c r="N1853" i="2"/>
  <c r="O1853" i="2"/>
  <c r="L1854" i="2"/>
  <c r="M1854" i="2"/>
  <c r="N1854" i="2"/>
  <c r="O1854" i="2"/>
  <c r="L1855" i="2"/>
  <c r="M1855" i="2"/>
  <c r="N1855" i="2"/>
  <c r="O1855" i="2"/>
  <c r="L1856" i="2"/>
  <c r="M1856" i="2"/>
  <c r="N1856" i="2"/>
  <c r="O1856" i="2"/>
  <c r="L1857" i="2"/>
  <c r="M1857" i="2"/>
  <c r="N1857" i="2"/>
  <c r="O1857" i="2"/>
  <c r="L1858" i="2"/>
  <c r="M1858" i="2"/>
  <c r="N1858" i="2"/>
  <c r="O1858" i="2"/>
  <c r="L1859" i="2"/>
  <c r="M1859" i="2"/>
  <c r="N1859" i="2"/>
  <c r="O1859" i="2"/>
  <c r="L1860" i="2"/>
  <c r="M1860" i="2"/>
  <c r="N1860" i="2"/>
  <c r="O1860" i="2"/>
  <c r="L1861" i="2"/>
  <c r="M1861" i="2"/>
  <c r="N1861" i="2"/>
  <c r="O1861" i="2"/>
  <c r="L1862" i="2"/>
  <c r="M1862" i="2"/>
  <c r="N1862" i="2"/>
  <c r="O1862" i="2"/>
  <c r="L1863" i="2"/>
  <c r="M1863" i="2"/>
  <c r="N1863" i="2"/>
  <c r="O1863" i="2"/>
  <c r="L1864" i="2"/>
  <c r="M1864" i="2"/>
  <c r="N1864" i="2"/>
  <c r="O1864" i="2"/>
  <c r="L1865" i="2"/>
  <c r="M1865" i="2"/>
  <c r="N1865" i="2"/>
  <c r="O1865" i="2"/>
  <c r="L1866" i="2"/>
  <c r="M1866" i="2"/>
  <c r="N1866" i="2"/>
  <c r="O1866" i="2"/>
  <c r="L1867" i="2"/>
  <c r="M1867" i="2"/>
  <c r="N1867" i="2"/>
  <c r="O1867" i="2"/>
  <c r="L1868" i="2"/>
  <c r="M1868" i="2"/>
  <c r="N1868" i="2"/>
  <c r="O1868" i="2"/>
  <c r="L1869" i="2"/>
  <c r="M1869" i="2"/>
  <c r="N1869" i="2"/>
  <c r="O1869" i="2"/>
  <c r="L1870" i="2"/>
  <c r="M1870" i="2"/>
  <c r="N1870" i="2"/>
  <c r="O1870" i="2"/>
  <c r="L1871" i="2"/>
  <c r="M1871" i="2"/>
  <c r="N1871" i="2"/>
  <c r="O1871" i="2"/>
  <c r="L1872" i="2"/>
  <c r="M1872" i="2"/>
  <c r="N1872" i="2"/>
  <c r="O1872" i="2"/>
  <c r="L1873" i="2"/>
  <c r="M1873" i="2"/>
  <c r="N1873" i="2"/>
  <c r="O1873" i="2"/>
  <c r="L1874" i="2"/>
  <c r="M1874" i="2"/>
  <c r="N1874" i="2"/>
  <c r="O1874" i="2"/>
  <c r="L1875" i="2"/>
  <c r="M1875" i="2"/>
  <c r="N1875" i="2"/>
  <c r="O1875" i="2"/>
  <c r="L1876" i="2"/>
  <c r="M1876" i="2"/>
  <c r="N1876" i="2"/>
  <c r="O1876" i="2"/>
  <c r="L1877" i="2"/>
  <c r="M1877" i="2"/>
  <c r="N1877" i="2"/>
  <c r="O1877" i="2"/>
  <c r="L1878" i="2"/>
  <c r="M1878" i="2"/>
  <c r="N1878" i="2"/>
  <c r="O1878" i="2"/>
  <c r="L1879" i="2"/>
  <c r="M1879" i="2"/>
  <c r="N1879" i="2"/>
  <c r="O1879" i="2"/>
  <c r="L1880" i="2"/>
  <c r="M1880" i="2"/>
  <c r="N1880" i="2"/>
  <c r="O1880" i="2"/>
  <c r="L1881" i="2"/>
  <c r="M1881" i="2"/>
  <c r="N1881" i="2"/>
  <c r="O1881" i="2"/>
  <c r="L1882" i="2"/>
  <c r="M1882" i="2"/>
  <c r="N1882" i="2"/>
  <c r="O1882" i="2"/>
  <c r="L1883" i="2"/>
  <c r="M1883" i="2"/>
  <c r="N1883" i="2"/>
  <c r="O1883" i="2"/>
  <c r="L1884" i="2"/>
  <c r="M1884" i="2"/>
  <c r="N1884" i="2"/>
  <c r="O1884" i="2"/>
  <c r="L1885" i="2"/>
  <c r="M1885" i="2"/>
  <c r="N1885" i="2"/>
  <c r="O1885" i="2"/>
  <c r="L1886" i="2"/>
  <c r="M1886" i="2"/>
  <c r="N1886" i="2"/>
  <c r="O1886" i="2"/>
  <c r="L1887" i="2"/>
  <c r="M1887" i="2"/>
  <c r="N1887" i="2"/>
  <c r="O1887" i="2"/>
  <c r="L1888" i="2"/>
  <c r="M1888" i="2"/>
  <c r="N1888" i="2"/>
  <c r="O1888" i="2"/>
  <c r="L1889" i="2"/>
  <c r="M1889" i="2"/>
  <c r="N1889" i="2"/>
  <c r="O1889" i="2"/>
  <c r="L1890" i="2"/>
  <c r="M1890" i="2"/>
  <c r="N1890" i="2"/>
  <c r="O1890" i="2"/>
  <c r="L1891" i="2"/>
  <c r="M1891" i="2"/>
  <c r="N1891" i="2"/>
  <c r="O1891" i="2"/>
  <c r="L1892" i="2"/>
  <c r="M1892" i="2"/>
  <c r="N1892" i="2"/>
  <c r="O1892" i="2"/>
  <c r="L1893" i="2"/>
  <c r="M1893" i="2"/>
  <c r="N1893" i="2"/>
  <c r="O1893" i="2"/>
  <c r="L1894" i="2"/>
  <c r="M1894" i="2"/>
  <c r="N1894" i="2"/>
  <c r="O1894" i="2"/>
  <c r="L1895" i="2"/>
  <c r="M1895" i="2"/>
  <c r="N1895" i="2"/>
  <c r="O1895" i="2"/>
  <c r="L1896" i="2"/>
  <c r="M1896" i="2"/>
  <c r="N1896" i="2"/>
  <c r="O1896" i="2"/>
  <c r="L1897" i="2"/>
  <c r="M1897" i="2"/>
  <c r="N1897" i="2"/>
  <c r="O1897" i="2"/>
  <c r="L1898" i="2"/>
  <c r="M1898" i="2"/>
  <c r="N1898" i="2"/>
  <c r="O1898" i="2"/>
  <c r="L1899" i="2"/>
  <c r="M1899" i="2"/>
  <c r="N1899" i="2"/>
  <c r="O1899" i="2"/>
  <c r="L1900" i="2"/>
  <c r="M1900" i="2"/>
  <c r="N1900" i="2"/>
  <c r="O1900" i="2"/>
  <c r="L1901" i="2"/>
  <c r="M1901" i="2"/>
  <c r="N1901" i="2"/>
  <c r="O1901" i="2"/>
  <c r="L1902" i="2"/>
  <c r="M1902" i="2"/>
  <c r="N1902" i="2"/>
  <c r="O1902" i="2"/>
  <c r="L1903" i="2"/>
  <c r="M1903" i="2"/>
  <c r="N1903" i="2"/>
  <c r="O1903" i="2"/>
  <c r="L1904" i="2"/>
  <c r="M1904" i="2"/>
  <c r="N1904" i="2"/>
  <c r="O1904" i="2"/>
  <c r="L1905" i="2"/>
  <c r="M1905" i="2"/>
  <c r="N1905" i="2"/>
  <c r="O1905" i="2"/>
  <c r="L1906" i="2"/>
  <c r="M1906" i="2"/>
  <c r="N1906" i="2"/>
  <c r="O1906" i="2"/>
  <c r="L1907" i="2"/>
  <c r="M1907" i="2"/>
  <c r="N1907" i="2"/>
  <c r="O1907" i="2"/>
  <c r="L1908" i="2"/>
  <c r="M1908" i="2"/>
  <c r="N1908" i="2"/>
  <c r="O1908" i="2"/>
  <c r="L1909" i="2"/>
  <c r="M1909" i="2"/>
  <c r="N1909" i="2"/>
  <c r="O1909" i="2"/>
  <c r="L1910" i="2"/>
  <c r="M1910" i="2"/>
  <c r="N1910" i="2"/>
  <c r="O1910" i="2"/>
  <c r="L1911" i="2"/>
  <c r="M1911" i="2"/>
  <c r="N1911" i="2"/>
  <c r="O1911" i="2"/>
  <c r="L1912" i="2"/>
  <c r="M1912" i="2"/>
  <c r="N1912" i="2"/>
  <c r="O1912" i="2"/>
  <c r="L1913" i="2"/>
  <c r="M1913" i="2"/>
  <c r="N1913" i="2"/>
  <c r="O1913" i="2"/>
  <c r="L1914" i="2"/>
  <c r="M1914" i="2"/>
  <c r="N1914" i="2"/>
  <c r="O1914" i="2"/>
  <c r="L1915" i="2"/>
  <c r="M1915" i="2"/>
  <c r="N1915" i="2"/>
  <c r="O1915" i="2"/>
  <c r="L1916" i="2"/>
  <c r="M1916" i="2"/>
  <c r="N1916" i="2"/>
  <c r="O1916" i="2"/>
  <c r="L1917" i="2"/>
  <c r="M1917" i="2"/>
  <c r="N1917" i="2"/>
  <c r="O1917" i="2"/>
  <c r="L1918" i="2"/>
  <c r="M1918" i="2"/>
  <c r="N1918" i="2"/>
  <c r="O1918" i="2"/>
  <c r="L1919" i="2"/>
  <c r="M1919" i="2"/>
  <c r="N1919" i="2"/>
  <c r="O1919" i="2"/>
  <c r="L1920" i="2"/>
  <c r="M1920" i="2"/>
  <c r="N1920" i="2"/>
  <c r="O1920" i="2"/>
  <c r="L1921" i="2"/>
  <c r="M1921" i="2"/>
  <c r="N1921" i="2"/>
  <c r="O1921" i="2"/>
  <c r="L1922" i="2"/>
  <c r="M1922" i="2"/>
  <c r="N1922" i="2"/>
  <c r="O1922" i="2"/>
  <c r="L1923" i="2"/>
  <c r="M1923" i="2"/>
  <c r="N1923" i="2"/>
  <c r="O1923" i="2"/>
  <c r="L1924" i="2"/>
  <c r="M1924" i="2"/>
  <c r="N1924" i="2"/>
  <c r="O1924" i="2"/>
  <c r="L1925" i="2"/>
  <c r="M1925" i="2"/>
  <c r="N1925" i="2"/>
  <c r="O1925" i="2"/>
  <c r="L1926" i="2"/>
  <c r="M1926" i="2"/>
  <c r="N1926" i="2"/>
  <c r="O1926" i="2"/>
  <c r="L1927" i="2"/>
  <c r="M1927" i="2"/>
  <c r="N1927" i="2"/>
  <c r="O1927" i="2"/>
  <c r="L1928" i="2"/>
  <c r="M1928" i="2"/>
  <c r="N1928" i="2"/>
  <c r="O1928" i="2"/>
  <c r="L1929" i="2"/>
  <c r="M1929" i="2"/>
  <c r="N1929" i="2"/>
  <c r="O1929" i="2"/>
  <c r="L1930" i="2"/>
  <c r="M1930" i="2"/>
  <c r="N1930" i="2"/>
  <c r="O1930" i="2"/>
  <c r="L1931" i="2"/>
  <c r="M1931" i="2"/>
  <c r="N1931" i="2"/>
  <c r="O1931" i="2"/>
  <c r="L1932" i="2"/>
  <c r="M1932" i="2"/>
  <c r="N1932" i="2"/>
  <c r="O1932" i="2"/>
  <c r="L1933" i="2"/>
  <c r="M1933" i="2"/>
  <c r="N1933" i="2"/>
  <c r="O1933" i="2"/>
  <c r="L1934" i="2"/>
  <c r="M1934" i="2"/>
  <c r="N1934" i="2"/>
  <c r="O1934" i="2"/>
  <c r="L1935" i="2"/>
  <c r="M1935" i="2"/>
  <c r="N1935" i="2"/>
  <c r="O1935" i="2"/>
  <c r="L1936" i="2"/>
  <c r="M1936" i="2"/>
  <c r="N1936" i="2"/>
  <c r="O1936" i="2"/>
  <c r="L1937" i="2"/>
  <c r="M1937" i="2"/>
  <c r="N1937" i="2"/>
  <c r="O1937" i="2"/>
  <c r="L1938" i="2"/>
  <c r="M1938" i="2"/>
  <c r="N1938" i="2"/>
  <c r="O1938" i="2"/>
  <c r="L1939" i="2"/>
  <c r="M1939" i="2"/>
  <c r="N1939" i="2"/>
  <c r="O1939" i="2"/>
  <c r="L1940" i="2"/>
  <c r="M1940" i="2"/>
  <c r="N1940" i="2"/>
  <c r="O1940" i="2"/>
  <c r="L1941" i="2"/>
  <c r="M1941" i="2"/>
  <c r="N1941" i="2"/>
  <c r="O1941" i="2"/>
  <c r="L1942" i="2"/>
  <c r="M1942" i="2"/>
  <c r="N1942" i="2"/>
  <c r="O1942" i="2"/>
  <c r="L1943" i="2"/>
  <c r="M1943" i="2"/>
  <c r="N1943" i="2"/>
  <c r="O1943" i="2"/>
  <c r="L1944" i="2"/>
  <c r="M1944" i="2"/>
  <c r="N1944" i="2"/>
  <c r="O1944" i="2"/>
  <c r="L1945" i="2"/>
  <c r="M1945" i="2"/>
  <c r="N1945" i="2"/>
  <c r="O1945" i="2"/>
  <c r="L1946" i="2"/>
  <c r="M1946" i="2"/>
  <c r="N1946" i="2"/>
  <c r="O1946" i="2"/>
  <c r="L1947" i="2"/>
  <c r="M1947" i="2"/>
  <c r="N1947" i="2"/>
  <c r="O1947" i="2"/>
  <c r="L1948" i="2"/>
  <c r="M1948" i="2"/>
  <c r="N1948" i="2"/>
  <c r="O1948" i="2"/>
  <c r="L1949" i="2"/>
  <c r="M1949" i="2"/>
  <c r="N1949" i="2"/>
  <c r="O1949" i="2"/>
  <c r="L1950" i="2"/>
  <c r="M1950" i="2"/>
  <c r="N1950" i="2"/>
  <c r="O1950" i="2"/>
  <c r="L1951" i="2"/>
  <c r="M1951" i="2"/>
  <c r="N1951" i="2"/>
  <c r="O1951" i="2"/>
  <c r="L1952" i="2"/>
  <c r="M1952" i="2"/>
  <c r="N1952" i="2"/>
  <c r="O1952" i="2"/>
  <c r="L1953" i="2"/>
  <c r="M1953" i="2"/>
  <c r="N1953" i="2"/>
  <c r="O1953" i="2"/>
  <c r="L1954" i="2"/>
  <c r="M1954" i="2"/>
  <c r="N1954" i="2"/>
  <c r="O1954" i="2"/>
  <c r="L1955" i="2"/>
  <c r="M1955" i="2"/>
  <c r="N1955" i="2"/>
  <c r="O1955" i="2"/>
  <c r="L1956" i="2"/>
  <c r="M1956" i="2"/>
  <c r="N1956" i="2"/>
  <c r="O1956" i="2"/>
  <c r="L1957" i="2"/>
  <c r="M1957" i="2"/>
  <c r="N1957" i="2"/>
  <c r="O1957" i="2"/>
  <c r="L1958" i="2"/>
  <c r="M1958" i="2"/>
  <c r="N1958" i="2"/>
  <c r="O1958" i="2"/>
  <c r="L1959" i="2"/>
  <c r="M1959" i="2"/>
  <c r="N1959" i="2"/>
  <c r="O1959" i="2"/>
  <c r="L1960" i="2"/>
  <c r="M1960" i="2"/>
  <c r="N1960" i="2"/>
  <c r="O1960" i="2"/>
  <c r="L1961" i="2"/>
  <c r="M1961" i="2"/>
  <c r="N1961" i="2"/>
  <c r="O1961" i="2"/>
  <c r="L1962" i="2"/>
  <c r="M1962" i="2"/>
  <c r="N1962" i="2"/>
  <c r="O1962" i="2"/>
  <c r="L1963" i="2"/>
  <c r="M1963" i="2"/>
  <c r="N1963" i="2"/>
  <c r="O1963" i="2"/>
  <c r="L1964" i="2"/>
  <c r="M1964" i="2"/>
  <c r="N1964" i="2"/>
  <c r="O1964" i="2"/>
  <c r="L1965" i="2"/>
  <c r="M1965" i="2"/>
  <c r="N1965" i="2"/>
  <c r="O1965" i="2"/>
  <c r="L1966" i="2"/>
  <c r="M1966" i="2"/>
  <c r="N1966" i="2"/>
  <c r="O1966" i="2"/>
  <c r="L1967" i="2"/>
  <c r="M1967" i="2"/>
  <c r="N1967" i="2"/>
  <c r="O1967" i="2"/>
  <c r="L1968" i="2"/>
  <c r="M1968" i="2"/>
  <c r="N1968" i="2"/>
  <c r="O1968" i="2"/>
  <c r="L1969" i="2"/>
  <c r="M1969" i="2"/>
  <c r="N1969" i="2"/>
  <c r="O1969" i="2"/>
  <c r="L1970" i="2"/>
  <c r="M1970" i="2"/>
  <c r="N1970" i="2"/>
  <c r="O1970" i="2"/>
  <c r="L1971" i="2"/>
  <c r="M1971" i="2"/>
  <c r="N1971" i="2"/>
  <c r="O1971" i="2"/>
  <c r="L1972" i="2"/>
  <c r="M1972" i="2"/>
  <c r="N1972" i="2"/>
  <c r="O1972" i="2"/>
  <c r="L1973" i="2"/>
  <c r="M1973" i="2"/>
  <c r="N1973" i="2"/>
  <c r="O1973" i="2"/>
  <c r="L1974" i="2"/>
  <c r="M1974" i="2"/>
  <c r="N1974" i="2"/>
  <c r="O1974" i="2"/>
  <c r="L1975" i="2"/>
  <c r="M1975" i="2"/>
  <c r="N1975" i="2"/>
  <c r="O1975" i="2"/>
  <c r="L1976" i="2"/>
  <c r="M1976" i="2"/>
  <c r="N1976" i="2"/>
  <c r="O1976" i="2"/>
  <c r="L1977" i="2"/>
  <c r="M1977" i="2"/>
  <c r="N1977" i="2"/>
  <c r="O1977" i="2"/>
  <c r="L1978" i="2"/>
  <c r="M1978" i="2"/>
  <c r="N1978" i="2"/>
  <c r="O1978" i="2"/>
  <c r="L1979" i="2"/>
  <c r="M1979" i="2"/>
  <c r="N1979" i="2"/>
  <c r="O1979" i="2"/>
  <c r="L1980" i="2"/>
  <c r="M1980" i="2"/>
  <c r="N1980" i="2"/>
  <c r="O1980" i="2"/>
  <c r="L1981" i="2"/>
  <c r="M1981" i="2"/>
  <c r="N1981" i="2"/>
  <c r="O1981" i="2"/>
  <c r="L1982" i="2"/>
  <c r="M1982" i="2"/>
  <c r="N1982" i="2"/>
  <c r="O1982" i="2"/>
  <c r="L1983" i="2"/>
  <c r="M1983" i="2"/>
  <c r="N1983" i="2"/>
  <c r="O1983" i="2"/>
  <c r="L1984" i="2"/>
  <c r="M1984" i="2"/>
  <c r="N1984" i="2"/>
  <c r="O1984" i="2"/>
  <c r="L1985" i="2"/>
  <c r="M1985" i="2"/>
  <c r="N1985" i="2"/>
  <c r="O1985" i="2"/>
  <c r="L1986" i="2"/>
  <c r="M1986" i="2"/>
  <c r="N1986" i="2"/>
  <c r="O1986" i="2"/>
  <c r="L1987" i="2"/>
  <c r="M1987" i="2"/>
  <c r="N1987" i="2"/>
  <c r="O1987" i="2"/>
  <c r="L1988" i="2"/>
  <c r="M1988" i="2"/>
  <c r="N1988" i="2"/>
  <c r="O1988" i="2"/>
  <c r="L1989" i="2"/>
  <c r="M1989" i="2"/>
  <c r="N1989" i="2"/>
  <c r="O1989" i="2"/>
  <c r="L1990" i="2"/>
  <c r="M1990" i="2"/>
  <c r="N1990" i="2"/>
  <c r="O1990" i="2"/>
  <c r="L1991" i="2"/>
  <c r="M1991" i="2"/>
  <c r="N1991" i="2"/>
  <c r="O1991" i="2"/>
  <c r="L1992" i="2"/>
  <c r="M1992" i="2"/>
  <c r="N1992" i="2"/>
  <c r="O1992" i="2"/>
  <c r="L1993" i="2"/>
  <c r="M1993" i="2"/>
  <c r="N1993" i="2"/>
  <c r="O1993" i="2"/>
  <c r="L1994" i="2"/>
  <c r="M1994" i="2"/>
  <c r="N1994" i="2"/>
  <c r="O1994" i="2"/>
  <c r="L1995" i="2"/>
  <c r="M1995" i="2"/>
  <c r="N1995" i="2"/>
  <c r="O1995" i="2"/>
  <c r="L1996" i="2"/>
  <c r="M1996" i="2"/>
  <c r="N1996" i="2"/>
  <c r="O1996" i="2"/>
  <c r="L1997" i="2"/>
  <c r="M1997" i="2"/>
  <c r="N1997" i="2"/>
  <c r="O1997" i="2"/>
  <c r="L1998" i="2"/>
  <c r="M1998" i="2"/>
  <c r="N1998" i="2"/>
  <c r="O1998" i="2"/>
  <c r="L1999" i="2"/>
  <c r="M1999" i="2"/>
  <c r="N1999" i="2"/>
  <c r="O1999" i="2"/>
  <c r="L2000" i="2"/>
  <c r="M2000" i="2"/>
  <c r="N2000" i="2"/>
  <c r="O2000" i="2"/>
  <c r="L2001" i="2"/>
  <c r="M2001" i="2"/>
  <c r="N2001" i="2"/>
  <c r="O2001" i="2"/>
  <c r="L2002" i="2"/>
  <c r="M2002" i="2"/>
  <c r="N2002" i="2"/>
  <c r="O2002" i="2"/>
  <c r="L2003" i="2"/>
  <c r="M2003" i="2"/>
  <c r="N2003" i="2"/>
  <c r="O2003" i="2"/>
  <c r="L2004" i="2"/>
  <c r="M2004" i="2"/>
  <c r="N2004" i="2"/>
  <c r="O2004" i="2"/>
  <c r="L2005" i="2"/>
  <c r="M2005" i="2"/>
  <c r="N2005" i="2"/>
  <c r="O2005" i="2"/>
  <c r="L2006" i="2"/>
  <c r="M2006" i="2"/>
  <c r="N2006" i="2"/>
  <c r="O2006" i="2"/>
  <c r="L2007" i="2"/>
  <c r="M2007" i="2"/>
  <c r="N2007" i="2"/>
  <c r="O2007" i="2"/>
  <c r="L2008" i="2"/>
  <c r="M2008" i="2"/>
  <c r="N2008" i="2"/>
  <c r="O2008" i="2"/>
  <c r="L2009" i="2"/>
  <c r="M2009" i="2"/>
  <c r="N2009" i="2"/>
  <c r="O2009" i="2"/>
  <c r="L2010" i="2"/>
  <c r="M2010" i="2"/>
  <c r="N2010" i="2"/>
  <c r="O2010" i="2"/>
  <c r="L2011" i="2"/>
  <c r="M2011" i="2"/>
  <c r="N2011" i="2"/>
  <c r="O2011" i="2"/>
  <c r="L2012" i="2"/>
  <c r="M2012" i="2"/>
  <c r="N2012" i="2"/>
  <c r="O2012" i="2"/>
  <c r="L2013" i="2"/>
  <c r="M2013" i="2"/>
  <c r="N2013" i="2"/>
  <c r="O2013" i="2"/>
  <c r="L2014" i="2"/>
  <c r="M2014" i="2"/>
  <c r="N2014" i="2"/>
  <c r="O2014" i="2"/>
  <c r="L2015" i="2"/>
  <c r="M2015" i="2"/>
  <c r="N2015" i="2"/>
  <c r="O2015" i="2"/>
  <c r="L2016" i="2"/>
  <c r="M2016" i="2"/>
  <c r="N2016" i="2"/>
  <c r="O2016" i="2"/>
  <c r="L2017" i="2"/>
  <c r="M2017" i="2"/>
  <c r="N2017" i="2"/>
  <c r="O2017" i="2"/>
  <c r="L2018" i="2"/>
  <c r="M2018" i="2"/>
  <c r="N2018" i="2"/>
  <c r="O2018" i="2"/>
  <c r="L2019" i="2"/>
  <c r="M2019" i="2"/>
  <c r="N2019" i="2"/>
  <c r="O2019" i="2"/>
  <c r="L2020" i="2"/>
  <c r="M2020" i="2"/>
  <c r="N2020" i="2"/>
  <c r="O2020" i="2"/>
  <c r="L2021" i="2"/>
  <c r="M2021" i="2"/>
  <c r="N2021" i="2"/>
  <c r="O2021" i="2"/>
  <c r="L2022" i="2"/>
  <c r="M2022" i="2"/>
  <c r="N2022" i="2"/>
  <c r="O2022" i="2"/>
  <c r="L2023" i="2"/>
  <c r="M2023" i="2"/>
  <c r="N2023" i="2"/>
  <c r="O2023" i="2"/>
  <c r="L2024" i="2"/>
  <c r="M2024" i="2"/>
  <c r="N2024" i="2"/>
  <c r="O2024" i="2"/>
  <c r="L2025" i="2"/>
  <c r="M2025" i="2"/>
  <c r="N2025" i="2"/>
  <c r="O2025" i="2"/>
  <c r="L2026" i="2"/>
  <c r="M2026" i="2"/>
  <c r="N2026" i="2"/>
  <c r="O2026" i="2"/>
  <c r="L2027" i="2"/>
  <c r="M2027" i="2"/>
  <c r="N2027" i="2"/>
  <c r="O2027" i="2"/>
  <c r="L2028" i="2"/>
  <c r="M2028" i="2"/>
  <c r="N2028" i="2"/>
  <c r="O2028" i="2"/>
  <c r="L2029" i="2"/>
  <c r="M2029" i="2"/>
  <c r="N2029" i="2"/>
  <c r="O2029" i="2"/>
  <c r="L2030" i="2"/>
  <c r="M2030" i="2"/>
  <c r="N2030" i="2"/>
  <c r="O2030" i="2"/>
  <c r="L2031" i="2"/>
  <c r="M2031" i="2"/>
  <c r="N2031" i="2"/>
  <c r="O2031" i="2"/>
  <c r="L2032" i="2"/>
  <c r="M2032" i="2"/>
  <c r="N2032" i="2"/>
  <c r="O2032" i="2"/>
  <c r="L2033" i="2"/>
  <c r="M2033" i="2"/>
  <c r="N2033" i="2"/>
  <c r="O2033" i="2"/>
  <c r="L2034" i="2"/>
  <c r="M2034" i="2"/>
  <c r="N2034" i="2"/>
  <c r="O2034" i="2"/>
  <c r="L2035" i="2"/>
  <c r="M2035" i="2"/>
  <c r="N2035" i="2"/>
  <c r="O2035" i="2"/>
  <c r="L2036" i="2"/>
  <c r="M2036" i="2"/>
  <c r="N2036" i="2"/>
  <c r="O2036" i="2"/>
  <c r="L2037" i="2"/>
  <c r="M2037" i="2"/>
  <c r="N2037" i="2"/>
  <c r="O2037" i="2"/>
  <c r="L2038" i="2"/>
  <c r="M2038" i="2"/>
  <c r="N2038" i="2"/>
  <c r="O2038" i="2"/>
  <c r="L2039" i="2"/>
  <c r="M2039" i="2"/>
  <c r="N2039" i="2"/>
  <c r="O2039" i="2"/>
  <c r="L2040" i="2"/>
  <c r="M2040" i="2"/>
  <c r="N2040" i="2"/>
  <c r="O2040" i="2"/>
  <c r="L2041" i="2"/>
  <c r="M2041" i="2"/>
  <c r="N2041" i="2"/>
  <c r="O2041" i="2"/>
  <c r="L2042" i="2"/>
  <c r="M2042" i="2"/>
  <c r="N2042" i="2"/>
  <c r="O2042" i="2"/>
  <c r="L2043" i="2"/>
  <c r="M2043" i="2"/>
  <c r="N2043" i="2"/>
  <c r="O2043" i="2"/>
  <c r="L2044" i="2"/>
  <c r="M2044" i="2"/>
  <c r="N2044" i="2"/>
  <c r="O2044" i="2"/>
  <c r="L2045" i="2"/>
  <c r="M2045" i="2"/>
  <c r="N2045" i="2"/>
  <c r="O2045" i="2"/>
  <c r="L2046" i="2"/>
  <c r="M2046" i="2"/>
  <c r="N2046" i="2"/>
  <c r="O2046" i="2"/>
  <c r="L2047" i="2"/>
  <c r="M2047" i="2"/>
  <c r="N2047" i="2"/>
  <c r="O2047" i="2"/>
  <c r="L2048" i="2"/>
  <c r="M2048" i="2"/>
  <c r="N2048" i="2"/>
  <c r="O2048" i="2"/>
  <c r="L2049" i="2"/>
  <c r="M2049" i="2"/>
  <c r="N2049" i="2"/>
  <c r="O2049" i="2"/>
  <c r="L2050" i="2"/>
  <c r="M2050" i="2"/>
  <c r="N2050" i="2"/>
  <c r="O2050" i="2"/>
  <c r="L2051" i="2"/>
  <c r="M2051" i="2"/>
  <c r="N2051" i="2"/>
  <c r="O2051" i="2"/>
  <c r="L2052" i="2"/>
  <c r="M2052" i="2"/>
  <c r="N2052" i="2"/>
  <c r="O2052" i="2"/>
  <c r="L2053" i="2"/>
  <c r="M2053" i="2"/>
  <c r="N2053" i="2"/>
  <c r="O2053" i="2"/>
  <c r="L2054" i="2"/>
  <c r="M2054" i="2"/>
  <c r="N2054" i="2"/>
  <c r="O2054" i="2"/>
  <c r="L2055" i="2"/>
  <c r="M2055" i="2"/>
  <c r="N2055" i="2"/>
  <c r="O2055" i="2"/>
  <c r="L2056" i="2"/>
  <c r="M2056" i="2"/>
  <c r="N2056" i="2"/>
  <c r="O2056" i="2"/>
  <c r="L2057" i="2"/>
  <c r="M2057" i="2"/>
  <c r="N2057" i="2"/>
  <c r="O2057" i="2"/>
  <c r="L2058" i="2"/>
  <c r="M2058" i="2"/>
  <c r="N2058" i="2"/>
  <c r="O2058" i="2"/>
  <c r="L2059" i="2"/>
  <c r="M2059" i="2"/>
  <c r="N2059" i="2"/>
  <c r="O2059" i="2"/>
  <c r="L2060" i="2"/>
  <c r="M2060" i="2"/>
  <c r="N2060" i="2"/>
  <c r="O2060" i="2"/>
  <c r="L2061" i="2"/>
  <c r="M2061" i="2"/>
  <c r="N2061" i="2"/>
  <c r="O2061" i="2"/>
  <c r="L2062" i="2"/>
  <c r="M2062" i="2"/>
  <c r="N2062" i="2"/>
  <c r="O2062" i="2"/>
  <c r="L2063" i="2"/>
  <c r="M2063" i="2"/>
  <c r="N2063" i="2"/>
  <c r="O2063" i="2"/>
  <c r="L2064" i="2"/>
  <c r="M2064" i="2"/>
  <c r="N2064" i="2"/>
  <c r="O2064" i="2"/>
  <c r="L2065" i="2"/>
  <c r="M2065" i="2"/>
  <c r="N2065" i="2"/>
  <c r="O2065" i="2"/>
  <c r="L2066" i="2"/>
  <c r="M2066" i="2"/>
  <c r="N2066" i="2"/>
  <c r="O2066" i="2"/>
  <c r="L2067" i="2"/>
  <c r="M2067" i="2"/>
  <c r="N2067" i="2"/>
  <c r="O2067" i="2"/>
  <c r="L2068" i="2"/>
  <c r="M2068" i="2"/>
  <c r="N2068" i="2"/>
  <c r="O2068" i="2"/>
  <c r="L2069" i="2"/>
  <c r="M2069" i="2"/>
  <c r="N2069" i="2"/>
  <c r="O2069" i="2"/>
  <c r="L2070" i="2"/>
  <c r="M2070" i="2"/>
  <c r="N2070" i="2"/>
  <c r="O2070" i="2"/>
  <c r="L2071" i="2"/>
  <c r="M2071" i="2"/>
  <c r="N2071" i="2"/>
  <c r="O2071" i="2"/>
  <c r="L2072" i="2"/>
  <c r="M2072" i="2"/>
  <c r="N2072" i="2"/>
  <c r="O2072" i="2"/>
  <c r="L2073" i="2"/>
  <c r="M2073" i="2"/>
  <c r="N2073" i="2"/>
  <c r="O2073" i="2"/>
  <c r="L2074" i="2"/>
  <c r="M2074" i="2"/>
  <c r="N2074" i="2"/>
  <c r="O2074" i="2"/>
  <c r="N3" i="2"/>
  <c r="M3" i="2"/>
  <c r="O299" i="2" l="1"/>
  <c r="O297" i="2"/>
  <c r="O295" i="2"/>
  <c r="O293" i="2"/>
  <c r="O291" i="2"/>
  <c r="O289" i="2"/>
  <c r="O288" i="2"/>
  <c r="O286" i="2"/>
  <c r="O285" i="2"/>
  <c r="O283" i="2"/>
  <c r="O282" i="2"/>
  <c r="O281" i="2"/>
  <c r="O279" i="2"/>
  <c r="O277" i="2"/>
  <c r="O276" i="2"/>
  <c r="O275" i="2"/>
  <c r="O273" i="2"/>
  <c r="O271" i="2"/>
  <c r="O269" i="2"/>
  <c r="O267" i="2"/>
  <c r="O266" i="2"/>
  <c r="O264" i="2"/>
  <c r="O262" i="2"/>
  <c r="O261" i="2"/>
  <c r="O259" i="2"/>
  <c r="O257" i="2"/>
  <c r="O255" i="2"/>
  <c r="O253" i="2"/>
  <c r="O252" i="2"/>
  <c r="O250" i="2"/>
  <c r="O248" i="2"/>
  <c r="O246" i="2"/>
  <c r="O244" i="2"/>
  <c r="O243" i="2"/>
  <c r="O241" i="2"/>
  <c r="O23" i="2"/>
  <c r="O238" i="2"/>
  <c r="O234" i="2"/>
  <c r="O202" i="2"/>
  <c r="O198" i="2"/>
  <c r="O3" i="2"/>
  <c r="O92" i="2"/>
  <c r="O190" i="2"/>
  <c r="O168" i="2"/>
  <c r="O148" i="2"/>
  <c r="O172" i="2"/>
  <c r="O140" i="2"/>
  <c r="O117" i="2"/>
  <c r="O175" i="2"/>
  <c r="O186" i="2"/>
  <c r="O236" i="2"/>
  <c r="O200" i="2"/>
  <c r="O197" i="2"/>
  <c r="O170" i="2"/>
  <c r="O138" i="2"/>
  <c r="O90" i="2"/>
  <c r="O230" i="2"/>
  <c r="O226" i="2"/>
  <c r="O222" i="2"/>
  <c r="O218" i="2"/>
  <c r="O210" i="2"/>
  <c r="O206" i="2"/>
  <c r="O193" i="2"/>
  <c r="O178" i="2"/>
  <c r="O232" i="2"/>
  <c r="O227" i="2"/>
  <c r="O224" i="2"/>
  <c r="O216" i="2"/>
  <c r="O184" i="2"/>
  <c r="O212" i="2"/>
  <c r="O239" i="2"/>
  <c r="O237" i="2"/>
  <c r="O235" i="2"/>
  <c r="O233" i="2"/>
  <c r="O231" i="2"/>
  <c r="O229" i="2"/>
  <c r="O228" i="2"/>
  <c r="O225" i="2"/>
  <c r="O223" i="2"/>
  <c r="O221" i="2"/>
  <c r="O219" i="2"/>
  <c r="O217" i="2"/>
  <c r="O215" i="2"/>
  <c r="O213" i="2"/>
  <c r="O211" i="2"/>
  <c r="O209" i="2"/>
  <c r="O207" i="2"/>
  <c r="O205" i="2"/>
  <c r="O203" i="2"/>
  <c r="O201" i="2"/>
  <c r="O199" i="2"/>
  <c r="O196" i="2"/>
  <c r="O194" i="2"/>
  <c r="O191" i="2"/>
  <c r="O189" i="2"/>
  <c r="O187" i="2"/>
  <c r="O183" i="2"/>
  <c r="O174" i="2"/>
  <c r="O220" i="2"/>
  <c r="O214" i="2"/>
  <c r="O208" i="2"/>
  <c r="O204" i="2"/>
  <c r="O195" i="2"/>
  <c r="O192" i="2"/>
  <c r="O188" i="2"/>
  <c r="O185" i="2"/>
  <c r="O182" i="2"/>
  <c r="O181" i="2"/>
  <c r="O180" i="2"/>
  <c r="O179" i="2"/>
  <c r="O177" i="2"/>
  <c r="O176" i="2"/>
  <c r="O162" i="2"/>
  <c r="O158" i="2"/>
  <c r="O142" i="2"/>
  <c r="O134" i="2"/>
  <c r="O130" i="2"/>
  <c r="O126" i="2"/>
  <c r="O118" i="2"/>
  <c r="O107" i="2"/>
  <c r="O103" i="2"/>
  <c r="O99" i="2"/>
  <c r="O95" i="2"/>
  <c r="O164" i="2"/>
  <c r="O156" i="2"/>
  <c r="O144" i="2"/>
  <c r="O132" i="2"/>
  <c r="O128" i="2"/>
  <c r="O124" i="2"/>
  <c r="O97" i="2"/>
  <c r="O154" i="2"/>
  <c r="O150" i="2"/>
  <c r="O121" i="2"/>
  <c r="O110" i="2"/>
  <c r="O173" i="2"/>
  <c r="O171" i="2"/>
  <c r="O169" i="2"/>
  <c r="O167" i="2"/>
  <c r="O165" i="2"/>
  <c r="O163" i="2"/>
  <c r="O161" i="2"/>
  <c r="O159" i="2"/>
  <c r="O157" i="2"/>
  <c r="O155" i="2"/>
  <c r="O153" i="2"/>
  <c r="O151" i="2"/>
  <c r="O149" i="2"/>
  <c r="O147" i="2"/>
  <c r="O145" i="2"/>
  <c r="O143" i="2"/>
  <c r="O141" i="2"/>
  <c r="O139" i="2"/>
  <c r="O137" i="2"/>
  <c r="O135" i="2"/>
  <c r="O133" i="2"/>
  <c r="O131" i="2"/>
  <c r="O129" i="2"/>
  <c r="O127" i="2"/>
  <c r="O125" i="2"/>
  <c r="O123" i="2"/>
  <c r="O122" i="2"/>
  <c r="O120" i="2"/>
  <c r="O119" i="2"/>
  <c r="O116" i="2"/>
  <c r="O115" i="2"/>
  <c r="O114" i="2"/>
  <c r="O113" i="2"/>
  <c r="O112" i="2"/>
  <c r="O111" i="2"/>
  <c r="O109" i="2"/>
  <c r="O108" i="2"/>
  <c r="O106" i="2"/>
  <c r="O105" i="2"/>
  <c r="O104" i="2"/>
  <c r="O102" i="2"/>
  <c r="O101" i="2"/>
  <c r="O100" i="2"/>
  <c r="O98" i="2"/>
  <c r="O96" i="2"/>
  <c r="O94" i="2"/>
  <c r="O93" i="2"/>
  <c r="O91" i="2"/>
  <c r="O82" i="2"/>
  <c r="O60" i="2"/>
  <c r="O52" i="2"/>
  <c r="O38" i="2"/>
  <c r="O30" i="2"/>
  <c r="O11" i="2"/>
  <c r="O166" i="2"/>
  <c r="O160" i="2"/>
  <c r="O152" i="2"/>
  <c r="O146" i="2"/>
  <c r="O136" i="2"/>
  <c r="O4" i="2"/>
  <c r="O89" i="2"/>
  <c r="O69" i="2"/>
  <c r="O65" i="2"/>
  <c r="O14" i="2"/>
  <c r="O6" i="2"/>
  <c r="O84" i="2"/>
  <c r="O76" i="2"/>
  <c r="O71" i="2"/>
  <c r="O67" i="2"/>
  <c r="O63" i="2"/>
  <c r="O55" i="2"/>
  <c r="O43" i="2"/>
  <c r="O41" i="2"/>
  <c r="O33" i="2"/>
  <c r="O57" i="2"/>
  <c r="O35" i="2"/>
  <c r="O28" i="2"/>
  <c r="O20" i="2"/>
  <c r="O8" i="2"/>
  <c r="O86" i="2"/>
  <c r="O78" i="2"/>
  <c r="O50" i="2"/>
  <c r="O46" i="2"/>
  <c r="O25" i="2"/>
  <c r="O17" i="2"/>
  <c r="O87" i="2"/>
  <c r="O85" i="2"/>
  <c r="O83" i="2"/>
  <c r="O81" i="2"/>
  <c r="O80" i="2"/>
  <c r="O79" i="2"/>
  <c r="O77" i="2"/>
  <c r="O75" i="2"/>
  <c r="O74" i="2"/>
  <c r="O73" i="2"/>
  <c r="O72" i="2"/>
  <c r="O70" i="2"/>
  <c r="O68" i="2"/>
  <c r="O66" i="2"/>
  <c r="O64" i="2"/>
  <c r="O62" i="2"/>
  <c r="O61" i="2"/>
  <c r="O59" i="2"/>
  <c r="O58" i="2"/>
  <c r="O56" i="2"/>
  <c r="O54" i="2"/>
  <c r="O53" i="2"/>
  <c r="O51" i="2"/>
  <c r="O49" i="2"/>
  <c r="O48" i="2"/>
  <c r="O47" i="2"/>
  <c r="O45" i="2"/>
  <c r="O44" i="2"/>
  <c r="O42" i="2"/>
  <c r="O40" i="2"/>
  <c r="O39" i="2"/>
  <c r="O37" i="2"/>
  <c r="O36" i="2"/>
  <c r="O34" i="2"/>
  <c r="O32" i="2"/>
  <c r="O31" i="2"/>
  <c r="O29" i="2"/>
  <c r="O27" i="2"/>
  <c r="O26" i="2"/>
  <c r="O24" i="2"/>
  <c r="O22" i="2"/>
  <c r="O21" i="2"/>
  <c r="O19" i="2"/>
  <c r="O18" i="2"/>
  <c r="O16" i="2"/>
  <c r="O15" i="2"/>
  <c r="O13" i="2"/>
  <c r="O12" i="2"/>
  <c r="O10" i="2"/>
  <c r="O9" i="2"/>
  <c r="O7" i="2"/>
  <c r="O88" i="2"/>
  <c r="O5" i="2"/>
  <c r="R6" i="3"/>
  <c r="F21" i="3" l="1"/>
  <c r="G80" i="3" l="1"/>
  <c r="G79" i="3" l="1"/>
  <c r="G78" i="3"/>
  <c r="G21" i="3" l="1"/>
  <c r="E21" i="3"/>
  <c r="C21" i="3"/>
  <c r="B72" i="3"/>
  <c r="K21" i="3" s="1"/>
  <c r="H21" i="3" l="1"/>
  <c r="G6" i="3" l="1"/>
  <c r="A79" i="3"/>
  <c r="D79" i="3" s="1"/>
  <c r="A80" i="3"/>
  <c r="D80" i="3" s="1"/>
  <c r="A81" i="3"/>
  <c r="D81" i="3" s="1"/>
  <c r="A82" i="3"/>
  <c r="D82" i="3" s="1"/>
  <c r="A83" i="3"/>
  <c r="D83" i="3" s="1"/>
  <c r="A84" i="3"/>
  <c r="D84" i="3" s="1"/>
  <c r="A85" i="3"/>
  <c r="D85" i="3" s="1"/>
  <c r="A86" i="3"/>
  <c r="D86" i="3" s="1"/>
  <c r="A87" i="3"/>
  <c r="D87" i="3" s="1"/>
  <c r="A88" i="3"/>
  <c r="D88" i="3" s="1"/>
  <c r="A89" i="3"/>
  <c r="D89" i="3" s="1"/>
  <c r="A78" i="3"/>
  <c r="D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78" i="3"/>
  <c r="E78" i="3" s="1"/>
  <c r="B57" i="3"/>
  <c r="L21" i="3" s="1"/>
  <c r="A1" i="3"/>
  <c r="B48" i="3" l="1"/>
  <c r="M21" i="3" s="1"/>
  <c r="B47" i="3"/>
  <c r="J21" i="3" s="1"/>
  <c r="B46" i="3"/>
  <c r="I21" i="3" s="1"/>
  <c r="D21" i="3"/>
</calcChain>
</file>

<file path=xl/sharedStrings.xml><?xml version="1.0" encoding="utf-8"?>
<sst xmlns="http://schemas.openxmlformats.org/spreadsheetml/2006/main" count="308" uniqueCount="82">
  <si>
    <t>Situação</t>
  </si>
  <si>
    <t>Tipo</t>
  </si>
  <si>
    <t>Resultado esperado</t>
  </si>
  <si>
    <t>Observações</t>
  </si>
  <si>
    <t>Não foi digitalizado/enviado RG (1a opção) ou CNH (2a opção)</t>
  </si>
  <si>
    <t>Documento (RG ou CNH)</t>
  </si>
  <si>
    <t>Termo não ok</t>
  </si>
  <si>
    <t>Falta documentação</t>
  </si>
  <si>
    <t>Imagem ilegível</t>
  </si>
  <si>
    <t>Imagem ruim</t>
  </si>
  <si>
    <t>Documento divergente</t>
  </si>
  <si>
    <t>Documentação divergente (outro CPF)</t>
  </si>
  <si>
    <t>Documento inválido</t>
  </si>
  <si>
    <t>Documento não aceito (foi digitalizado um documento diferente de RG ou CNH)</t>
  </si>
  <si>
    <t>Documento digitalizado parcialmente (só frente, ou só verso)</t>
  </si>
  <si>
    <t>Não foi digitalizado/enviado Termo Lista de Espera</t>
  </si>
  <si>
    <t>Termo Lista de Espera</t>
  </si>
  <si>
    <t>Termo não aceito (foi digitalizado um Termo diferente do Termo Lista de Espera)</t>
  </si>
  <si>
    <t>Campos "digitáveis" não preenchidos</t>
  </si>
  <si>
    <t>Algum dos campos digitáveis estava em branco (exceção: "Nome do Operador")</t>
  </si>
  <si>
    <t>Termo ok (exceção)</t>
  </si>
  <si>
    <t>O campo "Nome do Operador" estava em branco</t>
  </si>
  <si>
    <t>6 campos "digitáveis" não preenchidos devidamente</t>
  </si>
  <si>
    <t>Algum dos 6 campos digitáveis foi preenchido manualmente (e não no computador) (exceção: "Nome do Operador")</t>
  </si>
  <si>
    <t>O campo "Nome do Operador" estava preenchido manualmente (e não no computador)</t>
  </si>
  <si>
    <t>Campo "CPF do Cliente" com informação divergente em relação ao documento (RG ou CNH) que foi digitalizado</t>
  </si>
  <si>
    <t>Falta de Assinatura (campo "Anuidade")</t>
  </si>
  <si>
    <t>Falta assinatura (ok do cliente) no campo Anuidade</t>
  </si>
  <si>
    <t>Falta de Assinatura (campo "Fatura Digital")</t>
  </si>
  <si>
    <t>Falta assinatura (ok do cliente) no campo Fatura Digital - Não invalida o documento, mas será tratado como um "não" (não vamos contratar o serviço)</t>
  </si>
  <si>
    <t>Falta de Assinatura (campo final "Assinatura do Cliente")</t>
  </si>
  <si>
    <t>Falta assinatura (ok do cliente) no campo final</t>
  </si>
  <si>
    <t>"Bolinha" Fatura Digital</t>
  </si>
  <si>
    <t>Não foi selecionada nenhuma opção (Sim ou Não) no campo "Fatura Digital" - Não invalida o documento, mas será tratado como um "não" (não vamos contratar o serviço)</t>
  </si>
  <si>
    <t>Proposta</t>
  </si>
  <si>
    <t>DOC</t>
  </si>
  <si>
    <t>DOC ID</t>
  </si>
  <si>
    <t>Data</t>
  </si>
  <si>
    <t>Tabela 1</t>
  </si>
  <si>
    <t>Tabela 2</t>
  </si>
  <si>
    <t>Número da proposta:</t>
  </si>
  <si>
    <t>Documento</t>
  </si>
  <si>
    <t>Resultado</t>
  </si>
  <si>
    <t>PLANILHA DE CONTROLE OPT-IN CARTÕES MANUAL</t>
  </si>
  <si>
    <t>Data da Proposta</t>
  </si>
  <si>
    <t>Data da Proposta:</t>
  </si>
  <si>
    <t>CPF</t>
  </si>
  <si>
    <t>SIM</t>
  </si>
  <si>
    <t>NÃO</t>
  </si>
  <si>
    <t>Não se Aplica</t>
  </si>
  <si>
    <t>Fatura Digital</t>
  </si>
  <si>
    <t>MT</t>
  </si>
  <si>
    <t>Analista</t>
  </si>
  <si>
    <t>-</t>
  </si>
  <si>
    <t>ANA CAROLINA DE CARVALHO GOMES</t>
  </si>
  <si>
    <t>ANGELITA RODRIGUES MORAES</t>
  </si>
  <si>
    <t>IVONE MORAES PINTO</t>
  </si>
  <si>
    <t>MARCELO NARDI</t>
  </si>
  <si>
    <t>FELIPE SILVA SANTOS</t>
  </si>
  <si>
    <t>LUIZ HENRIQUE DA SILVA SANTOS</t>
  </si>
  <si>
    <t>MILLENA FAGUNDES ROCHA</t>
  </si>
  <si>
    <t>INGRID NAYARA RODRIGUES NASCIMENTO BARBOSA</t>
  </si>
  <si>
    <t>LEONARDO HAGE BARBOSA</t>
  </si>
  <si>
    <t>LETICIA APARECIDA DUARTE BRANCO</t>
  </si>
  <si>
    <t>KAROLINE CRISTINA DA SILVA MIRANDA</t>
  </si>
  <si>
    <t>TATIANE DIAS SOUZA</t>
  </si>
  <si>
    <t xml:space="preserve">SHIRLEI COSTA DOS SANTOS </t>
  </si>
  <si>
    <t>GLAUDIA MARIA MATOS OLIVEIRA</t>
  </si>
  <si>
    <t>MONICA APARECIDA DOS SANTOS</t>
  </si>
  <si>
    <t>JULIANA HENRIQUE DOS SANTOS</t>
  </si>
  <si>
    <t>KAREN ALCANTARA NASCIMENTO</t>
  </si>
  <si>
    <t>JAQUELINE SOUSA DOS SANTOS</t>
  </si>
  <si>
    <t>PALOMA LOURENCO DA SILVA</t>
  </si>
  <si>
    <t>RICARDO PEREIRA</t>
  </si>
  <si>
    <t>ESTER PINHEIRO GUSSOM</t>
  </si>
  <si>
    <t>Analista:</t>
  </si>
  <si>
    <t>COORDENAÇÃO</t>
  </si>
  <si>
    <t>797.316.603-30</t>
  </si>
  <si>
    <t>OK</t>
  </si>
  <si>
    <t>NOK</t>
  </si>
  <si>
    <t>FATURA</t>
  </si>
  <si>
    <t>MARCELLA BARBOSA VANETTE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</si>
</sst>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sz val="9"/>
      <color theme="0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-0.499984740745262"/>
        <bgColor indexed="64"/>
      </patternFill>
    </fill>
    <fill>
      <gradientFill degree="90">
        <stop position="0">
          <color theme="8" tint="-0.49803155613879818"/>
        </stop>
        <stop position="0.5">
          <color theme="4"/>
        </stop>
        <stop position="1">
          <color theme="8" tint="-0.49803155613879818"/>
        </stop>
      </gradient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 vertical="center" wrapText="1" readingOrder="1"/>
    </xf>
    <xf numFmtId="0" fontId="3" fillId="3" borderId="1" xfId="0" applyFont="1" applyFill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vertical="center" wrapText="1" readingOrder="1"/>
    </xf>
    <xf numFmtId="0" fontId="5" fillId="4" borderId="1" xfId="0" applyFont="1" applyFill="1" applyBorder="1" applyAlignment="1">
      <alignment horizontal="center" vertical="center" wrapText="1" readingOrder="1"/>
    </xf>
    <xf numFmtId="0" fontId="4" fillId="5" borderId="1" xfId="0" applyFont="1" applyFill="1" applyBorder="1" applyAlignment="1">
      <alignment horizontal="center" vertical="center" wrapText="1" readingOrder="1"/>
    </xf>
    <xf numFmtId="0" fontId="4" fillId="0" borderId="0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 applyAlignment="1">
      <alignment horizontal="center" vertical="center"/>
    </xf>
    <xf numFmtId="14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6" fillId="0" borderId="0" xfId="0" applyFont="1"/>
    <xf numFmtId="0" fontId="7" fillId="0" borderId="0" xfId="0" applyFont="1" applyFill="1" applyBorder="1" applyAlignment="1">
      <alignment horizontal="center" vertical="center" wrapText="1" readingOrder="1"/>
    </xf>
    <xf numFmtId="0" fontId="7" fillId="0" borderId="14" xfId="0" applyFont="1" applyFill="1" applyBorder="1" applyAlignment="1">
      <alignment horizontal="center" vertical="center" wrapText="1" readingOrder="1"/>
    </xf>
    <xf numFmtId="0" fontId="2" fillId="0" borderId="0" xfId="0" applyFont="1" applyBorder="1"/>
    <xf numFmtId="0" fontId="8" fillId="0" borderId="0" xfId="0" applyFont="1" applyBorder="1" applyAlignment="1">
      <alignment horizontal="center" vertical="center" wrapText="1" readingOrder="1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15" xfId="0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0" fillId="8" borderId="11" xfId="0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0" fontId="9" fillId="0" borderId="0" xfId="0" applyFont="1" applyFill="1" applyBorder="1" applyAlignment="1">
      <alignment vertical="center"/>
    </xf>
    <xf numFmtId="0" fontId="0" fillId="0" borderId="0" xfId="0" applyFont="1"/>
    <xf numFmtId="0" fontId="0" fillId="0" borderId="13" xfId="0" applyFont="1" applyBorder="1"/>
    <xf numFmtId="0" fontId="6" fillId="0" borderId="13" xfId="0" applyFont="1" applyBorder="1"/>
    <xf numFmtId="0" fontId="2" fillId="0" borderId="13" xfId="0" applyFont="1" applyBorder="1"/>
    <xf numFmtId="0" fontId="6" fillId="0" borderId="0" xfId="0" applyFont="1" applyAlignment="1">
      <alignment vertical="center"/>
    </xf>
    <xf numFmtId="49" fontId="2" fillId="0" borderId="0" xfId="0" applyNumberFormat="1" applyFont="1" applyAlignment="1">
      <alignment horizontal="center"/>
    </xf>
    <xf numFmtId="16" fontId="2" fillId="0" borderId="0" xfId="0" applyNumberFormat="1" applyFont="1"/>
    <xf numFmtId="0" fontId="6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0" borderId="0" xfId="0" applyNumberFormat="1" applyFont="1"/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 wrapText="1"/>
    </xf>
    <xf numFmtId="14" fontId="0" fillId="0" borderId="12" xfId="0" applyNumberFormat="1" applyBorder="1" applyAlignment="1">
      <alignment horizontal="center" wrapText="1"/>
    </xf>
    <xf numFmtId="14" fontId="0" fillId="0" borderId="3" xfId="0" applyNumberFormat="1" applyBorder="1" applyAlignment="1">
      <alignment horizontal="center" wrapText="1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wrapText="1"/>
    </xf>
    <xf numFmtId="0" fontId="0" fillId="0" borderId="3" xfId="0" applyNumberFormat="1" applyBorder="1" applyAlignment="1">
      <alignment horizontal="center" wrapText="1"/>
    </xf>
    <xf numFmtId="49" fontId="0" fillId="0" borderId="1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A$46" fmlaRange="$B$39:$B$40" noThreeD="1" sel="0" val="0"/>
</file>

<file path=xl/ctrlProps/ctrlProp2.xml><?xml version="1.0" encoding="utf-8"?>
<formControlPr xmlns="http://schemas.microsoft.com/office/spreadsheetml/2009/9/main" objectType="Drop" dropStyle="combo" dx="16" fmlaLink="$A$72" fmlaRange="$G$78:$G$80" noThreeD="1" sel="0" val="0"/>
</file>

<file path=xl/ctrlProps/ctrlProp3.xml><?xml version="1.0" encoding="utf-8"?>
<formControlPr xmlns="http://schemas.microsoft.com/office/spreadsheetml/2009/9/main" objectType="Drop" dropStyle="combo" dx="16" fmlaLink="$A$47" fmlaRange="Inclusão!$A$78:$A$93" noThreeD="1" sel="0" val="0"/>
</file>

<file path=xl/ctrlProps/ctrlProp4.xml><?xml version="1.0" encoding="utf-8"?>
<formControlPr xmlns="http://schemas.microsoft.com/office/spreadsheetml/2009/9/main" objectType="Drop" dropStyle="combo" dx="16" fmlaLink="$A$48" fmlaRange="Inclusão!$B$78:$B$89" noThreeD="1" sel="0" val="4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fmlaLink="$A$57" fmlaRange="Inclusão!$B$54:$B$56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9</xdr:row>
      <xdr:rowOff>142875</xdr:rowOff>
    </xdr:from>
    <xdr:ext cx="134806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71675" y="1895475"/>
          <a:ext cx="13480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Insira </a:t>
          </a:r>
          <a:r>
            <a:rPr lang="pt-BR" sz="1100" b="0"/>
            <a:t>o</a:t>
          </a:r>
          <a:r>
            <a:rPr lang="pt-BR" sz="1100"/>
            <a:t> Documento:</a:t>
          </a:r>
        </a:p>
      </xdr:txBody>
    </xdr:sp>
    <xdr:clientData/>
  </xdr:oneCellAnchor>
  <xdr:oneCellAnchor>
    <xdr:from>
      <xdr:col>9</xdr:col>
      <xdr:colOff>419101</xdr:colOff>
      <xdr:row>9</xdr:row>
      <xdr:rowOff>142873</xdr:rowOff>
    </xdr:from>
    <xdr:ext cx="1181100" cy="447677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219826" y="1895473"/>
          <a:ext cx="1181100" cy="4476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Insira o</a:t>
          </a:r>
          <a:r>
            <a:rPr lang="pt-BR" sz="1100" baseline="0"/>
            <a:t> resultado</a:t>
          </a:r>
          <a:r>
            <a:rPr lang="pt-BR" sz="1100"/>
            <a:t>:++</a:t>
          </a:r>
        </a:p>
      </xdr:txBody>
    </xdr:sp>
    <xdr:clientData/>
  </xdr:oneCellAnchor>
  <xdr:oneCellAnchor>
    <xdr:from>
      <xdr:col>6</xdr:col>
      <xdr:colOff>123825</xdr:colOff>
      <xdr:row>9</xdr:row>
      <xdr:rowOff>123825</xdr:rowOff>
    </xdr:from>
    <xdr:ext cx="1145763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90975" y="1495425"/>
          <a:ext cx="11457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Insira a situação:</a:t>
          </a:r>
        </a:p>
      </xdr:txBody>
    </xdr:sp>
    <xdr:clientData/>
  </xdr:oneCellAnchor>
  <xdr:oneCellAnchor>
    <xdr:from>
      <xdr:col>8</xdr:col>
      <xdr:colOff>228601</xdr:colOff>
      <xdr:row>12</xdr:row>
      <xdr:rowOff>161924</xdr:rowOff>
    </xdr:from>
    <xdr:ext cx="1485900" cy="436786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419726" y="2486024"/>
          <a:ext cx="14859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100"/>
            <a:t>Selecione</a:t>
          </a:r>
          <a:r>
            <a:rPr lang="pt-BR" sz="1100" i="0"/>
            <a:t> </a:t>
          </a:r>
          <a:r>
            <a:rPr lang="pt-BR" sz="1100"/>
            <a:t>a </a:t>
          </a:r>
          <a:r>
            <a:rPr lang="pt-BR" sz="1100" b="1"/>
            <a:t>observação</a:t>
          </a:r>
          <a:r>
            <a:rPr lang="pt-BR" sz="1100"/>
            <a:t>: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</xdr:col>
      <xdr:colOff>571500</xdr:colOff>
      <xdr:row>2</xdr:row>
      <xdr:rowOff>66675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1181100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28575</xdr:colOff>
      <xdr:row>0</xdr:row>
      <xdr:rowOff>95250</xdr:rowOff>
    </xdr:from>
    <xdr:to>
      <xdr:col>2</xdr:col>
      <xdr:colOff>381000</xdr:colOff>
      <xdr:row>5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95250"/>
          <a:ext cx="962025" cy="962025"/>
        </a:xfrm>
        <a:prstGeom prst="rect">
          <a:avLst/>
        </a:prstGeom>
      </xdr:spPr>
    </xdr:pic>
    <xdr:clientData/>
  </xdr:twoCellAnchor>
  <xdr:oneCellAnchor>
    <xdr:from>
      <xdr:col>13</xdr:col>
      <xdr:colOff>228600</xdr:colOff>
      <xdr:row>20</xdr:row>
      <xdr:rowOff>152400</xdr:rowOff>
    </xdr:from>
    <xdr:ext cx="1713867" cy="217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991600" y="3619500"/>
          <a:ext cx="171386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Estratégia Operacional Interfile</a:t>
          </a:r>
          <a:r>
            <a:rPr lang="pt-BR" sz="800" baseline="0"/>
            <a:t> 2018</a:t>
          </a:r>
          <a:endParaRPr lang="pt-BR" sz="800"/>
        </a:p>
      </xdr:txBody>
    </xdr:sp>
    <xdr:clientData/>
  </xdr:oneCellAnchor>
  <xdr:twoCellAnchor editAs="oneCell">
    <xdr:from>
      <xdr:col>13</xdr:col>
      <xdr:colOff>381001</xdr:colOff>
      <xdr:row>18</xdr:row>
      <xdr:rowOff>28575</xdr:rowOff>
    </xdr:from>
    <xdr:to>
      <xdr:col>16</xdr:col>
      <xdr:colOff>61362</xdr:colOff>
      <xdr:row>20</xdr:row>
      <xdr:rowOff>171072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1" y="3114675"/>
          <a:ext cx="1509161" cy="523497"/>
        </a:xfrm>
        <a:prstGeom prst="rect">
          <a:avLst/>
        </a:prstGeom>
      </xdr:spPr>
    </xdr:pic>
    <xdr:clientData/>
  </xdr:twoCellAnchor>
  <xdr:oneCellAnchor>
    <xdr:from>
      <xdr:col>12</xdr:col>
      <xdr:colOff>152400</xdr:colOff>
      <xdr:row>9</xdr:row>
      <xdr:rowOff>85725</xdr:rowOff>
    </xdr:from>
    <xdr:ext cx="990079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8410575" y="1838325"/>
          <a:ext cx="99007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/>
            <a:t>Fatura</a:t>
          </a:r>
          <a:r>
            <a:rPr lang="pt-BR" sz="1100" baseline="0"/>
            <a:t> Digital</a:t>
          </a:r>
          <a:r>
            <a:rPr lang="pt-BR" sz="1100"/>
            <a:t>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285750</xdr:colOff>
          <xdr:row>12</xdr:row>
          <xdr:rowOff>85725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10</xdr:row>
          <xdr:rowOff>161925</xdr:rowOff>
        </xdr:from>
        <xdr:to>
          <xdr:col>11</xdr:col>
          <xdr:colOff>885825</xdr:colOff>
          <xdr:row>12</xdr:row>
          <xdr:rowOff>66675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10</xdr:row>
          <xdr:rowOff>180975</xdr:rowOff>
        </xdr:from>
        <xdr:to>
          <xdr:col>9</xdr:col>
          <xdr:colOff>0</xdr:colOff>
          <xdr:row>12</xdr:row>
          <xdr:rowOff>76200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14</xdr:row>
          <xdr:rowOff>28575</xdr:rowOff>
        </xdr:from>
        <xdr:to>
          <xdr:col>15</xdr:col>
          <xdr:colOff>581025</xdr:colOff>
          <xdr:row>15</xdr:row>
          <xdr:rowOff>123825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5</xdr:row>
          <xdr:rowOff>180975</xdr:rowOff>
        </xdr:from>
        <xdr:to>
          <xdr:col>15</xdr:col>
          <xdr:colOff>590550</xdr:colOff>
          <xdr:row>8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1028700</xdr:colOff>
          <xdr:row>10</xdr:row>
          <xdr:rowOff>161925</xdr:rowOff>
        </xdr:from>
        <xdr:to>
          <xdr:col>14</xdr:col>
          <xdr:colOff>381000</xdr:colOff>
          <xdr:row>12</xdr:row>
          <xdr:rowOff>66675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M26"/>
  <sheetViews>
    <sheetView topLeftCell="W17" workbookViewId="0">
      <selection activeCell="AM23" sqref="AM23"/>
    </sheetView>
  </sheetViews>
  <sheetFormatPr defaultRowHeight="15" x14ac:dyDescent="0.25"/>
  <cols>
    <col min="3" max="3" width="50.7109375" bestFit="1" customWidth="1"/>
    <col min="4" max="4" width="19.85546875" bestFit="1" customWidth="1"/>
    <col min="5" max="5" width="16" bestFit="1" customWidth="1"/>
    <col min="6" max="6" width="85.85546875" bestFit="1" customWidth="1"/>
    <col min="8" max="9" width="41.85546875" customWidth="1"/>
  </cols>
  <sheetData>
    <row r="1" spans="1:39" x14ac:dyDescent="0.25">
      <c r="A1" t="s">
        <v>36</v>
      </c>
      <c r="B1" t="s">
        <v>35</v>
      </c>
      <c r="C1" s="1" t="s">
        <v>0</v>
      </c>
      <c r="D1" s="1" t="s">
        <v>1</v>
      </c>
      <c r="E1" s="1" t="s">
        <v>2</v>
      </c>
      <c r="F1" s="2" t="s">
        <v>3</v>
      </c>
      <c r="R1" t="s">
        <v>38</v>
      </c>
      <c r="Z1" t="s">
        <v>39</v>
      </c>
    </row>
    <row r="2" spans="1:39" ht="84" x14ac:dyDescent="0.25">
      <c r="A2" t="s">
        <v>5</v>
      </c>
      <c r="B2">
        <v>1</v>
      </c>
      <c r="C2" s="3" t="s">
        <v>4</v>
      </c>
      <c r="D2" s="3" t="s">
        <v>5</v>
      </c>
      <c r="E2" s="4" t="s">
        <v>6</v>
      </c>
      <c r="F2" s="3" t="s">
        <v>7</v>
      </c>
      <c r="G2">
        <v>1</v>
      </c>
      <c r="H2" s="3" t="s">
        <v>4</v>
      </c>
      <c r="I2" s="3">
        <v>1</v>
      </c>
      <c r="J2" s="3" t="s">
        <v>5</v>
      </c>
      <c r="K2" s="3">
        <v>1</v>
      </c>
      <c r="L2" s="4" t="s">
        <v>6</v>
      </c>
      <c r="M2">
        <v>1</v>
      </c>
      <c r="N2" s="3" t="s">
        <v>7</v>
      </c>
      <c r="R2" t="s">
        <v>5</v>
      </c>
      <c r="S2">
        <v>1</v>
      </c>
      <c r="T2" s="3" t="s">
        <v>4</v>
      </c>
      <c r="U2" s="3" t="s">
        <v>5</v>
      </c>
      <c r="V2" s="4" t="s">
        <v>6</v>
      </c>
      <c r="W2" s="3" t="s">
        <v>7</v>
      </c>
      <c r="Z2" t="s">
        <v>5</v>
      </c>
      <c r="AA2">
        <v>2</v>
      </c>
      <c r="AB2" s="3" t="s">
        <v>15</v>
      </c>
      <c r="AC2" s="3" t="s">
        <v>16</v>
      </c>
      <c r="AD2" s="4" t="s">
        <v>6</v>
      </c>
      <c r="AE2" s="3" t="s">
        <v>7</v>
      </c>
      <c r="AL2" t="s">
        <v>51</v>
      </c>
      <c r="AM2" t="s">
        <v>52</v>
      </c>
    </row>
    <row r="3" spans="1:39" ht="36.75" thickBot="1" x14ac:dyDescent="0.3">
      <c r="A3" t="s">
        <v>5</v>
      </c>
      <c r="B3">
        <v>1</v>
      </c>
      <c r="C3" s="3" t="s">
        <v>8</v>
      </c>
      <c r="D3" s="3" t="s">
        <v>5</v>
      </c>
      <c r="E3" s="4" t="s">
        <v>6</v>
      </c>
      <c r="F3" s="3" t="s">
        <v>9</v>
      </c>
      <c r="G3">
        <v>2</v>
      </c>
      <c r="H3" s="3" t="s">
        <v>8</v>
      </c>
      <c r="I3" s="3">
        <v>2</v>
      </c>
      <c r="J3" s="3" t="s">
        <v>16</v>
      </c>
      <c r="K3" s="3">
        <v>2</v>
      </c>
      <c r="L3" s="5" t="s">
        <v>20</v>
      </c>
      <c r="M3">
        <v>2</v>
      </c>
      <c r="N3" s="3" t="s">
        <v>9</v>
      </c>
      <c r="R3" t="s">
        <v>5</v>
      </c>
      <c r="S3">
        <v>1</v>
      </c>
      <c r="T3" s="3" t="s">
        <v>8</v>
      </c>
      <c r="U3" s="3" t="s">
        <v>5</v>
      </c>
      <c r="V3" s="4" t="s">
        <v>6</v>
      </c>
      <c r="W3" s="3" t="s">
        <v>9</v>
      </c>
      <c r="Z3" t="s">
        <v>16</v>
      </c>
      <c r="AA3">
        <v>2</v>
      </c>
      <c r="AB3" s="3" t="s">
        <v>8</v>
      </c>
      <c r="AC3" s="3" t="s">
        <v>16</v>
      </c>
      <c r="AD3" s="4" t="s">
        <v>6</v>
      </c>
      <c r="AE3" s="3" t="s">
        <v>9</v>
      </c>
      <c r="AL3" s="24">
        <v>12105</v>
      </c>
      <c r="AM3" s="26" t="s">
        <v>54</v>
      </c>
    </row>
    <row r="4" spans="1:39" ht="120.75" thickBot="1" x14ac:dyDescent="0.3">
      <c r="A4" t="s">
        <v>5</v>
      </c>
      <c r="B4">
        <v>1</v>
      </c>
      <c r="C4" s="3" t="s">
        <v>10</v>
      </c>
      <c r="D4" s="3" t="s">
        <v>5</v>
      </c>
      <c r="E4" s="4" t="s">
        <v>6</v>
      </c>
      <c r="F4" s="3" t="s">
        <v>11</v>
      </c>
      <c r="G4">
        <v>3</v>
      </c>
      <c r="H4" s="3" t="s">
        <v>10</v>
      </c>
      <c r="I4" s="6"/>
      <c r="M4">
        <v>3</v>
      </c>
      <c r="N4" s="3" t="s">
        <v>11</v>
      </c>
      <c r="R4" t="s">
        <v>5</v>
      </c>
      <c r="S4">
        <v>1</v>
      </c>
      <c r="T4" s="3" t="s">
        <v>10</v>
      </c>
      <c r="U4" s="3" t="s">
        <v>5</v>
      </c>
      <c r="V4" s="4" t="s">
        <v>6</v>
      </c>
      <c r="W4" s="3" t="s">
        <v>11</v>
      </c>
      <c r="Z4" t="s">
        <v>16</v>
      </c>
      <c r="AA4">
        <v>2</v>
      </c>
      <c r="AB4" s="3" t="s">
        <v>18</v>
      </c>
      <c r="AC4" s="3" t="s">
        <v>16</v>
      </c>
      <c r="AD4" s="4" t="s">
        <v>6</v>
      </c>
      <c r="AE4" s="3" t="s">
        <v>17</v>
      </c>
      <c r="AL4" s="24">
        <v>11132</v>
      </c>
      <c r="AM4" s="26" t="s">
        <v>55</v>
      </c>
    </row>
    <row r="5" spans="1:39" ht="120.75" thickBot="1" x14ac:dyDescent="0.3">
      <c r="A5" t="s">
        <v>5</v>
      </c>
      <c r="B5">
        <v>1</v>
      </c>
      <c r="C5" s="3" t="s">
        <v>12</v>
      </c>
      <c r="D5" s="3" t="s">
        <v>5</v>
      </c>
      <c r="E5" s="4" t="s">
        <v>6</v>
      </c>
      <c r="F5" s="3" t="s">
        <v>13</v>
      </c>
      <c r="G5">
        <v>4</v>
      </c>
      <c r="H5" s="3" t="s">
        <v>12</v>
      </c>
      <c r="I5" s="6"/>
      <c r="M5">
        <v>4</v>
      </c>
      <c r="N5" s="3" t="s">
        <v>13</v>
      </c>
      <c r="R5" t="s">
        <v>5</v>
      </c>
      <c r="S5">
        <v>1</v>
      </c>
      <c r="T5" s="3" t="s">
        <v>12</v>
      </c>
      <c r="U5" s="3" t="s">
        <v>5</v>
      </c>
      <c r="V5" s="4" t="s">
        <v>6</v>
      </c>
      <c r="W5" s="3" t="s">
        <v>13</v>
      </c>
      <c r="Z5" t="s">
        <v>16</v>
      </c>
      <c r="AA5">
        <v>2</v>
      </c>
      <c r="AB5" s="3" t="s">
        <v>22</v>
      </c>
      <c r="AC5" s="3" t="s">
        <v>16</v>
      </c>
      <c r="AD5" s="4" t="s">
        <v>6</v>
      </c>
      <c r="AE5" s="3" t="s">
        <v>19</v>
      </c>
      <c r="AL5" s="24">
        <v>11419</v>
      </c>
      <c r="AM5" s="26" t="s">
        <v>56</v>
      </c>
    </row>
    <row r="6" spans="1:39" ht="96.75" thickBot="1" x14ac:dyDescent="0.3">
      <c r="A6" t="s">
        <v>5</v>
      </c>
      <c r="B6">
        <v>1</v>
      </c>
      <c r="C6" s="3" t="s">
        <v>12</v>
      </c>
      <c r="D6" s="3" t="s">
        <v>5</v>
      </c>
      <c r="E6" s="4" t="s">
        <v>6</v>
      </c>
      <c r="F6" s="3" t="s">
        <v>14</v>
      </c>
      <c r="G6">
        <v>5</v>
      </c>
      <c r="H6" s="3" t="s">
        <v>15</v>
      </c>
      <c r="I6" s="6"/>
      <c r="M6">
        <v>5</v>
      </c>
      <c r="N6" s="3" t="s">
        <v>14</v>
      </c>
      <c r="R6" t="s">
        <v>5</v>
      </c>
      <c r="S6">
        <v>1</v>
      </c>
      <c r="T6" s="17" t="s">
        <v>53</v>
      </c>
      <c r="U6" s="3" t="s">
        <v>5</v>
      </c>
      <c r="V6" s="4" t="s">
        <v>6</v>
      </c>
      <c r="W6" s="3" t="s">
        <v>14</v>
      </c>
      <c r="Z6" t="s">
        <v>16</v>
      </c>
      <c r="AA6">
        <v>2</v>
      </c>
      <c r="AB6" s="3" t="s">
        <v>26</v>
      </c>
      <c r="AC6" s="3" t="s">
        <v>16</v>
      </c>
      <c r="AD6" s="5" t="s">
        <v>20</v>
      </c>
      <c r="AE6" s="3" t="s">
        <v>21</v>
      </c>
      <c r="AL6" s="24">
        <v>10445</v>
      </c>
      <c r="AM6" s="26" t="s">
        <v>57</v>
      </c>
    </row>
    <row r="7" spans="1:39" ht="180.75" thickBot="1" x14ac:dyDescent="0.3">
      <c r="A7" t="s">
        <v>16</v>
      </c>
      <c r="B7">
        <v>2</v>
      </c>
      <c r="C7" s="3" t="s">
        <v>15</v>
      </c>
      <c r="D7" s="3" t="s">
        <v>16</v>
      </c>
      <c r="E7" s="4" t="s">
        <v>6</v>
      </c>
      <c r="F7" s="3" t="s">
        <v>7</v>
      </c>
      <c r="G7">
        <v>6</v>
      </c>
      <c r="H7" s="3" t="s">
        <v>18</v>
      </c>
      <c r="I7" s="6"/>
      <c r="M7">
        <v>6</v>
      </c>
      <c r="N7" s="3" t="s">
        <v>17</v>
      </c>
      <c r="T7" s="17" t="s">
        <v>53</v>
      </c>
      <c r="W7" s="18" t="s">
        <v>53</v>
      </c>
      <c r="Z7" t="s">
        <v>16</v>
      </c>
      <c r="AA7">
        <v>2</v>
      </c>
      <c r="AB7" s="3" t="s">
        <v>28</v>
      </c>
      <c r="AC7" s="3" t="s">
        <v>16</v>
      </c>
      <c r="AD7" s="4" t="s">
        <v>6</v>
      </c>
      <c r="AE7" s="3" t="s">
        <v>23</v>
      </c>
      <c r="AL7" s="24">
        <v>12160</v>
      </c>
      <c r="AM7" s="26" t="s">
        <v>58</v>
      </c>
    </row>
    <row r="8" spans="1:39" ht="132.75" thickBot="1" x14ac:dyDescent="0.3">
      <c r="A8" t="s">
        <v>16</v>
      </c>
      <c r="B8">
        <v>2</v>
      </c>
      <c r="C8" s="3" t="s">
        <v>8</v>
      </c>
      <c r="D8" s="3" t="s">
        <v>16</v>
      </c>
      <c r="E8" s="4" t="s">
        <v>6</v>
      </c>
      <c r="F8" s="3" t="s">
        <v>9</v>
      </c>
      <c r="G8">
        <v>7</v>
      </c>
      <c r="H8" s="3" t="s">
        <v>22</v>
      </c>
      <c r="I8" s="6"/>
      <c r="M8">
        <v>7</v>
      </c>
      <c r="N8" s="3" t="s">
        <v>19</v>
      </c>
      <c r="T8" s="17" t="s">
        <v>53</v>
      </c>
      <c r="W8" s="18" t="s">
        <v>53</v>
      </c>
      <c r="Z8" t="s">
        <v>16</v>
      </c>
      <c r="AA8">
        <v>2</v>
      </c>
      <c r="AB8" s="3" t="s">
        <v>30</v>
      </c>
      <c r="AC8" s="3" t="s">
        <v>16</v>
      </c>
      <c r="AD8" s="5" t="s">
        <v>20</v>
      </c>
      <c r="AE8" s="3" t="s">
        <v>24</v>
      </c>
      <c r="AL8" s="27">
        <v>12170</v>
      </c>
      <c r="AM8" s="28" t="s">
        <v>59</v>
      </c>
    </row>
    <row r="9" spans="1:39" ht="192.75" thickBot="1" x14ac:dyDescent="0.3">
      <c r="A9" t="s">
        <v>16</v>
      </c>
      <c r="B9">
        <v>2</v>
      </c>
      <c r="C9" s="3" t="s">
        <v>12</v>
      </c>
      <c r="D9" s="3" t="s">
        <v>16</v>
      </c>
      <c r="E9" s="4" t="s">
        <v>6</v>
      </c>
      <c r="F9" s="3" t="s">
        <v>17</v>
      </c>
      <c r="G9">
        <v>8</v>
      </c>
      <c r="H9" s="3" t="s">
        <v>26</v>
      </c>
      <c r="I9" s="6"/>
      <c r="M9">
        <v>8</v>
      </c>
      <c r="N9" s="3" t="s">
        <v>21</v>
      </c>
      <c r="T9" s="17" t="s">
        <v>53</v>
      </c>
      <c r="W9" s="18" t="s">
        <v>53</v>
      </c>
      <c r="Z9" t="s">
        <v>16</v>
      </c>
      <c r="AA9">
        <v>2</v>
      </c>
      <c r="AB9" s="3" t="s">
        <v>32</v>
      </c>
      <c r="AC9" s="3" t="s">
        <v>16</v>
      </c>
      <c r="AD9" s="4" t="s">
        <v>6</v>
      </c>
      <c r="AE9" s="3" t="s">
        <v>25</v>
      </c>
      <c r="AL9" s="29">
        <v>12245</v>
      </c>
      <c r="AM9" s="30" t="s">
        <v>60</v>
      </c>
    </row>
    <row r="10" spans="1:39" ht="180.75" thickBot="1" x14ac:dyDescent="0.3">
      <c r="A10" t="s">
        <v>16</v>
      </c>
      <c r="B10">
        <v>2</v>
      </c>
      <c r="C10" s="3" t="s">
        <v>18</v>
      </c>
      <c r="D10" s="3" t="s">
        <v>16</v>
      </c>
      <c r="E10" s="4" t="s">
        <v>6</v>
      </c>
      <c r="F10" s="3" t="s">
        <v>19</v>
      </c>
      <c r="G10">
        <v>9</v>
      </c>
      <c r="H10" s="3" t="s">
        <v>28</v>
      </c>
      <c r="I10" s="6"/>
      <c r="M10">
        <v>9</v>
      </c>
      <c r="N10" s="3" t="s">
        <v>23</v>
      </c>
      <c r="T10" s="17" t="s">
        <v>53</v>
      </c>
      <c r="W10" s="18" t="s">
        <v>53</v>
      </c>
      <c r="Z10" t="s">
        <v>16</v>
      </c>
      <c r="AB10" s="18" t="s">
        <v>53</v>
      </c>
      <c r="AC10" s="3" t="s">
        <v>16</v>
      </c>
      <c r="AD10" s="4" t="s">
        <v>6</v>
      </c>
      <c r="AE10" s="3" t="s">
        <v>27</v>
      </c>
      <c r="AL10" s="24">
        <v>12238</v>
      </c>
      <c r="AM10" s="26" t="s">
        <v>61</v>
      </c>
    </row>
    <row r="11" spans="1:39" ht="228.75" thickBot="1" x14ac:dyDescent="0.3">
      <c r="A11" t="s">
        <v>16</v>
      </c>
      <c r="B11">
        <v>2</v>
      </c>
      <c r="C11" s="3" t="s">
        <v>18</v>
      </c>
      <c r="D11" s="3" t="s">
        <v>16</v>
      </c>
      <c r="E11" s="5" t="s">
        <v>20</v>
      </c>
      <c r="F11" s="3" t="s">
        <v>21</v>
      </c>
      <c r="G11">
        <v>10</v>
      </c>
      <c r="H11" s="3" t="s">
        <v>30</v>
      </c>
      <c r="I11" s="6"/>
      <c r="M11">
        <v>10</v>
      </c>
      <c r="N11" s="3" t="s">
        <v>24</v>
      </c>
      <c r="T11" s="17" t="s">
        <v>53</v>
      </c>
      <c r="W11" s="18" t="s">
        <v>53</v>
      </c>
      <c r="Z11" t="s">
        <v>16</v>
      </c>
      <c r="AB11" s="18" t="s">
        <v>53</v>
      </c>
      <c r="AC11" s="3" t="s">
        <v>16</v>
      </c>
      <c r="AD11" s="5" t="s">
        <v>20</v>
      </c>
      <c r="AE11" s="3" t="s">
        <v>29</v>
      </c>
      <c r="AL11" s="24">
        <v>12239</v>
      </c>
      <c r="AM11" s="26" t="s">
        <v>62</v>
      </c>
    </row>
    <row r="12" spans="1:39" ht="192.75" thickBot="1" x14ac:dyDescent="0.3">
      <c r="A12" t="s">
        <v>16</v>
      </c>
      <c r="B12">
        <v>2</v>
      </c>
      <c r="C12" s="3" t="s">
        <v>22</v>
      </c>
      <c r="D12" s="3" t="s">
        <v>16</v>
      </c>
      <c r="E12" s="4" t="s">
        <v>6</v>
      </c>
      <c r="F12" s="3" t="s">
        <v>23</v>
      </c>
      <c r="G12">
        <v>11</v>
      </c>
      <c r="H12" s="3" t="s">
        <v>32</v>
      </c>
      <c r="I12" s="6"/>
      <c r="M12">
        <v>11</v>
      </c>
      <c r="N12" s="3" t="s">
        <v>25</v>
      </c>
      <c r="T12" s="17" t="s">
        <v>53</v>
      </c>
      <c r="W12" s="18" t="s">
        <v>53</v>
      </c>
      <c r="Z12" t="s">
        <v>16</v>
      </c>
      <c r="AB12" s="18" t="s">
        <v>53</v>
      </c>
      <c r="AC12" s="3" t="s">
        <v>16</v>
      </c>
      <c r="AD12" s="4" t="s">
        <v>6</v>
      </c>
      <c r="AE12" s="3" t="s">
        <v>31</v>
      </c>
      <c r="AL12" s="24">
        <v>12240</v>
      </c>
      <c r="AM12" s="26" t="s">
        <v>63</v>
      </c>
    </row>
    <row r="13" spans="1:39" ht="264.75" thickBot="1" x14ac:dyDescent="0.3">
      <c r="A13" t="s">
        <v>16</v>
      </c>
      <c r="B13">
        <v>2</v>
      </c>
      <c r="C13" s="3" t="s">
        <v>22</v>
      </c>
      <c r="D13" s="3" t="s">
        <v>16</v>
      </c>
      <c r="E13" s="5" t="s">
        <v>20</v>
      </c>
      <c r="F13" s="3" t="s">
        <v>24</v>
      </c>
      <c r="M13">
        <v>12</v>
      </c>
      <c r="N13" s="3" t="s">
        <v>27</v>
      </c>
      <c r="T13" s="17" t="s">
        <v>53</v>
      </c>
      <c r="W13" s="18" t="s">
        <v>53</v>
      </c>
      <c r="Z13" t="s">
        <v>16</v>
      </c>
      <c r="AB13" s="18" t="s">
        <v>53</v>
      </c>
      <c r="AC13" s="3" t="s">
        <v>16</v>
      </c>
      <c r="AD13" s="5" t="s">
        <v>20</v>
      </c>
      <c r="AE13" s="3" t="s">
        <v>33</v>
      </c>
      <c r="AL13" s="24">
        <v>12242</v>
      </c>
      <c r="AM13" s="26" t="s">
        <v>64</v>
      </c>
    </row>
    <row r="14" spans="1:39" ht="228.75" thickBot="1" x14ac:dyDescent="0.3">
      <c r="A14" t="s">
        <v>16</v>
      </c>
      <c r="B14">
        <v>2</v>
      </c>
      <c r="C14" s="3" t="s">
        <v>22</v>
      </c>
      <c r="D14" s="3" t="s">
        <v>16</v>
      </c>
      <c r="E14" s="4" t="s">
        <v>6</v>
      </c>
      <c r="F14" s="3" t="s">
        <v>25</v>
      </c>
      <c r="M14">
        <v>13</v>
      </c>
      <c r="N14" s="3" t="s">
        <v>29</v>
      </c>
      <c r="T14" s="17" t="s">
        <v>53</v>
      </c>
      <c r="W14" s="18" t="s">
        <v>53</v>
      </c>
      <c r="Z14" t="s">
        <v>16</v>
      </c>
      <c r="AA14">
        <v>2</v>
      </c>
      <c r="AB14" s="18" t="s">
        <v>53</v>
      </c>
      <c r="AE14" s="18" t="s">
        <v>53</v>
      </c>
      <c r="AL14" s="24">
        <v>12243</v>
      </c>
      <c r="AM14" s="26" t="s">
        <v>65</v>
      </c>
    </row>
    <row r="15" spans="1:39" ht="72.75" thickBot="1" x14ac:dyDescent="0.3">
      <c r="A15" t="s">
        <v>16</v>
      </c>
      <c r="B15">
        <v>2</v>
      </c>
      <c r="C15" s="3" t="s">
        <v>26</v>
      </c>
      <c r="D15" s="3" t="s">
        <v>16</v>
      </c>
      <c r="E15" s="4" t="s">
        <v>6</v>
      </c>
      <c r="F15" s="3" t="s">
        <v>27</v>
      </c>
      <c r="M15">
        <v>14</v>
      </c>
      <c r="N15" s="3" t="s">
        <v>31</v>
      </c>
      <c r="W15" s="18" t="s">
        <v>53</v>
      </c>
      <c r="AB15" s="18" t="s">
        <v>53</v>
      </c>
      <c r="AE15" s="18" t="s">
        <v>53</v>
      </c>
      <c r="AL15" s="23">
        <v>12271</v>
      </c>
      <c r="AM15" s="26" t="s">
        <v>66</v>
      </c>
    </row>
    <row r="16" spans="1:39" ht="264.75" thickBot="1" x14ac:dyDescent="0.3">
      <c r="A16" t="s">
        <v>16</v>
      </c>
      <c r="B16">
        <v>2</v>
      </c>
      <c r="C16" s="3" t="s">
        <v>28</v>
      </c>
      <c r="D16" s="3" t="s">
        <v>16</v>
      </c>
      <c r="E16" s="5" t="s">
        <v>20</v>
      </c>
      <c r="F16" s="3" t="s">
        <v>29</v>
      </c>
      <c r="M16">
        <v>15</v>
      </c>
      <c r="N16" s="3" t="s">
        <v>33</v>
      </c>
      <c r="AB16" s="18" t="s">
        <v>53</v>
      </c>
      <c r="AE16" s="18" t="s">
        <v>53</v>
      </c>
      <c r="AL16" s="23">
        <v>12304</v>
      </c>
      <c r="AM16" s="32" t="s">
        <v>67</v>
      </c>
    </row>
    <row r="17" spans="1:39" ht="15.75" thickBot="1" x14ac:dyDescent="0.3">
      <c r="A17" t="s">
        <v>16</v>
      </c>
      <c r="B17">
        <v>2</v>
      </c>
      <c r="C17" s="3" t="s">
        <v>30</v>
      </c>
      <c r="D17" s="3" t="s">
        <v>16</v>
      </c>
      <c r="E17" s="4" t="s">
        <v>6</v>
      </c>
      <c r="F17" s="3" t="s">
        <v>31</v>
      </c>
      <c r="AB17" s="18" t="s">
        <v>53</v>
      </c>
      <c r="AE17" s="18" t="s">
        <v>53</v>
      </c>
      <c r="AL17" s="23">
        <v>12305</v>
      </c>
      <c r="AM17" s="32" t="s">
        <v>68</v>
      </c>
    </row>
    <row r="18" spans="1:39" ht="24.75" thickBot="1" x14ac:dyDescent="0.3">
      <c r="A18" t="s">
        <v>16</v>
      </c>
      <c r="B18">
        <v>2</v>
      </c>
      <c r="C18" s="3" t="s">
        <v>32</v>
      </c>
      <c r="D18" s="3" t="s">
        <v>16</v>
      </c>
      <c r="E18" s="5" t="s">
        <v>20</v>
      </c>
      <c r="F18" s="3" t="s">
        <v>33</v>
      </c>
      <c r="AE18" s="18" t="s">
        <v>53</v>
      </c>
      <c r="AL18" s="23">
        <v>12310</v>
      </c>
      <c r="AM18" s="31" t="s">
        <v>69</v>
      </c>
    </row>
    <row r="19" spans="1:39" ht="15.75" thickBot="1" x14ac:dyDescent="0.3">
      <c r="AE19" s="18" t="s">
        <v>53</v>
      </c>
      <c r="AL19" s="23">
        <v>12116</v>
      </c>
      <c r="AM19" s="25" t="s">
        <v>70</v>
      </c>
    </row>
    <row r="20" spans="1:39" ht="15.75" thickBot="1" x14ac:dyDescent="0.3">
      <c r="AE20" s="18" t="s">
        <v>53</v>
      </c>
      <c r="AL20" s="23">
        <v>12338</v>
      </c>
      <c r="AM20" s="26" t="s">
        <v>71</v>
      </c>
    </row>
    <row r="21" spans="1:39" ht="15.75" thickBot="1" x14ac:dyDescent="0.3">
      <c r="AL21" s="23">
        <v>12340</v>
      </c>
      <c r="AM21" s="26" t="s">
        <v>72</v>
      </c>
    </row>
    <row r="22" spans="1:39" ht="15.75" thickBot="1" x14ac:dyDescent="0.3">
      <c r="AL22" s="23">
        <v>12408</v>
      </c>
      <c r="AM22" s="26" t="s">
        <v>81</v>
      </c>
    </row>
    <row r="23" spans="1:39" ht="15.75" thickBot="1" x14ac:dyDescent="0.3"/>
    <row r="24" spans="1:39" ht="15.75" thickBot="1" x14ac:dyDescent="0.3">
      <c r="AL24" s="29">
        <v>11458</v>
      </c>
      <c r="AM24" s="30" t="s">
        <v>73</v>
      </c>
    </row>
    <row r="25" spans="1:39" ht="15.75" thickBot="1" x14ac:dyDescent="0.3">
      <c r="AL25" s="24">
        <v>10446</v>
      </c>
      <c r="AM25" s="26" t="s">
        <v>74</v>
      </c>
    </row>
    <row r="26" spans="1:39" x14ac:dyDescent="0.25">
      <c r="AL26">
        <v>11111</v>
      </c>
      <c r="AM26" s="35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Z95"/>
  <sheetViews>
    <sheetView showGridLines="0" showRowColHeaders="0" zoomScaleNormal="100" workbookViewId="0">
      <selection activeCell="D9" sqref="D9:E9"/>
    </sheetView>
  </sheetViews>
  <sheetFormatPr defaultColWidth="0" defaultRowHeight="15" x14ac:dyDescent="0.25"/>
  <cols>
    <col min="1" max="3" width="9.140625" customWidth="1"/>
    <col min="4" max="6" width="10.7109375" bestFit="1" customWidth="1"/>
    <col min="7" max="11" width="9.140625" customWidth="1"/>
    <col min="12" max="12" width="18.5703125" bestFit="1" customWidth="1"/>
    <col min="13" max="17" width="9.140625" customWidth="1"/>
    <col min="18" max="18" width="10.7109375" bestFit="1" customWidth="1"/>
    <col min="19" max="19" width="15.85546875" bestFit="1" customWidth="1"/>
    <col min="20" max="20" width="0" style="16" hidden="1" customWidth="1"/>
    <col min="21" max="26" width="9.140625" style="16" hidden="1" customWidth="1"/>
    <col min="27" max="16384" width="9.140625" hidden="1"/>
  </cols>
  <sheetData>
    <row r="1" spans="1:24" ht="15.75" thickBot="1" x14ac:dyDescent="0.3">
      <c r="A1" t="str">
        <f>IF(AND(D9&lt;&gt;"",F9&lt;&gt;"",I9&lt;&gt;""),"1","0")</f>
        <v>0</v>
      </c>
      <c r="E1" s="11">
        <v>3732092</v>
      </c>
      <c r="J1" s="44"/>
      <c r="K1" s="45"/>
      <c r="W1" s="16" t="s">
        <v>51</v>
      </c>
      <c r="X1" s="16" t="s">
        <v>52</v>
      </c>
    </row>
    <row r="2" spans="1:24" x14ac:dyDescent="0.25">
      <c r="D2" s="52" t="s">
        <v>43</v>
      </c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W2" s="47">
        <v>11111</v>
      </c>
      <c r="X2" s="16" t="str">
        <f>IF(ISERROR(VLOOKUP(W2,Matrix!AL:AM,2,0)),"Não detectado",(VLOOKUP(W2,Matrix!AL:AM,2,0)))</f>
        <v>COORDENAÇÃO</v>
      </c>
    </row>
    <row r="3" spans="1:24" x14ac:dyDescent="0.25">
      <c r="D3" s="55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7"/>
    </row>
    <row r="4" spans="1:24" ht="15.75" thickBot="1" x14ac:dyDescent="0.3">
      <c r="D4" s="58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60"/>
    </row>
    <row r="5" spans="1:24" x14ac:dyDescent="0.25"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</row>
    <row r="6" spans="1:24" x14ac:dyDescent="0.25">
      <c r="F6" t="s">
        <v>75</v>
      </c>
      <c r="G6" t="str">
        <f>X2</f>
        <v>COORDENAÇÃO</v>
      </c>
      <c r="R6" s="10">
        <f ca="1">NOW()</f>
        <v>43418.459903009258</v>
      </c>
      <c r="S6" s="8"/>
    </row>
    <row r="7" spans="1:24" x14ac:dyDescent="0.25">
      <c r="R7" s="10"/>
      <c r="S7" s="8"/>
    </row>
    <row r="8" spans="1:24" ht="15.75" thickBot="1" x14ac:dyDescent="0.3">
      <c r="D8" t="s">
        <v>40</v>
      </c>
      <c r="F8" s="48" t="s">
        <v>45</v>
      </c>
      <c r="G8" s="48"/>
      <c r="H8" s="48"/>
      <c r="I8" s="48" t="s">
        <v>46</v>
      </c>
      <c r="J8" s="48"/>
      <c r="K8" s="48"/>
    </row>
    <row r="9" spans="1:24" ht="15.75" thickBot="1" x14ac:dyDescent="0.3">
      <c r="D9" s="61"/>
      <c r="E9" s="62"/>
      <c r="F9" s="49"/>
      <c r="G9" s="50"/>
      <c r="H9" s="51"/>
      <c r="I9" s="61"/>
      <c r="J9" s="63"/>
      <c r="K9" s="64"/>
    </row>
    <row r="10" spans="1:24" x14ac:dyDescent="0.25">
      <c r="A10" s="16"/>
      <c r="B10" s="16"/>
      <c r="C10" s="16"/>
      <c r="D10" s="16"/>
      <c r="E10" s="43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24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24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24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24" x14ac:dyDescent="0.25">
      <c r="A14" s="16"/>
      <c r="B14" s="16"/>
      <c r="C14" s="16"/>
      <c r="D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24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24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K17" s="16"/>
      <c r="L17" s="16"/>
      <c r="M17" s="16"/>
      <c r="N17" s="16"/>
      <c r="O17" s="16"/>
      <c r="P17" s="36"/>
      <c r="Q17" s="36"/>
      <c r="R17" s="36"/>
      <c r="S17" s="3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44"/>
      <c r="K18" s="16"/>
      <c r="L18" s="16"/>
      <c r="M18" s="16"/>
      <c r="N18" s="16"/>
      <c r="O18" s="16"/>
      <c r="P18" s="36"/>
      <c r="Q18" s="36"/>
      <c r="R18" s="36"/>
      <c r="S18" s="36"/>
    </row>
    <row r="19" spans="1:19" x14ac:dyDescent="0.25">
      <c r="A19" s="16"/>
      <c r="B19" s="16"/>
      <c r="C19" s="12"/>
      <c r="D19" s="12">
        <v>9682844</v>
      </c>
      <c r="E19" s="12"/>
      <c r="F19" s="12"/>
      <c r="G19" s="42">
        <v>43384</v>
      </c>
      <c r="H19" s="12">
        <v>11</v>
      </c>
      <c r="I19" s="45"/>
      <c r="J19" s="12" t="s">
        <v>77</v>
      </c>
      <c r="K19" s="45"/>
      <c r="L19" s="12"/>
      <c r="M19" s="12"/>
      <c r="N19" s="16"/>
      <c r="O19" s="16"/>
      <c r="P19" s="36"/>
      <c r="Q19" s="36"/>
      <c r="R19" s="36"/>
      <c r="S19" s="36"/>
    </row>
    <row r="20" spans="1:19" x14ac:dyDescent="0.25">
      <c r="A20" s="16"/>
      <c r="B20" s="16"/>
      <c r="C20" s="11" t="s">
        <v>34</v>
      </c>
      <c r="D20" s="11" t="s">
        <v>37</v>
      </c>
      <c r="E20" s="21" t="s">
        <v>44</v>
      </c>
      <c r="F20" s="21" t="s">
        <v>46</v>
      </c>
      <c r="G20" s="21" t="s">
        <v>51</v>
      </c>
      <c r="H20" s="21" t="s">
        <v>52</v>
      </c>
      <c r="I20" s="11" t="s">
        <v>41</v>
      </c>
      <c r="J20" s="11" t="s">
        <v>0</v>
      </c>
      <c r="K20" s="21" t="s">
        <v>42</v>
      </c>
      <c r="L20" s="21" t="s">
        <v>50</v>
      </c>
      <c r="M20" s="11" t="s">
        <v>3</v>
      </c>
      <c r="N20" s="40"/>
      <c r="O20" s="16"/>
      <c r="P20" s="36"/>
      <c r="Q20" s="36"/>
      <c r="R20" s="36"/>
      <c r="S20" s="36"/>
    </row>
    <row r="21" spans="1:19" x14ac:dyDescent="0.25">
      <c r="A21" s="16"/>
      <c r="B21" s="16"/>
      <c r="C21" s="11">
        <f>IF(ISERROR(D9),"-",(D9))</f>
        <v>0</v>
      </c>
      <c r="D21" s="13">
        <f ca="1">IF(ISERROR(R6),"-",(R6))</f>
        <v>43418.459903009258</v>
      </c>
      <c r="E21" s="22">
        <f>IF(ISERROR(F9),"-",(F9))</f>
        <v>0</v>
      </c>
      <c r="F21" s="41">
        <f>I9</f>
        <v>0</v>
      </c>
      <c r="G21" s="34">
        <f>IF(ISERROR(W2),"-",(W2))</f>
        <v>11111</v>
      </c>
      <c r="H21" s="21" t="str">
        <f>IF(ISERROR(X2),"-",(X2))</f>
        <v>COORDENAÇÃO</v>
      </c>
      <c r="I21" s="11" t="str">
        <f>IF(ISERROR(B46),"-",(B46))</f>
        <v>-</v>
      </c>
      <c r="J21" s="11" t="str">
        <f>IF(ISERROR(B47),"-",(B47))</f>
        <v>-</v>
      </c>
      <c r="K21" s="21" t="str">
        <f>IF(ISERROR(B72),"-",(B72))</f>
        <v>-</v>
      </c>
      <c r="L21" s="21" t="str">
        <f>IF(ISERROR(B57),"-",(B57))</f>
        <v>-</v>
      </c>
      <c r="M21" s="11" t="str">
        <f>IF(ISERROR(B48),"-",(B48))</f>
        <v>-</v>
      </c>
      <c r="N21" s="40"/>
      <c r="O21" s="16"/>
      <c r="P21" s="36"/>
      <c r="Q21" s="36"/>
      <c r="R21" s="36"/>
      <c r="S21" s="36"/>
    </row>
    <row r="22" spans="1:19" x14ac:dyDescent="0.25">
      <c r="A22" s="16"/>
      <c r="B22" s="16"/>
      <c r="C22" s="12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8"/>
      <c r="O22" s="38"/>
      <c r="P22" s="37"/>
      <c r="Q22" s="36"/>
      <c r="R22" s="36"/>
      <c r="S22" s="36"/>
    </row>
    <row r="23" spans="1:19" x14ac:dyDescent="0.25">
      <c r="A23" s="16"/>
      <c r="B23" s="1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6"/>
      <c r="O23" s="16"/>
      <c r="P23" s="36"/>
      <c r="Q23" s="36"/>
      <c r="R23" s="36"/>
      <c r="S23" s="3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36"/>
      <c r="Q24" s="36"/>
      <c r="R24" s="36"/>
      <c r="S24" s="3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36"/>
      <c r="Q25" s="36"/>
      <c r="R25" s="36"/>
      <c r="S25" s="3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36"/>
      <c r="N26" s="36"/>
      <c r="O26" s="36"/>
      <c r="P26" s="36"/>
      <c r="Q26" s="36"/>
      <c r="R26" s="36"/>
      <c r="S26" s="3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36"/>
      <c r="N27" s="36"/>
      <c r="O27" s="36"/>
      <c r="P27" s="36"/>
      <c r="Q27" s="36"/>
      <c r="R27" s="36"/>
      <c r="S27" s="3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36"/>
      <c r="N28" s="36"/>
      <c r="O28" s="36"/>
      <c r="P28" s="36"/>
      <c r="Q28" s="36"/>
      <c r="R28" s="36"/>
      <c r="S28" s="3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36"/>
      <c r="N29" s="36"/>
      <c r="O29" s="36"/>
      <c r="P29" s="36"/>
      <c r="Q29" s="36"/>
      <c r="R29" s="36"/>
      <c r="S29" s="3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36"/>
      <c r="N30" s="36"/>
      <c r="O30" s="36"/>
      <c r="P30" s="36"/>
      <c r="Q30" s="36"/>
      <c r="R30" s="36"/>
      <c r="S30" s="3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36"/>
      <c r="N31" s="36"/>
      <c r="O31" s="36"/>
      <c r="P31" s="36"/>
      <c r="Q31" s="36"/>
      <c r="R31" s="36"/>
      <c r="S31" s="3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36"/>
      <c r="N32" s="36"/>
      <c r="O32" s="36"/>
      <c r="P32" s="36"/>
      <c r="Q32" s="36"/>
      <c r="R32" s="36"/>
      <c r="S32" s="3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36"/>
      <c r="N33" s="36"/>
      <c r="O33" s="36"/>
      <c r="P33" s="36"/>
      <c r="Q33" s="36"/>
      <c r="R33" s="36"/>
      <c r="S33" s="3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36"/>
      <c r="N34" s="36"/>
      <c r="O34" s="36"/>
      <c r="P34" s="36"/>
      <c r="Q34" s="36"/>
      <c r="R34" s="36"/>
      <c r="S34" s="3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36"/>
      <c r="N35" s="36"/>
      <c r="O35" s="36"/>
      <c r="P35" s="36"/>
      <c r="Q35" s="36"/>
      <c r="R35" s="36"/>
      <c r="S35" s="3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36"/>
      <c r="N36" s="36"/>
      <c r="O36" s="36"/>
      <c r="P36" s="36"/>
      <c r="Q36" s="36"/>
      <c r="R36" s="36"/>
      <c r="S36" s="3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2"/>
      <c r="J37" s="12"/>
      <c r="K37" s="12"/>
      <c r="L37" s="16"/>
      <c r="M37" s="36"/>
      <c r="N37" s="36"/>
      <c r="O37" s="36"/>
      <c r="P37" s="36"/>
      <c r="Q37" s="36"/>
      <c r="R37" s="36"/>
      <c r="S37" s="36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36"/>
      <c r="N38" s="36"/>
      <c r="O38" s="36"/>
      <c r="P38" s="36"/>
      <c r="Q38" s="36"/>
      <c r="R38" s="36"/>
      <c r="S38" s="36"/>
    </row>
    <row r="39" spans="1:19" ht="36" x14ac:dyDescent="0.25">
      <c r="A39" s="19">
        <v>1</v>
      </c>
      <c r="B39" s="20" t="s">
        <v>5</v>
      </c>
      <c r="C39" s="19"/>
      <c r="D39" s="12"/>
      <c r="E39" s="12"/>
      <c r="F39" s="12"/>
      <c r="G39" s="12"/>
      <c r="H39" s="12"/>
      <c r="I39" s="12"/>
      <c r="J39" s="12"/>
      <c r="K39" s="12"/>
      <c r="L39" s="12"/>
      <c r="M39" s="36"/>
      <c r="N39" s="36"/>
      <c r="O39" s="36"/>
      <c r="P39" s="36"/>
      <c r="Q39" s="36"/>
      <c r="R39" s="36"/>
      <c r="S39" s="36"/>
    </row>
    <row r="40" spans="1:19" ht="36" x14ac:dyDescent="0.25">
      <c r="A40" s="19">
        <v>2</v>
      </c>
      <c r="B40" s="20" t="s">
        <v>16</v>
      </c>
      <c r="C40" s="19"/>
      <c r="D40" s="12"/>
      <c r="E40" s="12"/>
      <c r="F40" s="12"/>
      <c r="G40" s="12"/>
      <c r="H40" s="12"/>
      <c r="I40" s="12"/>
      <c r="J40" s="12"/>
      <c r="K40" s="12"/>
      <c r="L40" s="12"/>
      <c r="M40" s="36"/>
      <c r="N40" s="36"/>
      <c r="O40" s="36"/>
      <c r="P40" s="36"/>
      <c r="Q40" s="36"/>
      <c r="R40" s="36"/>
      <c r="S40" s="36"/>
    </row>
    <row r="41" spans="1:19" x14ac:dyDescent="0.25">
      <c r="A41" s="19"/>
      <c r="B41" s="19"/>
      <c r="C41" s="19"/>
      <c r="D41" s="12"/>
      <c r="E41" s="12"/>
      <c r="F41" s="12"/>
      <c r="G41" s="12"/>
      <c r="H41" s="12"/>
      <c r="I41" s="12"/>
      <c r="J41" s="12"/>
      <c r="K41" s="12"/>
      <c r="L41" s="12"/>
      <c r="M41" s="36"/>
      <c r="N41" s="36"/>
      <c r="O41" s="36"/>
      <c r="P41" s="36"/>
      <c r="Q41" s="36"/>
      <c r="R41" s="36"/>
      <c r="S41" s="36"/>
    </row>
    <row r="42" spans="1:19" x14ac:dyDescent="0.25">
      <c r="A42" s="19"/>
      <c r="B42" s="19"/>
      <c r="C42" s="19"/>
      <c r="D42" s="12"/>
      <c r="E42" s="12"/>
      <c r="F42" s="12"/>
      <c r="G42" s="12"/>
      <c r="H42" s="12"/>
      <c r="I42" s="12"/>
      <c r="J42" s="12"/>
      <c r="K42" s="12"/>
      <c r="L42" s="12"/>
      <c r="M42" s="36"/>
      <c r="N42" s="36"/>
      <c r="O42" s="36"/>
      <c r="P42" s="36"/>
      <c r="Q42" s="36"/>
      <c r="R42" s="36"/>
      <c r="S42" s="36"/>
    </row>
    <row r="43" spans="1:19" x14ac:dyDescent="0.25">
      <c r="A43" s="19"/>
      <c r="B43" s="19"/>
      <c r="C43" s="19"/>
      <c r="D43" s="12"/>
      <c r="E43" s="12"/>
      <c r="F43" s="12"/>
      <c r="G43" s="12"/>
      <c r="H43" s="12"/>
      <c r="I43" s="12"/>
      <c r="J43" s="12"/>
      <c r="K43" s="12"/>
      <c r="L43" s="12"/>
      <c r="M43" s="36"/>
      <c r="N43" s="36"/>
      <c r="O43" s="36"/>
      <c r="P43" s="36"/>
      <c r="Q43" s="36"/>
      <c r="R43" s="36"/>
      <c r="S43" s="36"/>
    </row>
    <row r="44" spans="1:19" x14ac:dyDescent="0.25">
      <c r="A44" s="19"/>
      <c r="B44" s="19"/>
      <c r="C44" s="19"/>
      <c r="D44" s="12"/>
      <c r="E44" s="12"/>
      <c r="F44" s="12"/>
      <c r="G44" s="12"/>
      <c r="H44" s="12"/>
      <c r="I44" s="12"/>
      <c r="J44" s="12"/>
      <c r="K44" s="12"/>
      <c r="L44" s="12"/>
      <c r="M44" s="36"/>
      <c r="N44" s="36"/>
      <c r="O44" s="36"/>
      <c r="P44" s="36"/>
      <c r="Q44" s="36"/>
      <c r="R44" s="36"/>
      <c r="S44" s="36"/>
    </row>
    <row r="45" spans="1:19" x14ac:dyDescent="0.25">
      <c r="A45" s="19"/>
      <c r="B45" s="19"/>
      <c r="C45" s="19"/>
      <c r="D45" s="12"/>
      <c r="E45" s="12"/>
      <c r="F45" s="12"/>
      <c r="G45" s="12"/>
      <c r="H45" s="12"/>
      <c r="I45" s="12"/>
      <c r="J45" s="12"/>
      <c r="K45" s="12"/>
      <c r="L45" s="12"/>
      <c r="M45" s="36"/>
      <c r="N45" s="36"/>
      <c r="O45" s="36"/>
      <c r="P45" s="36"/>
      <c r="Q45" s="36"/>
      <c r="R45" s="36"/>
      <c r="S45" s="36"/>
    </row>
    <row r="46" spans="1:19" x14ac:dyDescent="0.25">
      <c r="A46" s="19"/>
      <c r="B46" s="19" t="e">
        <f>VLOOKUP(A46,A39:B40,2,0)</f>
        <v>#N/A</v>
      </c>
      <c r="C46" s="19"/>
      <c r="D46" s="12"/>
      <c r="E46" s="12"/>
      <c r="F46" s="12"/>
      <c r="G46" s="12"/>
      <c r="H46" s="12"/>
      <c r="I46" s="12"/>
      <c r="J46" s="12"/>
      <c r="K46" s="12"/>
      <c r="L46" s="12"/>
      <c r="M46" s="36"/>
      <c r="N46" s="36"/>
      <c r="O46" s="36"/>
      <c r="P46" s="36"/>
      <c r="Q46" s="36"/>
      <c r="R46" s="36"/>
      <c r="S46" s="36"/>
    </row>
    <row r="47" spans="1:19" x14ac:dyDescent="0.25">
      <c r="A47" s="19"/>
      <c r="B47" s="19" t="e">
        <f>VLOOKUP(A47,C78:E89,2,0)</f>
        <v>#N/A</v>
      </c>
      <c r="C47" s="19"/>
      <c r="D47" s="12"/>
      <c r="E47" s="12"/>
      <c r="F47" s="12"/>
      <c r="G47" s="12"/>
      <c r="H47" s="12"/>
      <c r="I47" s="12"/>
      <c r="J47" s="12"/>
      <c r="K47" s="12"/>
      <c r="L47" s="12"/>
      <c r="M47" s="36"/>
      <c r="N47" s="36"/>
      <c r="O47" s="36"/>
      <c r="P47" s="36"/>
      <c r="Q47" s="36"/>
      <c r="R47" s="36"/>
      <c r="S47" s="36"/>
    </row>
    <row r="48" spans="1:19" x14ac:dyDescent="0.25">
      <c r="A48" s="19"/>
      <c r="B48" s="19" t="e">
        <f>VLOOKUP(A48,C78:E89,3,0)</f>
        <v>#N/A</v>
      </c>
      <c r="C48" s="19"/>
      <c r="D48" s="12"/>
      <c r="E48" s="12"/>
      <c r="F48" s="12"/>
      <c r="G48" s="12"/>
      <c r="H48" s="12"/>
      <c r="I48" s="12"/>
      <c r="J48" s="12"/>
      <c r="K48" s="12"/>
      <c r="L48" s="12"/>
      <c r="M48" s="36"/>
      <c r="N48" s="36"/>
      <c r="O48" s="36"/>
      <c r="P48" s="36"/>
      <c r="Q48" s="36"/>
      <c r="R48" s="36"/>
      <c r="S48" s="36"/>
    </row>
    <row r="49" spans="1:19" x14ac:dyDescent="0.25">
      <c r="A49" s="19"/>
      <c r="B49" s="19"/>
      <c r="C49" s="19"/>
      <c r="D49" s="12"/>
      <c r="E49" s="12"/>
      <c r="F49" s="12"/>
      <c r="G49" s="12"/>
      <c r="H49" s="12"/>
      <c r="I49" s="12"/>
      <c r="J49" s="12"/>
      <c r="K49" s="12"/>
      <c r="L49" s="12"/>
      <c r="M49" s="36"/>
      <c r="N49" s="36"/>
      <c r="O49" s="36"/>
      <c r="P49" s="36"/>
      <c r="Q49" s="36"/>
      <c r="R49" s="36"/>
      <c r="S49" s="36"/>
    </row>
    <row r="50" spans="1:19" x14ac:dyDescent="0.25">
      <c r="A50" s="19"/>
      <c r="B50" s="19"/>
      <c r="C50" s="19"/>
      <c r="D50" s="12"/>
      <c r="E50" s="12"/>
      <c r="F50" s="12"/>
      <c r="G50" s="12"/>
      <c r="H50" s="12"/>
      <c r="I50" s="12"/>
      <c r="J50" s="12"/>
      <c r="K50" s="12"/>
      <c r="L50" s="12"/>
      <c r="M50" s="36"/>
      <c r="N50" s="36"/>
      <c r="O50" s="36"/>
      <c r="P50" s="36"/>
      <c r="Q50" s="36"/>
      <c r="R50" s="36"/>
      <c r="S50" s="36"/>
    </row>
    <row r="51" spans="1:19" x14ac:dyDescent="0.25">
      <c r="A51" s="19"/>
      <c r="B51" s="19"/>
      <c r="C51" s="19"/>
      <c r="D51" s="12"/>
      <c r="E51" s="12"/>
      <c r="F51" s="12"/>
      <c r="G51" s="12"/>
      <c r="H51" s="12"/>
      <c r="I51" s="12"/>
      <c r="J51" s="12"/>
      <c r="K51" s="12"/>
      <c r="L51" s="12"/>
      <c r="M51" s="36"/>
      <c r="N51" s="36"/>
      <c r="O51" s="36"/>
      <c r="P51" s="36"/>
      <c r="Q51" s="36"/>
      <c r="R51" s="36"/>
      <c r="S51" s="36"/>
    </row>
    <row r="52" spans="1:19" x14ac:dyDescent="0.25">
      <c r="A52" s="19"/>
      <c r="B52" s="19"/>
      <c r="C52" s="19"/>
      <c r="D52" s="12"/>
      <c r="E52" s="12"/>
      <c r="F52" s="12"/>
      <c r="G52" s="12"/>
      <c r="H52" s="12"/>
      <c r="I52" s="12"/>
      <c r="J52" s="12"/>
      <c r="K52" s="12"/>
      <c r="L52" s="12"/>
      <c r="M52" s="36"/>
      <c r="N52" s="36"/>
      <c r="O52" s="36"/>
      <c r="P52" s="36"/>
      <c r="Q52" s="36"/>
      <c r="R52" s="36"/>
      <c r="S52" s="36"/>
    </row>
    <row r="53" spans="1:19" x14ac:dyDescent="0.25">
      <c r="A53" s="19"/>
      <c r="B53" s="19"/>
      <c r="C53" s="19"/>
      <c r="D53" s="12"/>
      <c r="E53" s="12"/>
      <c r="F53" s="12"/>
      <c r="G53" s="12"/>
      <c r="H53" s="12"/>
      <c r="I53" s="12"/>
      <c r="J53" s="12"/>
      <c r="K53" s="12"/>
      <c r="L53" s="12"/>
      <c r="M53" s="36"/>
      <c r="N53" s="36"/>
      <c r="O53" s="36"/>
      <c r="P53" s="36"/>
      <c r="Q53" s="36"/>
      <c r="R53" s="36"/>
      <c r="S53" s="36"/>
    </row>
    <row r="54" spans="1:19" x14ac:dyDescent="0.25">
      <c r="A54" s="19">
        <v>1</v>
      </c>
      <c r="B54" s="19" t="s">
        <v>47</v>
      </c>
      <c r="C54" s="19"/>
      <c r="D54" s="12"/>
      <c r="E54" s="12"/>
      <c r="F54" s="12"/>
      <c r="G54" s="12"/>
      <c r="H54" s="12"/>
      <c r="I54" s="12"/>
      <c r="J54" s="12"/>
      <c r="K54" s="12"/>
      <c r="L54" s="12"/>
      <c r="M54" s="36"/>
      <c r="N54" s="36"/>
      <c r="O54" s="36"/>
      <c r="P54" s="36"/>
      <c r="Q54" s="36"/>
      <c r="R54" s="36"/>
      <c r="S54" s="36"/>
    </row>
    <row r="55" spans="1:19" x14ac:dyDescent="0.25">
      <c r="A55" s="19">
        <v>2</v>
      </c>
      <c r="B55" s="19" t="s">
        <v>48</v>
      </c>
      <c r="C55" s="19"/>
      <c r="D55" s="12"/>
      <c r="E55" s="12"/>
      <c r="F55" s="12"/>
      <c r="G55" s="12"/>
      <c r="H55" s="12"/>
      <c r="I55" s="12"/>
      <c r="J55" s="12"/>
      <c r="K55" s="12"/>
      <c r="L55" s="12"/>
      <c r="M55" s="36"/>
      <c r="N55" s="36"/>
      <c r="O55" s="36"/>
      <c r="P55" s="36"/>
      <c r="Q55" s="36"/>
      <c r="R55" s="36"/>
      <c r="S55" s="36"/>
    </row>
    <row r="56" spans="1:19" x14ac:dyDescent="0.25">
      <c r="A56" s="19">
        <v>3</v>
      </c>
      <c r="B56" s="19" t="s">
        <v>49</v>
      </c>
      <c r="C56" s="19"/>
      <c r="D56" s="12"/>
      <c r="E56" s="12"/>
      <c r="F56" s="12"/>
      <c r="G56" s="12"/>
      <c r="H56" s="12"/>
      <c r="I56" s="12"/>
      <c r="J56" s="12"/>
      <c r="K56" s="12"/>
      <c r="L56" s="12"/>
      <c r="M56" s="36"/>
      <c r="N56" s="36"/>
      <c r="O56" s="36"/>
      <c r="P56" s="36"/>
      <c r="Q56" s="36"/>
      <c r="R56" s="36"/>
      <c r="S56" s="36"/>
    </row>
    <row r="57" spans="1:19" x14ac:dyDescent="0.25">
      <c r="A57" s="19"/>
      <c r="B57" s="19" t="e">
        <f>VLOOKUP(A57,A54:B56,2,0)</f>
        <v>#N/A</v>
      </c>
      <c r="C57" s="19"/>
      <c r="D57" s="12"/>
      <c r="E57" s="12"/>
      <c r="F57" s="12"/>
      <c r="G57" s="12"/>
      <c r="H57" s="12"/>
      <c r="I57" s="12"/>
      <c r="J57" s="12"/>
      <c r="K57" s="12"/>
      <c r="L57" s="12"/>
      <c r="M57" s="36"/>
      <c r="N57" s="36"/>
      <c r="O57" s="36"/>
      <c r="P57" s="36"/>
      <c r="Q57" s="36"/>
      <c r="R57" s="36"/>
      <c r="S57" s="36"/>
    </row>
    <row r="58" spans="1:19" x14ac:dyDescent="0.25">
      <c r="A58" s="19"/>
      <c r="B58" s="19"/>
      <c r="C58" s="19"/>
      <c r="D58" s="12"/>
      <c r="E58" s="12"/>
      <c r="F58" s="12"/>
      <c r="G58" s="12"/>
      <c r="H58" s="12"/>
      <c r="I58" s="12"/>
      <c r="J58" s="12"/>
      <c r="K58" s="12"/>
      <c r="L58" s="12"/>
      <c r="M58" s="36"/>
      <c r="N58" s="36"/>
      <c r="O58" s="36"/>
      <c r="P58" s="36"/>
      <c r="Q58" s="36"/>
      <c r="R58" s="36"/>
      <c r="S58" s="36"/>
    </row>
    <row r="59" spans="1:19" x14ac:dyDescent="0.25">
      <c r="A59" s="19"/>
      <c r="B59" s="19"/>
      <c r="C59" s="19"/>
      <c r="D59" s="12"/>
      <c r="E59" s="12"/>
      <c r="F59" s="12"/>
      <c r="G59" s="12"/>
      <c r="H59" s="12"/>
      <c r="I59" s="12"/>
      <c r="J59" s="12"/>
      <c r="K59" s="12"/>
      <c r="L59" s="12"/>
      <c r="M59" s="36"/>
      <c r="N59" s="36"/>
      <c r="O59" s="36"/>
      <c r="P59" s="36"/>
      <c r="Q59" s="36"/>
      <c r="R59" s="36"/>
      <c r="S59" s="36"/>
    </row>
    <row r="60" spans="1:19" x14ac:dyDescent="0.25">
      <c r="A60" s="19"/>
      <c r="B60" s="19"/>
      <c r="C60" s="19"/>
      <c r="D60" s="12"/>
      <c r="E60" s="12"/>
      <c r="F60" s="12"/>
      <c r="G60" s="12"/>
      <c r="H60" s="12"/>
      <c r="I60" s="12"/>
      <c r="J60" s="12"/>
      <c r="K60" s="12"/>
      <c r="L60" s="12"/>
      <c r="M60" s="36"/>
      <c r="N60" s="36"/>
      <c r="O60" s="36"/>
      <c r="P60" s="36"/>
      <c r="Q60" s="36"/>
      <c r="R60" s="36"/>
      <c r="S60" s="36"/>
    </row>
    <row r="61" spans="1:19" x14ac:dyDescent="0.25">
      <c r="A61" s="19"/>
      <c r="B61" s="19"/>
      <c r="C61" s="19"/>
      <c r="D61" s="12"/>
      <c r="E61" s="12"/>
      <c r="F61" s="12"/>
      <c r="G61" s="12"/>
      <c r="H61" s="12"/>
      <c r="I61" s="12"/>
      <c r="J61" s="12"/>
      <c r="K61" s="12"/>
      <c r="L61" s="12"/>
      <c r="M61" s="36"/>
      <c r="N61" s="36"/>
      <c r="O61" s="36"/>
      <c r="P61" s="36"/>
      <c r="Q61" s="36"/>
      <c r="R61" s="36"/>
      <c r="S61" s="36"/>
    </row>
    <row r="62" spans="1:19" x14ac:dyDescent="0.25">
      <c r="A62" s="19"/>
      <c r="B62" s="19"/>
      <c r="C62" s="19"/>
      <c r="D62" s="12"/>
      <c r="E62" s="12"/>
      <c r="F62" s="12"/>
      <c r="G62" s="12"/>
      <c r="H62" s="12"/>
      <c r="I62" s="12"/>
      <c r="J62" s="12"/>
      <c r="K62" s="12"/>
      <c r="L62" s="12"/>
      <c r="M62" s="36"/>
      <c r="N62" s="36"/>
      <c r="O62" s="36"/>
      <c r="P62" s="36"/>
      <c r="Q62" s="36"/>
      <c r="R62" s="36"/>
      <c r="S62" s="36"/>
    </row>
    <row r="63" spans="1:19" x14ac:dyDescent="0.25">
      <c r="A63" s="19"/>
      <c r="B63" s="19"/>
      <c r="C63" s="19"/>
      <c r="D63" s="12"/>
      <c r="E63" s="12"/>
      <c r="F63" s="12"/>
      <c r="G63" s="12"/>
      <c r="H63" s="12"/>
      <c r="I63" s="12"/>
      <c r="J63" s="12"/>
      <c r="K63" s="12"/>
      <c r="L63" s="12"/>
      <c r="M63" s="36"/>
      <c r="N63" s="36"/>
      <c r="O63" s="36"/>
      <c r="P63" s="36"/>
      <c r="Q63" s="36"/>
      <c r="R63" s="36"/>
      <c r="S63" s="36"/>
    </row>
    <row r="64" spans="1:19" x14ac:dyDescent="0.25">
      <c r="A64" s="19"/>
      <c r="B64" s="19"/>
      <c r="C64" s="19"/>
      <c r="D64" s="12"/>
      <c r="E64" s="12"/>
      <c r="F64" s="12"/>
      <c r="G64" s="12"/>
      <c r="H64" s="12"/>
      <c r="I64" s="12"/>
      <c r="J64" s="12"/>
      <c r="K64" s="12"/>
      <c r="L64" s="12"/>
      <c r="M64" s="36"/>
      <c r="N64" s="36"/>
      <c r="O64" s="36"/>
      <c r="P64" s="36"/>
      <c r="Q64" s="36"/>
      <c r="R64" s="36"/>
      <c r="S64" s="36"/>
    </row>
    <row r="65" spans="1:19" x14ac:dyDescent="0.25">
      <c r="A65" s="19"/>
      <c r="B65" s="19"/>
      <c r="C65" s="19"/>
      <c r="D65" s="12"/>
      <c r="E65" s="12"/>
      <c r="F65" s="12"/>
      <c r="G65" s="12"/>
      <c r="H65" s="12"/>
      <c r="I65" s="12"/>
      <c r="J65" s="12"/>
      <c r="K65" s="12"/>
      <c r="L65" s="12"/>
      <c r="M65" s="36"/>
      <c r="N65" s="36"/>
      <c r="O65" s="36"/>
      <c r="P65" s="36"/>
      <c r="Q65" s="36"/>
      <c r="R65" s="36"/>
      <c r="S65" s="36"/>
    </row>
    <row r="66" spans="1:19" x14ac:dyDescent="0.25">
      <c r="A66" s="19"/>
      <c r="B66" s="19"/>
      <c r="C66" s="19"/>
      <c r="D66" s="12"/>
      <c r="E66" s="12"/>
      <c r="F66" s="12"/>
      <c r="G66" s="12"/>
      <c r="H66" s="12"/>
      <c r="I66" s="12"/>
      <c r="J66" s="12"/>
      <c r="K66" s="12"/>
      <c r="L66" s="12"/>
      <c r="M66" s="36"/>
      <c r="N66" s="36"/>
      <c r="O66" s="36"/>
      <c r="P66" s="36"/>
      <c r="Q66" s="36"/>
      <c r="R66" s="36"/>
      <c r="S66" s="36"/>
    </row>
    <row r="67" spans="1:19" x14ac:dyDescent="0.25">
      <c r="A67" s="19"/>
      <c r="B67" s="19"/>
      <c r="C67" s="19"/>
      <c r="D67" s="12"/>
      <c r="E67" s="12"/>
      <c r="F67" s="12"/>
      <c r="G67" s="12"/>
      <c r="H67" s="12"/>
      <c r="I67" s="12"/>
      <c r="J67" s="12"/>
      <c r="K67" s="12"/>
      <c r="L67" s="12"/>
      <c r="M67" s="36"/>
      <c r="N67" s="36"/>
      <c r="O67" s="36"/>
      <c r="P67" s="36"/>
      <c r="Q67" s="36"/>
      <c r="R67" s="36"/>
      <c r="S67" s="36"/>
    </row>
    <row r="68" spans="1:19" x14ac:dyDescent="0.25">
      <c r="A68" s="19"/>
      <c r="B68" s="19"/>
      <c r="C68" s="19"/>
      <c r="D68" s="12"/>
      <c r="E68" s="12"/>
      <c r="F68" s="12"/>
      <c r="G68" s="12"/>
      <c r="H68" s="12"/>
      <c r="I68" s="12"/>
      <c r="J68" s="12"/>
      <c r="K68" s="12"/>
      <c r="L68" s="12"/>
      <c r="M68" s="36"/>
      <c r="N68" s="36"/>
      <c r="O68" s="36"/>
      <c r="P68" s="36"/>
      <c r="Q68" s="36"/>
      <c r="R68" s="36"/>
      <c r="S68" s="36"/>
    </row>
    <row r="69" spans="1:19" x14ac:dyDescent="0.25">
      <c r="A69" s="19"/>
      <c r="B69" s="19"/>
      <c r="C69" s="19"/>
      <c r="D69" s="12"/>
      <c r="E69" s="12"/>
      <c r="F69" s="12"/>
      <c r="G69" s="12"/>
      <c r="H69" s="12"/>
      <c r="I69" s="12"/>
      <c r="J69" s="12"/>
      <c r="K69" s="12"/>
      <c r="L69" s="12"/>
      <c r="M69" s="36"/>
      <c r="N69" s="36"/>
      <c r="O69" s="36"/>
      <c r="P69" s="36"/>
      <c r="Q69" s="36"/>
      <c r="R69" s="36"/>
      <c r="S69" s="36"/>
    </row>
    <row r="70" spans="1:19" x14ac:dyDescent="0.25">
      <c r="A70" s="19"/>
      <c r="B70" s="19"/>
      <c r="C70" s="19"/>
      <c r="D70" s="12"/>
      <c r="E70" s="12"/>
      <c r="F70" s="12"/>
      <c r="G70" s="12"/>
      <c r="H70" s="12"/>
      <c r="I70" s="12"/>
      <c r="J70" s="12"/>
      <c r="K70" s="12"/>
      <c r="L70" s="12"/>
      <c r="M70" s="36"/>
      <c r="N70" s="36"/>
      <c r="O70" s="36"/>
      <c r="P70" s="36"/>
      <c r="Q70" s="36"/>
      <c r="R70" s="36"/>
      <c r="S70" s="36"/>
    </row>
    <row r="71" spans="1:19" x14ac:dyDescent="0.25">
      <c r="A71" s="19"/>
      <c r="B71" s="19"/>
      <c r="C71" s="19"/>
      <c r="D71" s="12"/>
      <c r="E71" s="12"/>
      <c r="F71" s="12"/>
      <c r="G71" s="12"/>
      <c r="H71" s="12"/>
      <c r="I71" s="12"/>
      <c r="J71" s="12"/>
      <c r="K71" s="12"/>
      <c r="L71" s="12"/>
      <c r="M71" s="36"/>
      <c r="N71" s="36"/>
      <c r="O71" s="36"/>
      <c r="P71" s="36"/>
      <c r="Q71" s="36"/>
      <c r="R71" s="36"/>
      <c r="S71" s="36"/>
    </row>
    <row r="72" spans="1:19" x14ac:dyDescent="0.25">
      <c r="A72" s="19"/>
      <c r="B72" s="19" t="e">
        <f>VLOOKUP(A72,C78:G80,5,0)</f>
        <v>#N/A</v>
      </c>
      <c r="C72" s="19"/>
      <c r="D72" s="12"/>
      <c r="E72" s="12"/>
      <c r="F72" s="12"/>
      <c r="G72" s="12"/>
      <c r="H72" s="12"/>
      <c r="I72" s="12"/>
      <c r="J72" s="12"/>
      <c r="K72" s="12"/>
      <c r="L72" s="12"/>
      <c r="M72" s="36"/>
      <c r="N72" s="36"/>
      <c r="O72" s="36"/>
      <c r="P72" s="36"/>
      <c r="Q72" s="36"/>
      <c r="R72" s="36"/>
      <c r="S72" s="36"/>
    </row>
    <row r="73" spans="1:19" x14ac:dyDescent="0.25">
      <c r="A73" s="19"/>
      <c r="B73" s="19"/>
      <c r="C73" s="19"/>
      <c r="D73" s="12"/>
      <c r="E73" s="12"/>
      <c r="F73" s="12"/>
      <c r="G73" s="12"/>
      <c r="H73" s="12"/>
      <c r="I73" s="12"/>
      <c r="J73" s="12"/>
      <c r="K73" s="12"/>
      <c r="L73" s="12"/>
      <c r="M73" s="36"/>
      <c r="N73" s="36"/>
      <c r="O73" s="36"/>
      <c r="P73" s="36"/>
      <c r="Q73" s="36"/>
      <c r="R73" s="36"/>
      <c r="S73" s="36"/>
    </row>
    <row r="74" spans="1:19" x14ac:dyDescent="0.25">
      <c r="A74" s="19"/>
      <c r="B74" s="19"/>
      <c r="C74" s="19"/>
      <c r="D74" s="12"/>
      <c r="E74" s="12"/>
      <c r="F74" s="12"/>
      <c r="G74" s="12"/>
      <c r="H74" s="12"/>
      <c r="I74" s="12"/>
      <c r="J74" s="12"/>
      <c r="K74" s="12"/>
      <c r="L74" s="12"/>
      <c r="M74" s="36"/>
      <c r="N74" s="36"/>
      <c r="O74" s="36"/>
      <c r="P74" s="36"/>
      <c r="Q74" s="36"/>
      <c r="R74" s="36"/>
      <c r="S74" s="36"/>
    </row>
    <row r="75" spans="1:19" x14ac:dyDescent="0.25">
      <c r="A75" s="19"/>
      <c r="B75" s="19"/>
      <c r="C75" s="19"/>
      <c r="D75" s="12"/>
      <c r="E75" s="12"/>
      <c r="F75" s="12"/>
      <c r="G75" s="12"/>
      <c r="H75" s="12"/>
      <c r="I75" s="12"/>
      <c r="J75" s="12"/>
      <c r="K75" s="12"/>
      <c r="L75" s="12"/>
      <c r="M75" s="36"/>
      <c r="N75" s="36"/>
      <c r="O75" s="36"/>
      <c r="P75" s="36"/>
      <c r="Q75" s="36"/>
      <c r="R75" s="36"/>
      <c r="S75" s="36"/>
    </row>
    <row r="76" spans="1:19" x14ac:dyDescent="0.25">
      <c r="A76" s="19"/>
      <c r="B76" s="19"/>
      <c r="C76" s="19"/>
      <c r="D76" s="12"/>
      <c r="E76" s="12"/>
      <c r="F76" s="12"/>
      <c r="G76" s="12"/>
      <c r="H76" s="12"/>
      <c r="I76" s="12"/>
      <c r="J76" s="12"/>
      <c r="K76" s="12"/>
      <c r="L76" s="12"/>
      <c r="M76" s="36"/>
      <c r="N76" s="36"/>
      <c r="O76" s="36"/>
      <c r="P76" s="36"/>
      <c r="Q76" s="36"/>
      <c r="R76" s="36"/>
      <c r="S76" s="36"/>
    </row>
    <row r="77" spans="1:19" x14ac:dyDescent="0.25">
      <c r="A77" s="19"/>
      <c r="B77" s="19"/>
      <c r="C77" s="19"/>
      <c r="D77" s="12"/>
      <c r="E77" s="12"/>
      <c r="F77" s="12"/>
      <c r="G77" s="12"/>
      <c r="H77" s="12"/>
      <c r="I77" s="12"/>
      <c r="J77" s="12"/>
      <c r="K77" s="12"/>
      <c r="L77" s="12"/>
      <c r="M77" s="36"/>
      <c r="N77" s="36"/>
      <c r="O77" s="36"/>
      <c r="P77" s="36"/>
      <c r="Q77" s="36"/>
      <c r="R77" s="36"/>
      <c r="S77" s="36"/>
    </row>
    <row r="78" spans="1:19" x14ac:dyDescent="0.25">
      <c r="A78" s="19" t="str">
        <f>IF($A$46=1,Matrix!T2,IF($A$46=2,Matrix!AB2,""))</f>
        <v/>
      </c>
      <c r="B78" s="19" t="b">
        <f>IF($A$46=1,Matrix!W2,IF($A$46=2,Matrix!AE2))</f>
        <v>0</v>
      </c>
      <c r="C78" s="19">
        <v>1</v>
      </c>
      <c r="D78" s="12" t="str">
        <f>A78</f>
        <v/>
      </c>
      <c r="E78" s="12" t="b">
        <f>B78</f>
        <v>0</v>
      </c>
      <c r="F78" s="12"/>
      <c r="G78" s="12" t="str">
        <f>IF($A$46=1,"Termo ok",IF(A46=2,"Termo ok","-"))</f>
        <v>-</v>
      </c>
      <c r="H78" s="12"/>
      <c r="I78" s="12"/>
      <c r="J78" s="12"/>
      <c r="K78" s="12"/>
      <c r="L78" s="12"/>
      <c r="M78" s="36"/>
      <c r="N78" s="36"/>
      <c r="O78" s="36"/>
      <c r="P78" s="36"/>
      <c r="Q78" s="36"/>
      <c r="R78" s="36"/>
      <c r="S78" s="36"/>
    </row>
    <row r="79" spans="1:19" x14ac:dyDescent="0.25">
      <c r="A79" s="19" t="str">
        <f>IF($A$46=1,Matrix!T3,IF($A$46=2,Matrix!AB3,""))</f>
        <v/>
      </c>
      <c r="B79" s="19" t="b">
        <f>IF($A$46=1,Matrix!W3,IF($A$46=2,Matrix!AE3))</f>
        <v>0</v>
      </c>
      <c r="C79" s="19">
        <v>2</v>
      </c>
      <c r="D79" s="12" t="str">
        <f t="shared" ref="D79:D89" si="0">A79</f>
        <v/>
      </c>
      <c r="E79" s="12" t="b">
        <f t="shared" ref="E79:E89" si="1">B79</f>
        <v>0</v>
      </c>
      <c r="F79" s="12"/>
      <c r="G79" s="12" t="str">
        <f>IF($A$46=1,"Termo não ok",IF(A46=2,"Termo não ok","-"))</f>
        <v>-</v>
      </c>
      <c r="H79" s="12"/>
      <c r="I79" s="12"/>
      <c r="J79" s="12"/>
      <c r="K79" s="12"/>
      <c r="L79" s="12"/>
      <c r="M79" s="36"/>
      <c r="N79" s="36"/>
      <c r="O79" s="36"/>
      <c r="P79" s="36"/>
      <c r="Q79" s="36"/>
      <c r="R79" s="36"/>
      <c r="S79" s="36"/>
    </row>
    <row r="80" spans="1:19" x14ac:dyDescent="0.25">
      <c r="A80" s="19" t="str">
        <f>IF($A$46=1,Matrix!T4,IF($A$46=2,Matrix!AB4,""))</f>
        <v/>
      </c>
      <c r="B80" s="19" t="b">
        <f>IF($A$46=1,Matrix!W4,IF($A$46=2,Matrix!AE4))</f>
        <v>0</v>
      </c>
      <c r="C80" s="19">
        <v>3</v>
      </c>
      <c r="D80" s="12" t="str">
        <f t="shared" si="0"/>
        <v/>
      </c>
      <c r="E80" s="12" t="b">
        <f t="shared" si="1"/>
        <v>0</v>
      </c>
      <c r="F80" s="12"/>
      <c r="G80" s="12" t="str">
        <f>IF($A$46=2,"Termo ok (exceção)","-")</f>
        <v>-</v>
      </c>
      <c r="H80" s="12"/>
      <c r="I80" s="12"/>
      <c r="J80" s="12"/>
      <c r="K80" s="12"/>
      <c r="L80" s="12"/>
      <c r="M80" s="36"/>
      <c r="N80" s="36"/>
      <c r="O80" s="36"/>
      <c r="P80" s="36"/>
      <c r="Q80" s="36"/>
      <c r="R80" s="36"/>
      <c r="S80" s="36"/>
    </row>
    <row r="81" spans="1:19" x14ac:dyDescent="0.25">
      <c r="A81" s="19" t="str">
        <f>IF($A$46=1,Matrix!T5,IF($A$46=2,Matrix!AB5,""))</f>
        <v/>
      </c>
      <c r="B81" s="19" t="b">
        <f>IF($A$46=1,Matrix!W5,IF($A$46=2,Matrix!AE5))</f>
        <v>0</v>
      </c>
      <c r="C81" s="19">
        <v>4</v>
      </c>
      <c r="D81" s="12" t="str">
        <f t="shared" si="0"/>
        <v/>
      </c>
      <c r="E81" s="12" t="b">
        <f t="shared" si="1"/>
        <v>0</v>
      </c>
      <c r="F81" s="12"/>
      <c r="G81" s="12"/>
      <c r="H81" s="12"/>
      <c r="I81" s="12"/>
      <c r="J81" s="12"/>
      <c r="K81" s="12"/>
      <c r="L81" s="12"/>
      <c r="M81" s="36"/>
      <c r="N81" s="36"/>
      <c r="O81" s="36"/>
      <c r="P81" s="36"/>
      <c r="Q81" s="36"/>
      <c r="R81" s="36"/>
      <c r="S81" s="36"/>
    </row>
    <row r="82" spans="1:19" x14ac:dyDescent="0.25">
      <c r="A82" s="19" t="str">
        <f>IF($A$46=1,Matrix!T6,IF($A$46=2,Matrix!AB6,""))</f>
        <v/>
      </c>
      <c r="B82" s="19" t="b">
        <f>IF($A$46=1,Matrix!W6,IF($A$46=2,Matrix!AE6))</f>
        <v>0</v>
      </c>
      <c r="C82" s="19">
        <v>5</v>
      </c>
      <c r="D82" s="12" t="str">
        <f t="shared" si="0"/>
        <v/>
      </c>
      <c r="E82" s="12" t="b">
        <f t="shared" si="1"/>
        <v>0</v>
      </c>
      <c r="F82" s="12"/>
      <c r="G82" s="12"/>
      <c r="H82" s="12"/>
      <c r="I82" s="12"/>
      <c r="J82" s="12"/>
      <c r="K82" s="12"/>
      <c r="L82" s="12"/>
      <c r="M82" s="36"/>
      <c r="N82" s="36"/>
      <c r="O82" s="36"/>
      <c r="P82" s="36"/>
      <c r="Q82" s="36"/>
      <c r="R82" s="36"/>
      <c r="S82" s="36"/>
    </row>
    <row r="83" spans="1:19" x14ac:dyDescent="0.25">
      <c r="A83" s="19" t="str">
        <f>IF($A$46=1,Matrix!T7,IF($A$46=2,Matrix!AB7,""))</f>
        <v/>
      </c>
      <c r="B83" s="19" t="b">
        <f>IF($A$46=1,Matrix!W7,IF($A$46=2,Matrix!AE7))</f>
        <v>0</v>
      </c>
      <c r="C83" s="19">
        <v>6</v>
      </c>
      <c r="D83" s="12" t="str">
        <f t="shared" si="0"/>
        <v/>
      </c>
      <c r="E83" s="12" t="b">
        <f t="shared" si="1"/>
        <v>0</v>
      </c>
      <c r="F83" s="12"/>
      <c r="G83" s="12"/>
      <c r="H83" s="12"/>
      <c r="I83" s="12"/>
      <c r="J83" s="12"/>
      <c r="K83" s="12"/>
      <c r="L83" s="12"/>
      <c r="M83" s="36"/>
      <c r="N83" s="36"/>
      <c r="O83" s="36"/>
      <c r="P83" s="36"/>
      <c r="Q83" s="36"/>
      <c r="R83" s="36"/>
      <c r="S83" s="36"/>
    </row>
    <row r="84" spans="1:19" x14ac:dyDescent="0.25">
      <c r="A84" s="19" t="str">
        <f>IF($A$46=1,Matrix!T8,IF($A$46=2,Matrix!AB8,""))</f>
        <v/>
      </c>
      <c r="B84" s="19" t="b">
        <f>IF($A$46=1,Matrix!W8,IF($A$46=2,Matrix!AE8))</f>
        <v>0</v>
      </c>
      <c r="C84" s="19">
        <v>7</v>
      </c>
      <c r="D84" s="12" t="str">
        <f t="shared" si="0"/>
        <v/>
      </c>
      <c r="E84" s="12" t="b">
        <f t="shared" si="1"/>
        <v>0</v>
      </c>
      <c r="F84" s="12"/>
      <c r="G84" s="12"/>
      <c r="H84" s="12"/>
      <c r="I84" s="12"/>
      <c r="J84" s="12"/>
      <c r="K84" s="12"/>
      <c r="L84" s="12"/>
      <c r="M84" s="36"/>
      <c r="N84" s="36"/>
      <c r="O84" s="36"/>
      <c r="P84" s="36"/>
      <c r="Q84" s="36"/>
      <c r="R84" s="36"/>
      <c r="S84" s="36"/>
    </row>
    <row r="85" spans="1:19" x14ac:dyDescent="0.25">
      <c r="A85" s="19" t="str">
        <f>IF($A$46=1,Matrix!T9,IF($A$46=2,Matrix!AB9,""))</f>
        <v/>
      </c>
      <c r="B85" s="19" t="b">
        <f>IF($A$46=1,Matrix!W9,IF($A$46=2,Matrix!AE9))</f>
        <v>0</v>
      </c>
      <c r="C85" s="19">
        <v>8</v>
      </c>
      <c r="D85" s="12" t="str">
        <f t="shared" si="0"/>
        <v/>
      </c>
      <c r="E85" s="12" t="b">
        <f t="shared" si="1"/>
        <v>0</v>
      </c>
      <c r="F85" s="12"/>
      <c r="G85" s="12"/>
      <c r="H85" s="12"/>
      <c r="I85" s="12"/>
      <c r="J85" s="12"/>
      <c r="K85" s="12"/>
      <c r="L85" s="12"/>
      <c r="M85" s="36"/>
      <c r="N85" s="36"/>
      <c r="O85" s="36"/>
      <c r="P85" s="36"/>
      <c r="Q85" s="36"/>
      <c r="R85" s="36"/>
      <c r="S85" s="36"/>
    </row>
    <row r="86" spans="1:19" x14ac:dyDescent="0.25">
      <c r="A86" s="19" t="str">
        <f>IF($A$46=1,Matrix!T10,IF($A$46=2,Matrix!AB10,""))</f>
        <v/>
      </c>
      <c r="B86" s="19" t="b">
        <f>IF($A$46=1,Matrix!W10,IF($A$46=2,Matrix!AE10))</f>
        <v>0</v>
      </c>
      <c r="C86" s="19">
        <v>9</v>
      </c>
      <c r="D86" s="12" t="str">
        <f t="shared" si="0"/>
        <v/>
      </c>
      <c r="E86" s="12" t="b">
        <f t="shared" si="1"/>
        <v>0</v>
      </c>
      <c r="F86" s="12"/>
      <c r="G86" s="12"/>
      <c r="H86" s="12"/>
      <c r="I86" s="12"/>
      <c r="J86" s="12"/>
      <c r="K86" s="12"/>
      <c r="L86" s="12"/>
      <c r="M86" s="36"/>
      <c r="N86" s="36"/>
      <c r="O86" s="36"/>
      <c r="P86" s="36"/>
      <c r="Q86" s="36"/>
      <c r="R86" s="36"/>
      <c r="S86" s="36"/>
    </row>
    <row r="87" spans="1:19" x14ac:dyDescent="0.25">
      <c r="A87" s="19" t="str">
        <f>IF($A$46=1,Matrix!T11,IF($A$46=2,Matrix!AB11,""))</f>
        <v/>
      </c>
      <c r="B87" s="19" t="b">
        <f>IF($A$46=1,Matrix!W11,IF($A$46=2,Matrix!AE11))</f>
        <v>0</v>
      </c>
      <c r="C87" s="19">
        <v>10</v>
      </c>
      <c r="D87" s="12" t="str">
        <f t="shared" si="0"/>
        <v/>
      </c>
      <c r="E87" s="12" t="b">
        <f t="shared" si="1"/>
        <v>0</v>
      </c>
      <c r="F87" s="12"/>
      <c r="G87" s="12"/>
      <c r="H87" s="12"/>
      <c r="I87" s="12"/>
      <c r="J87" s="12"/>
      <c r="K87" s="12"/>
      <c r="L87" s="12"/>
      <c r="M87" s="36"/>
      <c r="N87" s="36"/>
      <c r="O87" s="36"/>
      <c r="P87" s="36"/>
      <c r="Q87" s="36"/>
      <c r="R87" s="36"/>
      <c r="S87" s="36"/>
    </row>
    <row r="88" spans="1:19" x14ac:dyDescent="0.25">
      <c r="A88" s="19" t="str">
        <f>IF($A$46=1,Matrix!T12,IF($A$46=2,Matrix!AB12,""))</f>
        <v/>
      </c>
      <c r="B88" s="19" t="b">
        <f>IF($A$46=1,Matrix!W12,IF($A$46=2,Matrix!AE12))</f>
        <v>0</v>
      </c>
      <c r="C88" s="19">
        <v>11</v>
      </c>
      <c r="D88" s="12" t="str">
        <f t="shared" si="0"/>
        <v/>
      </c>
      <c r="E88" s="12" t="b">
        <f t="shared" si="1"/>
        <v>0</v>
      </c>
      <c r="F88" s="12"/>
      <c r="G88" s="12"/>
      <c r="H88" s="12"/>
      <c r="I88" s="12"/>
      <c r="J88" s="12"/>
      <c r="K88" s="12"/>
      <c r="L88" s="12"/>
      <c r="M88" s="36"/>
      <c r="N88" s="36"/>
      <c r="O88" s="36"/>
      <c r="P88" s="36"/>
      <c r="Q88" s="36"/>
      <c r="R88" s="36"/>
      <c r="S88" s="36"/>
    </row>
    <row r="89" spans="1:19" x14ac:dyDescent="0.25">
      <c r="A89" s="19" t="str">
        <f>IF($A$46=1,Matrix!T13,IF($A$46=2,Matrix!AB13,""))</f>
        <v/>
      </c>
      <c r="B89" s="19" t="b">
        <f>IF($A$46=1,Matrix!W13,IF($A$46=2,Matrix!AE13))</f>
        <v>0</v>
      </c>
      <c r="C89" s="19">
        <v>12</v>
      </c>
      <c r="D89" s="12" t="str">
        <f t="shared" si="0"/>
        <v/>
      </c>
      <c r="E89" s="12" t="b">
        <f t="shared" si="1"/>
        <v>0</v>
      </c>
      <c r="F89" s="12"/>
      <c r="G89" s="12"/>
      <c r="H89" s="12"/>
      <c r="I89" s="12"/>
      <c r="J89" s="12"/>
      <c r="K89" s="12"/>
      <c r="L89" s="12"/>
      <c r="M89" s="36"/>
      <c r="N89" s="36"/>
      <c r="O89" s="36"/>
      <c r="P89" s="36"/>
      <c r="Q89" s="36"/>
      <c r="R89" s="36"/>
      <c r="S89" s="36"/>
    </row>
    <row r="90" spans="1:19" x14ac:dyDescent="0.25">
      <c r="A90" s="19"/>
      <c r="B90" s="19"/>
      <c r="C90" s="19"/>
      <c r="D90" s="12"/>
      <c r="E90" s="12"/>
      <c r="F90" s="12"/>
      <c r="G90" s="12"/>
      <c r="H90" s="12"/>
      <c r="I90" s="12"/>
      <c r="J90" s="12"/>
      <c r="K90" s="12"/>
      <c r="L90" s="12"/>
      <c r="M90" s="36"/>
      <c r="N90" s="36"/>
      <c r="O90" s="36"/>
      <c r="P90" s="36"/>
      <c r="Q90" s="36"/>
      <c r="R90" s="36"/>
      <c r="S90" s="36"/>
    </row>
    <row r="91" spans="1:19" x14ac:dyDescent="0.25">
      <c r="A91" s="19"/>
      <c r="B91" s="19"/>
      <c r="C91" s="19"/>
      <c r="D91" s="12"/>
      <c r="E91" s="12"/>
      <c r="F91" s="12"/>
      <c r="G91" s="12"/>
      <c r="H91" s="12"/>
      <c r="I91" s="12"/>
      <c r="J91" s="12"/>
      <c r="K91" s="12"/>
      <c r="L91" s="12"/>
      <c r="M91" s="36"/>
      <c r="N91" s="36"/>
      <c r="O91" s="36"/>
      <c r="P91" s="36"/>
      <c r="Q91" s="36"/>
      <c r="R91" s="36"/>
      <c r="S91" s="36"/>
    </row>
    <row r="92" spans="1:19" x14ac:dyDescent="0.25">
      <c r="A92" s="19"/>
      <c r="B92" s="19"/>
      <c r="C92" s="19"/>
      <c r="D92" s="12"/>
      <c r="E92" s="12"/>
      <c r="F92" s="12"/>
      <c r="G92" s="12"/>
      <c r="H92" s="12"/>
      <c r="I92" s="12"/>
      <c r="J92" s="12"/>
      <c r="K92" s="12"/>
      <c r="L92" s="12"/>
      <c r="M92" s="36"/>
      <c r="N92" s="36"/>
      <c r="O92" s="36"/>
      <c r="P92" s="36"/>
      <c r="Q92" s="36"/>
      <c r="R92" s="36"/>
      <c r="S92" s="36"/>
    </row>
    <row r="93" spans="1:19" x14ac:dyDescent="0.25">
      <c r="A93" s="19"/>
      <c r="B93" s="19"/>
      <c r="C93" s="19"/>
      <c r="D93" s="12"/>
      <c r="E93" s="12"/>
      <c r="F93" s="12"/>
      <c r="G93" s="12"/>
      <c r="H93" s="12"/>
      <c r="I93" s="12"/>
      <c r="J93" s="12"/>
      <c r="K93" s="12"/>
      <c r="L93" s="12"/>
      <c r="M93" s="36"/>
      <c r="N93" s="36"/>
      <c r="O93" s="36"/>
      <c r="P93" s="36"/>
      <c r="Q93" s="36"/>
      <c r="R93" s="36"/>
      <c r="S93" s="36"/>
    </row>
    <row r="94" spans="1:19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36"/>
      <c r="N94" s="36"/>
      <c r="O94" s="36"/>
      <c r="P94" s="36"/>
      <c r="Q94" s="36"/>
      <c r="R94" s="36"/>
      <c r="S94" s="36"/>
    </row>
    <row r="95" spans="1:19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36"/>
      <c r="N95" s="36"/>
      <c r="O95" s="36"/>
      <c r="P95" s="36"/>
      <c r="Q95" s="36"/>
      <c r="R95" s="36"/>
      <c r="S95" s="36"/>
    </row>
  </sheetData>
  <mergeCells count="6">
    <mergeCell ref="F8:H8"/>
    <mergeCell ref="F9:H9"/>
    <mergeCell ref="D2:P4"/>
    <mergeCell ref="D9:E9"/>
    <mergeCell ref="I8:K8"/>
    <mergeCell ref="I9:K9"/>
  </mergeCells>
  <conditionalFormatting sqref="D9 F9 I9:K9">
    <cfRule type="containsBlanks" dxfId="0" priority="1">
      <formula>LEN(TRIM(D9))=0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N21" evalError="1"/>
    <ignoredError sqref="D2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285750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9</xdr:col>
                    <xdr:colOff>295275</xdr:colOff>
                    <xdr:row>10</xdr:row>
                    <xdr:rowOff>161925</xdr:rowOff>
                  </from>
                  <to>
                    <xdr:col>11</xdr:col>
                    <xdr:colOff>885825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Drop Down 3">
              <controlPr defaultSize="0" autoLine="0" autoPict="0">
                <anchor moveWithCells="1">
                  <from>
                    <xdr:col>5</xdr:col>
                    <xdr:colOff>428625</xdr:colOff>
                    <xdr:row>10</xdr:row>
                    <xdr:rowOff>180975</xdr:rowOff>
                  </from>
                  <to>
                    <xdr:col>9</xdr:col>
                    <xdr:colOff>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Drop Down 4">
              <controlPr defaultSize="0" autoLine="0" autoPict="0">
                <anchor moveWithCells="1">
                  <from>
                    <xdr:col>2</xdr:col>
                    <xdr:colOff>590550</xdr:colOff>
                    <xdr:row>14</xdr:row>
                    <xdr:rowOff>28575</xdr:rowOff>
                  </from>
                  <to>
                    <xdr:col>15</xdr:col>
                    <xdr:colOff>581025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heca">
                <anchor moveWithCells="1" sizeWithCells="1">
                  <from>
                    <xdr:col>14</xdr:col>
                    <xdr:colOff>142875</xdr:colOff>
                    <xdr:row>5</xdr:row>
                    <xdr:rowOff>180975</xdr:rowOff>
                  </from>
                  <to>
                    <xdr:col>15</xdr:col>
                    <xdr:colOff>590550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Drop Down 6">
              <controlPr defaultSize="0" autoLine="0" autoPict="0">
                <anchor moveWithCells="1">
                  <from>
                    <xdr:col>11</xdr:col>
                    <xdr:colOff>1028700</xdr:colOff>
                    <xdr:row>10</xdr:row>
                    <xdr:rowOff>161925</xdr:rowOff>
                  </from>
                  <to>
                    <xdr:col>14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O5790"/>
  <sheetViews>
    <sheetView tabSelected="1" topLeftCell="A2" zoomScale="90" zoomScaleNormal="90" workbookViewId="0">
      <selection activeCell="A2" sqref="A2"/>
    </sheetView>
  </sheetViews>
  <sheetFormatPr defaultColWidth="0" defaultRowHeight="15" x14ac:dyDescent="0.25"/>
  <cols>
    <col min="1" max="1" width="35.85546875" style="7" customWidth="1"/>
    <col min="2" max="3" width="35.85546875" style="9" customWidth="1"/>
    <col min="4" max="7" width="35.85546875" style="7" customWidth="1"/>
    <col min="8" max="8" width="47" bestFit="1" customWidth="1"/>
    <col min="9" max="10" width="35.85546875" customWidth="1"/>
    <col min="11" max="11" width="155" bestFit="1" customWidth="1"/>
    <col min="12" max="12" width="3.5703125" hidden="1" customWidth="1"/>
    <col min="13" max="13" width="5" hidden="1" customWidth="1"/>
    <col min="14" max="14" width="8" hidden="1" customWidth="1"/>
    <col min="15" max="15" width="15.5703125" hidden="1" customWidth="1"/>
    <col min="16" max="16384" width="35.85546875" hidden="1"/>
  </cols>
  <sheetData>
    <row r="1" spans="1:15" ht="2.25" hidden="1" customHeight="1" x14ac:dyDescent="0.25">
      <c r="A1" s="11" t="s">
        <v>34</v>
      </c>
      <c r="B1" s="11" t="s">
        <v>37</v>
      </c>
      <c r="C1" s="12" t="s">
        <v>44</v>
      </c>
      <c r="D1" s="14" t="s">
        <v>41</v>
      </c>
      <c r="E1" s="14" t="s">
        <v>0</v>
      </c>
      <c r="F1" s="12" t="s">
        <v>42</v>
      </c>
      <c r="G1" s="14" t="s">
        <v>3</v>
      </c>
    </row>
    <row r="2" spans="1:15" x14ac:dyDescent="0.25">
      <c r="A2" s="15" t="s">
        <v>34</v>
      </c>
      <c r="B2" s="15" t="s">
        <v>37</v>
      </c>
      <c r="C2" s="15" t="s">
        <v>44</v>
      </c>
      <c r="D2" s="15" t="s">
        <v>46</v>
      </c>
      <c r="E2" s="15" t="s">
        <v>51</v>
      </c>
      <c r="F2" s="15" t="s">
        <v>52</v>
      </c>
      <c r="G2" s="15" t="s">
        <v>41</v>
      </c>
      <c r="H2" s="15" t="s">
        <v>0</v>
      </c>
      <c r="I2" s="15" t="s">
        <v>42</v>
      </c>
      <c r="J2" s="15" t="s">
        <v>50</v>
      </c>
      <c r="K2" s="15" t="s">
        <v>3</v>
      </c>
      <c r="L2" s="15" t="s">
        <v>78</v>
      </c>
      <c r="M2" s="15" t="s">
        <v>79</v>
      </c>
      <c r="N2" s="15" t="s">
        <v>80</v>
      </c>
      <c r="O2" s="15" t="s">
        <v>34</v>
      </c>
    </row>
    <row r="3" spans="1:15" ht="15" customHeight="1" x14ac:dyDescent="0.25">
      <c r="L3">
        <f t="shared" ref="L3:L64" si="0">IF(OR(I3="Termo OK (Exceção)",I3="Termo OK"),1,0)</f>
        <v>0</v>
      </c>
      <c r="M3">
        <f>IF(OR(I3="Termo OK (Exceção)",I3="Termo OK"),0,1)</f>
        <v>1</v>
      </c>
      <c r="N3">
        <f>IF(J3="SIM",1,0)</f>
        <v>0</v>
      </c>
      <c r="O3" t="str">
        <f t="shared" ref="O3:O66" si="1">IF(SUMIFS(M:M,A:A,A3)&gt;0,"Proposta não Ok","Proposta Ok")</f>
        <v>Proposta Ok</v>
      </c>
    </row>
    <row r="4" spans="1:15" ht="15" customHeight="1" x14ac:dyDescent="0.25">
      <c r="L4">
        <f t="shared" si="0"/>
        <v>0</v>
      </c>
      <c r="M4">
        <f t="shared" ref="M4:M64" si="2">IF(OR(I4="Termo OK (Exceção)",I4="Termo OK"),0,1)</f>
        <v>1</v>
      </c>
      <c r="N4">
        <f t="shared" ref="N4:N64" si="3">IF(J4="SIM",1,0)</f>
        <v>0</v>
      </c>
      <c r="O4" t="str">
        <f t="shared" si="1"/>
        <v>Proposta Ok</v>
      </c>
    </row>
    <row r="5" spans="1:15" ht="15" customHeight="1" x14ac:dyDescent="0.25">
      <c r="L5">
        <f t="shared" si="0"/>
        <v>0</v>
      </c>
      <c r="M5">
        <f t="shared" si="2"/>
        <v>1</v>
      </c>
      <c r="N5">
        <f t="shared" si="3"/>
        <v>0</v>
      </c>
      <c r="O5" t="str">
        <f t="shared" si="1"/>
        <v>Proposta Ok</v>
      </c>
    </row>
    <row r="6" spans="1:15" ht="15" customHeight="1" x14ac:dyDescent="0.25">
      <c r="L6">
        <f t="shared" si="0"/>
        <v>0</v>
      </c>
      <c r="M6">
        <f t="shared" si="2"/>
        <v>1</v>
      </c>
      <c r="N6">
        <f t="shared" si="3"/>
        <v>0</v>
      </c>
      <c r="O6" t="str">
        <f t="shared" si="1"/>
        <v>Proposta Ok</v>
      </c>
    </row>
    <row r="7" spans="1:15" ht="15" customHeight="1" x14ac:dyDescent="0.25">
      <c r="L7">
        <f t="shared" si="0"/>
        <v>0</v>
      </c>
      <c r="M7">
        <f t="shared" si="2"/>
        <v>1</v>
      </c>
      <c r="N7">
        <f t="shared" si="3"/>
        <v>0</v>
      </c>
      <c r="O7" t="str">
        <f t="shared" si="1"/>
        <v>Proposta Ok</v>
      </c>
    </row>
    <row r="8" spans="1:15" ht="15" customHeight="1" x14ac:dyDescent="0.25">
      <c r="L8">
        <f t="shared" si="0"/>
        <v>0</v>
      </c>
      <c r="M8">
        <f t="shared" si="2"/>
        <v>1</v>
      </c>
      <c r="N8">
        <f t="shared" si="3"/>
        <v>0</v>
      </c>
      <c r="O8" t="str">
        <f t="shared" si="1"/>
        <v>Proposta Ok</v>
      </c>
    </row>
    <row r="9" spans="1:15" ht="15" customHeight="1" x14ac:dyDescent="0.25">
      <c r="L9">
        <f t="shared" si="0"/>
        <v>0</v>
      </c>
      <c r="M9">
        <f t="shared" si="2"/>
        <v>1</v>
      </c>
      <c r="N9">
        <f t="shared" si="3"/>
        <v>0</v>
      </c>
      <c r="O9" t="str">
        <f t="shared" si="1"/>
        <v>Proposta Ok</v>
      </c>
    </row>
    <row r="10" spans="1:15" ht="15" customHeight="1" x14ac:dyDescent="0.25">
      <c r="L10">
        <f t="shared" si="0"/>
        <v>0</v>
      </c>
      <c r="M10">
        <f t="shared" si="2"/>
        <v>1</v>
      </c>
      <c r="N10">
        <f t="shared" si="3"/>
        <v>0</v>
      </c>
      <c r="O10" t="str">
        <f t="shared" si="1"/>
        <v>Proposta Ok</v>
      </c>
    </row>
    <row r="11" spans="1:15" ht="15" customHeight="1" x14ac:dyDescent="0.25">
      <c r="L11">
        <f t="shared" si="0"/>
        <v>0</v>
      </c>
      <c r="M11">
        <f t="shared" si="2"/>
        <v>1</v>
      </c>
      <c r="N11">
        <f t="shared" si="3"/>
        <v>0</v>
      </c>
      <c r="O11" t="str">
        <f t="shared" si="1"/>
        <v>Proposta Ok</v>
      </c>
    </row>
    <row r="12" spans="1:15" ht="15" customHeight="1" x14ac:dyDescent="0.25">
      <c r="L12">
        <f t="shared" si="0"/>
        <v>0</v>
      </c>
      <c r="M12">
        <f t="shared" si="2"/>
        <v>1</v>
      </c>
      <c r="N12">
        <f t="shared" si="3"/>
        <v>0</v>
      </c>
      <c r="O12" t="str">
        <f t="shared" si="1"/>
        <v>Proposta Ok</v>
      </c>
    </row>
    <row r="13" spans="1:15" ht="15" customHeight="1" x14ac:dyDescent="0.25">
      <c r="D13" s="46"/>
      <c r="L13">
        <f t="shared" si="0"/>
        <v>0</v>
      </c>
      <c r="M13">
        <f t="shared" si="2"/>
        <v>1</v>
      </c>
      <c r="N13">
        <f t="shared" si="3"/>
        <v>0</v>
      </c>
      <c r="O13" t="str">
        <f t="shared" si="1"/>
        <v>Proposta Ok</v>
      </c>
    </row>
    <row r="14" spans="1:15" ht="15" customHeight="1" x14ac:dyDescent="0.25">
      <c r="L14">
        <f t="shared" si="0"/>
        <v>0</v>
      </c>
      <c r="M14">
        <f t="shared" si="2"/>
        <v>1</v>
      </c>
      <c r="N14">
        <f t="shared" si="3"/>
        <v>0</v>
      </c>
      <c r="O14" t="str">
        <f t="shared" si="1"/>
        <v>Proposta Ok</v>
      </c>
    </row>
    <row r="15" spans="1:15" ht="15" customHeight="1" x14ac:dyDescent="0.25">
      <c r="L15">
        <f t="shared" si="0"/>
        <v>0</v>
      </c>
      <c r="M15">
        <f t="shared" si="2"/>
        <v>1</v>
      </c>
      <c r="N15">
        <f t="shared" si="3"/>
        <v>0</v>
      </c>
      <c r="O15" t="str">
        <f t="shared" si="1"/>
        <v>Proposta Ok</v>
      </c>
    </row>
    <row r="16" spans="1:15" ht="15" customHeight="1" x14ac:dyDescent="0.25">
      <c r="L16">
        <f t="shared" si="0"/>
        <v>0</v>
      </c>
      <c r="M16">
        <f t="shared" si="2"/>
        <v>1</v>
      </c>
      <c r="N16">
        <f t="shared" si="3"/>
        <v>0</v>
      </c>
      <c r="O16" t="str">
        <f t="shared" si="1"/>
        <v>Proposta Ok</v>
      </c>
    </row>
    <row r="17" spans="1:15" ht="15" customHeight="1" x14ac:dyDescent="0.25">
      <c r="L17">
        <f t="shared" si="0"/>
        <v>0</v>
      </c>
      <c r="M17">
        <f t="shared" si="2"/>
        <v>1</v>
      </c>
      <c r="N17">
        <f t="shared" si="3"/>
        <v>0</v>
      </c>
      <c r="O17" t="str">
        <f t="shared" si="1"/>
        <v>Proposta Ok</v>
      </c>
    </row>
    <row r="18" spans="1:15" ht="15" customHeight="1" x14ac:dyDescent="0.25">
      <c r="L18">
        <f t="shared" si="0"/>
        <v>0</v>
      </c>
      <c r="M18">
        <f t="shared" si="2"/>
        <v>1</v>
      </c>
      <c r="N18">
        <f t="shared" si="3"/>
        <v>0</v>
      </c>
      <c r="O18" t="str">
        <f t="shared" si="1"/>
        <v>Proposta Ok</v>
      </c>
    </row>
    <row r="19" spans="1:15" ht="15" customHeight="1" x14ac:dyDescent="0.25">
      <c r="L19">
        <f t="shared" si="0"/>
        <v>0</v>
      </c>
      <c r="M19">
        <f t="shared" si="2"/>
        <v>1</v>
      </c>
      <c r="N19">
        <f t="shared" si="3"/>
        <v>0</v>
      </c>
      <c r="O19" t="str">
        <f t="shared" si="1"/>
        <v>Proposta Ok</v>
      </c>
    </row>
    <row r="20" spans="1:15" ht="15" customHeight="1" x14ac:dyDescent="0.25">
      <c r="L20">
        <f t="shared" si="0"/>
        <v>0</v>
      </c>
      <c r="M20">
        <f t="shared" si="2"/>
        <v>1</v>
      </c>
      <c r="N20">
        <f t="shared" si="3"/>
        <v>0</v>
      </c>
      <c r="O20" t="str">
        <f t="shared" si="1"/>
        <v>Proposta Ok</v>
      </c>
    </row>
    <row r="21" spans="1:15" ht="15" customHeight="1" x14ac:dyDescent="0.25">
      <c r="D21" s="46"/>
      <c r="L21">
        <f t="shared" si="0"/>
        <v>0</v>
      </c>
      <c r="M21">
        <f t="shared" si="2"/>
        <v>1</v>
      </c>
      <c r="N21">
        <f t="shared" si="3"/>
        <v>0</v>
      </c>
      <c r="O21" t="str">
        <f t="shared" si="1"/>
        <v>Proposta Ok</v>
      </c>
    </row>
    <row r="22" spans="1:15" ht="15" customHeight="1" x14ac:dyDescent="0.25">
      <c r="L22">
        <f t="shared" si="0"/>
        <v>0</v>
      </c>
      <c r="M22">
        <f t="shared" si="2"/>
        <v>1</v>
      </c>
      <c r="N22">
        <f t="shared" si="3"/>
        <v>0</v>
      </c>
      <c r="O22" t="str">
        <f t="shared" si="1"/>
        <v>Proposta Ok</v>
      </c>
    </row>
    <row r="23" spans="1:15" ht="15" customHeight="1" x14ac:dyDescent="0.25">
      <c r="L23">
        <f t="shared" si="0"/>
        <v>0</v>
      </c>
      <c r="M23">
        <f t="shared" si="2"/>
        <v>1</v>
      </c>
      <c r="N23">
        <f t="shared" si="3"/>
        <v>0</v>
      </c>
      <c r="O23" t="str">
        <f t="shared" si="1"/>
        <v>Proposta Ok</v>
      </c>
    </row>
    <row r="24" spans="1:15" ht="15" customHeight="1" x14ac:dyDescent="0.25">
      <c r="L24">
        <f t="shared" si="0"/>
        <v>0</v>
      </c>
      <c r="M24">
        <f t="shared" si="2"/>
        <v>1</v>
      </c>
      <c r="N24">
        <f t="shared" si="3"/>
        <v>0</v>
      </c>
      <c r="O24" t="str">
        <f t="shared" si="1"/>
        <v>Proposta Ok</v>
      </c>
    </row>
    <row r="25" spans="1:15" ht="15" customHeight="1" x14ac:dyDescent="0.25">
      <c r="L25">
        <f t="shared" si="0"/>
        <v>0</v>
      </c>
      <c r="M25">
        <f t="shared" si="2"/>
        <v>1</v>
      </c>
      <c r="N25">
        <f t="shared" si="3"/>
        <v>0</v>
      </c>
      <c r="O25" t="str">
        <f t="shared" si="1"/>
        <v>Proposta Ok</v>
      </c>
    </row>
    <row r="26" spans="1:15" ht="15" customHeight="1" x14ac:dyDescent="0.25">
      <c r="L26">
        <f t="shared" si="0"/>
        <v>0</v>
      </c>
      <c r="M26">
        <f t="shared" si="2"/>
        <v>1</v>
      </c>
      <c r="N26">
        <f t="shared" si="3"/>
        <v>0</v>
      </c>
      <c r="O26" t="str">
        <f t="shared" si="1"/>
        <v>Proposta Ok</v>
      </c>
    </row>
    <row r="27" spans="1:15" ht="15" customHeight="1" x14ac:dyDescent="0.25">
      <c r="A27" s="46"/>
      <c r="L27">
        <f t="shared" si="0"/>
        <v>0</v>
      </c>
      <c r="M27">
        <f t="shared" si="2"/>
        <v>1</v>
      </c>
      <c r="N27">
        <f t="shared" si="3"/>
        <v>0</v>
      </c>
      <c r="O27" t="str">
        <f t="shared" si="1"/>
        <v>Proposta Ok</v>
      </c>
    </row>
    <row r="28" spans="1:15" ht="15" customHeight="1" x14ac:dyDescent="0.25">
      <c r="L28">
        <f t="shared" si="0"/>
        <v>0</v>
      </c>
      <c r="M28">
        <f t="shared" si="2"/>
        <v>1</v>
      </c>
      <c r="N28">
        <f t="shared" si="3"/>
        <v>0</v>
      </c>
      <c r="O28" t="str">
        <f t="shared" si="1"/>
        <v>Proposta Ok</v>
      </c>
    </row>
    <row r="29" spans="1:15" ht="15" customHeight="1" x14ac:dyDescent="0.25">
      <c r="L29">
        <f t="shared" si="0"/>
        <v>0</v>
      </c>
      <c r="M29">
        <f t="shared" si="2"/>
        <v>1</v>
      </c>
      <c r="N29">
        <f t="shared" si="3"/>
        <v>0</v>
      </c>
      <c r="O29" t="str">
        <f t="shared" si="1"/>
        <v>Proposta Ok</v>
      </c>
    </row>
    <row r="30" spans="1:15" ht="15" customHeight="1" x14ac:dyDescent="0.25">
      <c r="L30">
        <f t="shared" si="0"/>
        <v>0</v>
      </c>
      <c r="M30">
        <f t="shared" si="2"/>
        <v>1</v>
      </c>
      <c r="N30">
        <f t="shared" si="3"/>
        <v>0</v>
      </c>
      <c r="O30" t="str">
        <f t="shared" si="1"/>
        <v>Proposta Ok</v>
      </c>
    </row>
    <row r="31" spans="1:15" ht="15" customHeight="1" x14ac:dyDescent="0.25">
      <c r="L31">
        <f t="shared" si="0"/>
        <v>0</v>
      </c>
      <c r="M31">
        <f t="shared" si="2"/>
        <v>1</v>
      </c>
      <c r="N31">
        <f t="shared" si="3"/>
        <v>0</v>
      </c>
      <c r="O31" t="str">
        <f t="shared" si="1"/>
        <v>Proposta Ok</v>
      </c>
    </row>
    <row r="32" spans="1:15" ht="15" customHeight="1" x14ac:dyDescent="0.25">
      <c r="A32" s="46"/>
      <c r="L32">
        <f t="shared" si="0"/>
        <v>0</v>
      </c>
      <c r="M32">
        <f t="shared" si="2"/>
        <v>1</v>
      </c>
      <c r="N32">
        <f t="shared" si="3"/>
        <v>0</v>
      </c>
      <c r="O32" t="str">
        <f t="shared" si="1"/>
        <v>Proposta Ok</v>
      </c>
    </row>
    <row r="33" spans="12:15" ht="15" customHeight="1" x14ac:dyDescent="0.25">
      <c r="L33">
        <f t="shared" si="0"/>
        <v>0</v>
      </c>
      <c r="M33">
        <f t="shared" si="2"/>
        <v>1</v>
      </c>
      <c r="N33">
        <f t="shared" si="3"/>
        <v>0</v>
      </c>
      <c r="O33" t="str">
        <f t="shared" si="1"/>
        <v>Proposta Ok</v>
      </c>
    </row>
    <row r="34" spans="12:15" ht="15" customHeight="1" x14ac:dyDescent="0.25">
      <c r="L34">
        <f t="shared" si="0"/>
        <v>0</v>
      </c>
      <c r="M34">
        <f t="shared" si="2"/>
        <v>1</v>
      </c>
      <c r="N34">
        <f t="shared" si="3"/>
        <v>0</v>
      </c>
      <c r="O34" t="str">
        <f t="shared" si="1"/>
        <v>Proposta Ok</v>
      </c>
    </row>
    <row r="35" spans="12:15" ht="15" customHeight="1" x14ac:dyDescent="0.25">
      <c r="L35">
        <f t="shared" si="0"/>
        <v>0</v>
      </c>
      <c r="M35">
        <f t="shared" si="2"/>
        <v>1</v>
      </c>
      <c r="N35">
        <f t="shared" si="3"/>
        <v>0</v>
      </c>
      <c r="O35" t="str">
        <f t="shared" si="1"/>
        <v>Proposta Ok</v>
      </c>
    </row>
    <row r="36" spans="12:15" ht="15" customHeight="1" x14ac:dyDescent="0.25">
      <c r="L36">
        <f t="shared" si="0"/>
        <v>0</v>
      </c>
      <c r="M36">
        <f t="shared" si="2"/>
        <v>1</v>
      </c>
      <c r="N36">
        <f t="shared" si="3"/>
        <v>0</v>
      </c>
      <c r="O36" t="str">
        <f t="shared" si="1"/>
        <v>Proposta Ok</v>
      </c>
    </row>
    <row r="37" spans="12:15" ht="15" customHeight="1" x14ac:dyDescent="0.25">
      <c r="L37">
        <f t="shared" si="0"/>
        <v>0</v>
      </c>
      <c r="M37">
        <f t="shared" si="2"/>
        <v>1</v>
      </c>
      <c r="N37">
        <f t="shared" si="3"/>
        <v>0</v>
      </c>
      <c r="O37" t="str">
        <f t="shared" si="1"/>
        <v>Proposta Ok</v>
      </c>
    </row>
    <row r="38" spans="12:15" ht="15" customHeight="1" x14ac:dyDescent="0.25">
      <c r="L38">
        <f t="shared" si="0"/>
        <v>0</v>
      </c>
      <c r="M38">
        <f t="shared" si="2"/>
        <v>1</v>
      </c>
      <c r="N38">
        <f t="shared" si="3"/>
        <v>0</v>
      </c>
      <c r="O38" t="str">
        <f t="shared" si="1"/>
        <v>Proposta Ok</v>
      </c>
    </row>
    <row r="39" spans="12:15" ht="15" customHeight="1" x14ac:dyDescent="0.25">
      <c r="L39">
        <f t="shared" si="0"/>
        <v>0</v>
      </c>
      <c r="M39">
        <f t="shared" si="2"/>
        <v>1</v>
      </c>
      <c r="N39">
        <f t="shared" si="3"/>
        <v>0</v>
      </c>
      <c r="O39" t="str">
        <f t="shared" si="1"/>
        <v>Proposta Ok</v>
      </c>
    </row>
    <row r="40" spans="12:15" ht="15" customHeight="1" x14ac:dyDescent="0.25">
      <c r="L40">
        <f t="shared" si="0"/>
        <v>0</v>
      </c>
      <c r="M40">
        <f t="shared" si="2"/>
        <v>1</v>
      </c>
      <c r="N40">
        <f t="shared" si="3"/>
        <v>0</v>
      </c>
      <c r="O40" t="str">
        <f t="shared" si="1"/>
        <v>Proposta Ok</v>
      </c>
    </row>
    <row r="41" spans="12:15" ht="15" customHeight="1" x14ac:dyDescent="0.25">
      <c r="L41">
        <f t="shared" si="0"/>
        <v>0</v>
      </c>
      <c r="M41">
        <f t="shared" si="2"/>
        <v>1</v>
      </c>
      <c r="N41">
        <f t="shared" si="3"/>
        <v>0</v>
      </c>
      <c r="O41" t="str">
        <f t="shared" si="1"/>
        <v>Proposta Ok</v>
      </c>
    </row>
    <row r="42" spans="12:15" ht="15" customHeight="1" x14ac:dyDescent="0.25">
      <c r="L42">
        <f t="shared" si="0"/>
        <v>0</v>
      </c>
      <c r="M42">
        <f t="shared" si="2"/>
        <v>1</v>
      </c>
      <c r="N42">
        <f t="shared" si="3"/>
        <v>0</v>
      </c>
      <c r="O42" t="str">
        <f t="shared" si="1"/>
        <v>Proposta Ok</v>
      </c>
    </row>
    <row r="43" spans="12:15" ht="15" customHeight="1" x14ac:dyDescent="0.25">
      <c r="L43">
        <f t="shared" si="0"/>
        <v>0</v>
      </c>
      <c r="M43">
        <f t="shared" si="2"/>
        <v>1</v>
      </c>
      <c r="N43">
        <f t="shared" si="3"/>
        <v>0</v>
      </c>
      <c r="O43" t="str">
        <f t="shared" si="1"/>
        <v>Proposta Ok</v>
      </c>
    </row>
    <row r="44" spans="12:15" ht="15" customHeight="1" x14ac:dyDescent="0.25">
      <c r="L44">
        <f t="shared" si="0"/>
        <v>0</v>
      </c>
      <c r="M44">
        <f t="shared" si="2"/>
        <v>1</v>
      </c>
      <c r="N44">
        <f t="shared" si="3"/>
        <v>0</v>
      </c>
      <c r="O44" t="str">
        <f t="shared" si="1"/>
        <v>Proposta Ok</v>
      </c>
    </row>
    <row r="45" spans="12:15" ht="15" customHeight="1" x14ac:dyDescent="0.25">
      <c r="L45">
        <f t="shared" si="0"/>
        <v>0</v>
      </c>
      <c r="M45">
        <f t="shared" si="2"/>
        <v>1</v>
      </c>
      <c r="N45">
        <f t="shared" si="3"/>
        <v>0</v>
      </c>
      <c r="O45" t="str">
        <f t="shared" si="1"/>
        <v>Proposta Ok</v>
      </c>
    </row>
    <row r="46" spans="12:15" ht="15" customHeight="1" x14ac:dyDescent="0.25">
      <c r="L46">
        <f t="shared" si="0"/>
        <v>0</v>
      </c>
      <c r="M46">
        <f t="shared" si="2"/>
        <v>1</v>
      </c>
      <c r="N46">
        <f t="shared" si="3"/>
        <v>0</v>
      </c>
      <c r="O46" t="str">
        <f t="shared" si="1"/>
        <v>Proposta Ok</v>
      </c>
    </row>
    <row r="47" spans="12:15" ht="15" customHeight="1" x14ac:dyDescent="0.25">
      <c r="L47">
        <f t="shared" si="0"/>
        <v>0</v>
      </c>
      <c r="M47">
        <f t="shared" si="2"/>
        <v>1</v>
      </c>
      <c r="N47">
        <f t="shared" si="3"/>
        <v>0</v>
      </c>
      <c r="O47" t="str">
        <f t="shared" si="1"/>
        <v>Proposta Ok</v>
      </c>
    </row>
    <row r="48" spans="12:15" ht="15" customHeight="1" x14ac:dyDescent="0.25">
      <c r="L48">
        <f t="shared" si="0"/>
        <v>0</v>
      </c>
      <c r="M48">
        <f t="shared" si="2"/>
        <v>1</v>
      </c>
      <c r="N48">
        <f t="shared" si="3"/>
        <v>0</v>
      </c>
      <c r="O48" t="str">
        <f t="shared" si="1"/>
        <v>Proposta Ok</v>
      </c>
    </row>
    <row r="49" spans="4:15" ht="15" customHeight="1" x14ac:dyDescent="0.25">
      <c r="D49" s="46"/>
      <c r="L49">
        <f t="shared" si="0"/>
        <v>0</v>
      </c>
      <c r="M49">
        <f t="shared" si="2"/>
        <v>1</v>
      </c>
      <c r="N49">
        <f t="shared" si="3"/>
        <v>0</v>
      </c>
      <c r="O49" t="str">
        <f t="shared" si="1"/>
        <v>Proposta Ok</v>
      </c>
    </row>
    <row r="50" spans="4:15" ht="15" customHeight="1" x14ac:dyDescent="0.25">
      <c r="L50">
        <f t="shared" si="0"/>
        <v>0</v>
      </c>
      <c r="M50">
        <f t="shared" si="2"/>
        <v>1</v>
      </c>
      <c r="N50">
        <f t="shared" si="3"/>
        <v>0</v>
      </c>
      <c r="O50" t="str">
        <f t="shared" si="1"/>
        <v>Proposta Ok</v>
      </c>
    </row>
    <row r="51" spans="4:15" ht="15" customHeight="1" x14ac:dyDescent="0.25">
      <c r="L51">
        <f t="shared" si="0"/>
        <v>0</v>
      </c>
      <c r="M51">
        <f t="shared" si="2"/>
        <v>1</v>
      </c>
      <c r="N51">
        <f t="shared" si="3"/>
        <v>0</v>
      </c>
      <c r="O51" t="str">
        <f t="shared" si="1"/>
        <v>Proposta Ok</v>
      </c>
    </row>
    <row r="52" spans="4:15" ht="15" customHeight="1" x14ac:dyDescent="0.25">
      <c r="L52">
        <f t="shared" si="0"/>
        <v>0</v>
      </c>
      <c r="M52">
        <f t="shared" si="2"/>
        <v>1</v>
      </c>
      <c r="N52">
        <f t="shared" si="3"/>
        <v>0</v>
      </c>
      <c r="O52" t="str">
        <f t="shared" si="1"/>
        <v>Proposta Ok</v>
      </c>
    </row>
    <row r="53" spans="4:15" ht="15" customHeight="1" x14ac:dyDescent="0.25">
      <c r="L53">
        <f t="shared" si="0"/>
        <v>0</v>
      </c>
      <c r="M53">
        <f t="shared" si="2"/>
        <v>1</v>
      </c>
      <c r="N53">
        <f t="shared" si="3"/>
        <v>0</v>
      </c>
      <c r="O53" t="str">
        <f t="shared" si="1"/>
        <v>Proposta Ok</v>
      </c>
    </row>
    <row r="54" spans="4:15" ht="15" customHeight="1" x14ac:dyDescent="0.25">
      <c r="L54">
        <f t="shared" si="0"/>
        <v>0</v>
      </c>
      <c r="M54">
        <f t="shared" si="2"/>
        <v>1</v>
      </c>
      <c r="N54">
        <f t="shared" si="3"/>
        <v>0</v>
      </c>
      <c r="O54" t="str">
        <f t="shared" si="1"/>
        <v>Proposta Ok</v>
      </c>
    </row>
    <row r="55" spans="4:15" ht="15" customHeight="1" x14ac:dyDescent="0.25">
      <c r="L55">
        <f t="shared" si="0"/>
        <v>0</v>
      </c>
      <c r="M55">
        <f t="shared" si="2"/>
        <v>1</v>
      </c>
      <c r="N55">
        <f t="shared" si="3"/>
        <v>0</v>
      </c>
      <c r="O55" t="str">
        <f t="shared" si="1"/>
        <v>Proposta Ok</v>
      </c>
    </row>
    <row r="56" spans="4:15" ht="15" customHeight="1" x14ac:dyDescent="0.25">
      <c r="L56">
        <f t="shared" si="0"/>
        <v>0</v>
      </c>
      <c r="M56">
        <f t="shared" si="2"/>
        <v>1</v>
      </c>
      <c r="N56">
        <f t="shared" si="3"/>
        <v>0</v>
      </c>
      <c r="O56" t="str">
        <f t="shared" si="1"/>
        <v>Proposta Ok</v>
      </c>
    </row>
    <row r="57" spans="4:15" ht="15" customHeight="1" x14ac:dyDescent="0.25">
      <c r="L57">
        <f t="shared" si="0"/>
        <v>0</v>
      </c>
      <c r="M57">
        <f t="shared" si="2"/>
        <v>1</v>
      </c>
      <c r="N57">
        <f t="shared" si="3"/>
        <v>0</v>
      </c>
      <c r="O57" t="str">
        <f t="shared" si="1"/>
        <v>Proposta Ok</v>
      </c>
    </row>
    <row r="58" spans="4:15" ht="15" customHeight="1" x14ac:dyDescent="0.25">
      <c r="L58">
        <f t="shared" si="0"/>
        <v>0</v>
      </c>
      <c r="M58">
        <f t="shared" si="2"/>
        <v>1</v>
      </c>
      <c r="N58">
        <f t="shared" si="3"/>
        <v>0</v>
      </c>
      <c r="O58" t="str">
        <f t="shared" si="1"/>
        <v>Proposta Ok</v>
      </c>
    </row>
    <row r="59" spans="4:15" ht="15" customHeight="1" x14ac:dyDescent="0.25">
      <c r="D59" s="46"/>
      <c r="L59">
        <f t="shared" si="0"/>
        <v>0</v>
      </c>
      <c r="M59">
        <f t="shared" si="2"/>
        <v>1</v>
      </c>
      <c r="N59">
        <f t="shared" si="3"/>
        <v>0</v>
      </c>
      <c r="O59" t="str">
        <f t="shared" si="1"/>
        <v>Proposta Ok</v>
      </c>
    </row>
    <row r="60" spans="4:15" ht="15" customHeight="1" x14ac:dyDescent="0.25">
      <c r="L60">
        <f t="shared" si="0"/>
        <v>0</v>
      </c>
      <c r="M60">
        <f t="shared" si="2"/>
        <v>1</v>
      </c>
      <c r="N60">
        <f t="shared" si="3"/>
        <v>0</v>
      </c>
      <c r="O60" t="str">
        <f t="shared" si="1"/>
        <v>Proposta Ok</v>
      </c>
    </row>
    <row r="61" spans="4:15" ht="15" customHeight="1" x14ac:dyDescent="0.25">
      <c r="L61">
        <f t="shared" si="0"/>
        <v>0</v>
      </c>
      <c r="M61">
        <f t="shared" si="2"/>
        <v>1</v>
      </c>
      <c r="N61">
        <f t="shared" si="3"/>
        <v>0</v>
      </c>
      <c r="O61" t="str">
        <f t="shared" si="1"/>
        <v>Proposta Ok</v>
      </c>
    </row>
    <row r="62" spans="4:15" ht="15" customHeight="1" x14ac:dyDescent="0.25">
      <c r="L62">
        <f t="shared" si="0"/>
        <v>0</v>
      </c>
      <c r="M62">
        <f t="shared" si="2"/>
        <v>1</v>
      </c>
      <c r="N62">
        <f t="shared" si="3"/>
        <v>0</v>
      </c>
      <c r="O62" t="str">
        <f t="shared" si="1"/>
        <v>Proposta Ok</v>
      </c>
    </row>
    <row r="63" spans="4:15" ht="15" customHeight="1" x14ac:dyDescent="0.25">
      <c r="D63" s="46"/>
      <c r="L63">
        <f t="shared" si="0"/>
        <v>0</v>
      </c>
      <c r="M63">
        <f t="shared" si="2"/>
        <v>1</v>
      </c>
      <c r="N63">
        <f t="shared" si="3"/>
        <v>0</v>
      </c>
      <c r="O63" t="str">
        <f t="shared" si="1"/>
        <v>Proposta Ok</v>
      </c>
    </row>
    <row r="64" spans="4:15" ht="15" customHeight="1" x14ac:dyDescent="0.25">
      <c r="L64">
        <f t="shared" si="0"/>
        <v>0</v>
      </c>
      <c r="M64">
        <f t="shared" si="2"/>
        <v>1</v>
      </c>
      <c r="N64">
        <f t="shared" si="3"/>
        <v>0</v>
      </c>
      <c r="O64" t="str">
        <f t="shared" si="1"/>
        <v>Proposta Ok</v>
      </c>
    </row>
    <row r="65" spans="1:15" ht="15" customHeight="1" x14ac:dyDescent="0.25">
      <c r="L65">
        <f t="shared" ref="L65:L127" si="4">IF(OR(I65="Termo OK (Exceção)",I65="Termo OK"),1,0)</f>
        <v>0</v>
      </c>
      <c r="M65">
        <f t="shared" ref="M65:M127" si="5">IF(OR(I65="Termo OK (Exceção)",I65="Termo OK"),0,1)</f>
        <v>1</v>
      </c>
      <c r="N65">
        <f t="shared" ref="N65:N127" si="6">IF(J65="SIM",1,0)</f>
        <v>0</v>
      </c>
      <c r="O65" t="str">
        <f t="shared" si="1"/>
        <v>Proposta Ok</v>
      </c>
    </row>
    <row r="66" spans="1:15" ht="15" customHeight="1" x14ac:dyDescent="0.25">
      <c r="L66">
        <f t="shared" si="4"/>
        <v>0</v>
      </c>
      <c r="M66">
        <f t="shared" si="5"/>
        <v>1</v>
      </c>
      <c r="N66">
        <f t="shared" si="6"/>
        <v>0</v>
      </c>
      <c r="O66" t="str">
        <f t="shared" si="1"/>
        <v>Proposta Ok</v>
      </c>
    </row>
    <row r="67" spans="1:15" ht="15" customHeight="1" x14ac:dyDescent="0.25">
      <c r="L67">
        <f t="shared" si="4"/>
        <v>0</v>
      </c>
      <c r="M67">
        <f t="shared" si="5"/>
        <v>1</v>
      </c>
      <c r="N67">
        <f t="shared" si="6"/>
        <v>0</v>
      </c>
      <c r="O67" t="str">
        <f t="shared" ref="O67:O130" si="7">IF(SUMIFS(M:M,A:A,A67)&gt;0,"Proposta não Ok","Proposta Ok")</f>
        <v>Proposta Ok</v>
      </c>
    </row>
    <row r="68" spans="1:15" ht="15" customHeight="1" x14ac:dyDescent="0.25">
      <c r="L68">
        <f t="shared" si="4"/>
        <v>0</v>
      </c>
      <c r="M68">
        <f t="shared" si="5"/>
        <v>1</v>
      </c>
      <c r="N68">
        <f t="shared" si="6"/>
        <v>0</v>
      </c>
      <c r="O68" t="str">
        <f t="shared" si="7"/>
        <v>Proposta Ok</v>
      </c>
    </row>
    <row r="69" spans="1:15" ht="15" customHeight="1" x14ac:dyDescent="0.25">
      <c r="L69">
        <f t="shared" si="4"/>
        <v>0</v>
      </c>
      <c r="M69">
        <f t="shared" si="5"/>
        <v>1</v>
      </c>
      <c r="N69">
        <f t="shared" si="6"/>
        <v>0</v>
      </c>
      <c r="O69" t="str">
        <f t="shared" si="7"/>
        <v>Proposta Ok</v>
      </c>
    </row>
    <row r="70" spans="1:15" ht="15" customHeight="1" x14ac:dyDescent="0.25">
      <c r="L70">
        <f t="shared" si="4"/>
        <v>0</v>
      </c>
      <c r="M70">
        <f t="shared" si="5"/>
        <v>1</v>
      </c>
      <c r="N70">
        <f t="shared" si="6"/>
        <v>0</v>
      </c>
      <c r="O70" t="str">
        <f t="shared" si="7"/>
        <v>Proposta Ok</v>
      </c>
    </row>
    <row r="71" spans="1:15" ht="15" customHeight="1" x14ac:dyDescent="0.25">
      <c r="L71">
        <f t="shared" si="4"/>
        <v>0</v>
      </c>
      <c r="M71">
        <f t="shared" si="5"/>
        <v>1</v>
      </c>
      <c r="N71">
        <f t="shared" si="6"/>
        <v>0</v>
      </c>
      <c r="O71" t="str">
        <f t="shared" si="7"/>
        <v>Proposta Ok</v>
      </c>
    </row>
    <row r="72" spans="1:15" ht="15" customHeight="1" x14ac:dyDescent="0.25">
      <c r="L72">
        <f t="shared" si="4"/>
        <v>0</v>
      </c>
      <c r="M72">
        <f t="shared" si="5"/>
        <v>1</v>
      </c>
      <c r="N72">
        <f t="shared" si="6"/>
        <v>0</v>
      </c>
      <c r="O72" t="str">
        <f t="shared" si="7"/>
        <v>Proposta Ok</v>
      </c>
    </row>
    <row r="73" spans="1:15" ht="15" customHeight="1" x14ac:dyDescent="0.25">
      <c r="L73">
        <f t="shared" si="4"/>
        <v>0</v>
      </c>
      <c r="M73">
        <f t="shared" si="5"/>
        <v>1</v>
      </c>
      <c r="N73">
        <f t="shared" si="6"/>
        <v>0</v>
      </c>
      <c r="O73" t="str">
        <f t="shared" si="7"/>
        <v>Proposta Ok</v>
      </c>
    </row>
    <row r="74" spans="1:15" ht="15" customHeight="1" x14ac:dyDescent="0.25">
      <c r="L74">
        <f t="shared" si="4"/>
        <v>0</v>
      </c>
      <c r="M74">
        <f t="shared" si="5"/>
        <v>1</v>
      </c>
      <c r="N74">
        <f t="shared" si="6"/>
        <v>0</v>
      </c>
      <c r="O74" t="str">
        <f t="shared" si="7"/>
        <v>Proposta Ok</v>
      </c>
    </row>
    <row r="75" spans="1:15" ht="15" customHeight="1" x14ac:dyDescent="0.25">
      <c r="L75">
        <f t="shared" si="4"/>
        <v>0</v>
      </c>
      <c r="M75">
        <f t="shared" si="5"/>
        <v>1</v>
      </c>
      <c r="N75">
        <f t="shared" si="6"/>
        <v>0</v>
      </c>
      <c r="O75" t="str">
        <f t="shared" si="7"/>
        <v>Proposta Ok</v>
      </c>
    </row>
    <row r="76" spans="1:15" ht="15" customHeight="1" x14ac:dyDescent="0.25">
      <c r="L76">
        <f t="shared" si="4"/>
        <v>0</v>
      </c>
      <c r="M76">
        <f t="shared" si="5"/>
        <v>1</v>
      </c>
      <c r="N76">
        <f t="shared" si="6"/>
        <v>0</v>
      </c>
      <c r="O76" t="str">
        <f t="shared" si="7"/>
        <v>Proposta Ok</v>
      </c>
    </row>
    <row r="77" spans="1:15" ht="15" customHeight="1" x14ac:dyDescent="0.25">
      <c r="L77">
        <f t="shared" si="4"/>
        <v>0</v>
      </c>
      <c r="M77">
        <f t="shared" si="5"/>
        <v>1</v>
      </c>
      <c r="N77">
        <f t="shared" si="6"/>
        <v>0</v>
      </c>
      <c r="O77" t="str">
        <f t="shared" si="7"/>
        <v>Proposta Ok</v>
      </c>
    </row>
    <row r="78" spans="1:15" ht="15" customHeight="1" x14ac:dyDescent="0.25">
      <c r="L78">
        <f t="shared" si="4"/>
        <v>0</v>
      </c>
      <c r="M78">
        <f t="shared" si="5"/>
        <v>1</v>
      </c>
      <c r="N78">
        <f t="shared" si="6"/>
        <v>0</v>
      </c>
      <c r="O78" t="str">
        <f t="shared" si="7"/>
        <v>Proposta Ok</v>
      </c>
    </row>
    <row r="79" spans="1:15" ht="15" customHeight="1" x14ac:dyDescent="0.25">
      <c r="A79" s="46"/>
      <c r="L79">
        <f t="shared" si="4"/>
        <v>0</v>
      </c>
      <c r="M79">
        <f t="shared" si="5"/>
        <v>1</v>
      </c>
      <c r="N79">
        <f t="shared" si="6"/>
        <v>0</v>
      </c>
      <c r="O79" t="str">
        <f t="shared" si="7"/>
        <v>Proposta Ok</v>
      </c>
    </row>
    <row r="80" spans="1:15" ht="15" customHeight="1" x14ac:dyDescent="0.25">
      <c r="A80" s="46"/>
      <c r="L80">
        <f t="shared" si="4"/>
        <v>0</v>
      </c>
      <c r="M80">
        <f t="shared" si="5"/>
        <v>1</v>
      </c>
      <c r="N80">
        <f t="shared" si="6"/>
        <v>0</v>
      </c>
      <c r="O80" t="str">
        <f t="shared" si="7"/>
        <v>Proposta Ok</v>
      </c>
    </row>
    <row r="81" spans="1:15" ht="15" customHeight="1" x14ac:dyDescent="0.25">
      <c r="L81">
        <f t="shared" si="4"/>
        <v>0</v>
      </c>
      <c r="M81">
        <f t="shared" si="5"/>
        <v>1</v>
      </c>
      <c r="N81">
        <f t="shared" si="6"/>
        <v>0</v>
      </c>
      <c r="O81" t="str">
        <f t="shared" si="7"/>
        <v>Proposta Ok</v>
      </c>
    </row>
    <row r="82" spans="1:15" ht="15" customHeight="1" x14ac:dyDescent="0.25">
      <c r="D82" s="46"/>
      <c r="L82">
        <f t="shared" si="4"/>
        <v>0</v>
      </c>
      <c r="M82">
        <f t="shared" si="5"/>
        <v>1</v>
      </c>
      <c r="N82">
        <f t="shared" si="6"/>
        <v>0</v>
      </c>
      <c r="O82" t="str">
        <f t="shared" si="7"/>
        <v>Proposta Ok</v>
      </c>
    </row>
    <row r="83" spans="1:15" ht="15" customHeight="1" x14ac:dyDescent="0.25">
      <c r="L83">
        <f t="shared" si="4"/>
        <v>0</v>
      </c>
      <c r="M83">
        <f t="shared" si="5"/>
        <v>1</v>
      </c>
      <c r="N83">
        <f t="shared" si="6"/>
        <v>0</v>
      </c>
      <c r="O83" t="str">
        <f t="shared" si="7"/>
        <v>Proposta Ok</v>
      </c>
    </row>
    <row r="84" spans="1:15" ht="15" customHeight="1" x14ac:dyDescent="0.25">
      <c r="L84">
        <f t="shared" si="4"/>
        <v>0</v>
      </c>
      <c r="M84">
        <f t="shared" si="5"/>
        <v>1</v>
      </c>
      <c r="N84">
        <f t="shared" si="6"/>
        <v>0</v>
      </c>
      <c r="O84" t="str">
        <f t="shared" si="7"/>
        <v>Proposta Ok</v>
      </c>
    </row>
    <row r="85" spans="1:15" ht="15" customHeight="1" x14ac:dyDescent="0.25">
      <c r="A85" s="46"/>
      <c r="L85">
        <f t="shared" si="4"/>
        <v>0</v>
      </c>
      <c r="M85">
        <f t="shared" si="5"/>
        <v>1</v>
      </c>
      <c r="N85">
        <f t="shared" si="6"/>
        <v>0</v>
      </c>
      <c r="O85" t="str">
        <f t="shared" si="7"/>
        <v>Proposta Ok</v>
      </c>
    </row>
    <row r="86" spans="1:15" ht="15" customHeight="1" x14ac:dyDescent="0.25">
      <c r="A86" s="46"/>
      <c r="L86">
        <f t="shared" si="4"/>
        <v>0</v>
      </c>
      <c r="M86">
        <f t="shared" si="5"/>
        <v>1</v>
      </c>
      <c r="N86">
        <f t="shared" si="6"/>
        <v>0</v>
      </c>
      <c r="O86" t="str">
        <f t="shared" si="7"/>
        <v>Proposta Ok</v>
      </c>
    </row>
    <row r="87" spans="1:15" ht="15" customHeight="1" x14ac:dyDescent="0.25">
      <c r="L87">
        <f t="shared" si="4"/>
        <v>0</v>
      </c>
      <c r="M87">
        <f t="shared" si="5"/>
        <v>1</v>
      </c>
      <c r="N87">
        <f t="shared" si="6"/>
        <v>0</v>
      </c>
      <c r="O87" t="str">
        <f t="shared" si="7"/>
        <v>Proposta Ok</v>
      </c>
    </row>
    <row r="88" spans="1:15" ht="15" customHeight="1" x14ac:dyDescent="0.25">
      <c r="L88">
        <f t="shared" si="4"/>
        <v>0</v>
      </c>
      <c r="M88">
        <f t="shared" si="5"/>
        <v>1</v>
      </c>
      <c r="N88">
        <f t="shared" si="6"/>
        <v>0</v>
      </c>
      <c r="O88" t="str">
        <f t="shared" si="7"/>
        <v>Proposta Ok</v>
      </c>
    </row>
    <row r="89" spans="1:15" ht="15" customHeight="1" x14ac:dyDescent="0.25">
      <c r="D89" s="46"/>
      <c r="L89">
        <f t="shared" si="4"/>
        <v>0</v>
      </c>
      <c r="M89">
        <f t="shared" si="5"/>
        <v>1</v>
      </c>
      <c r="N89">
        <f t="shared" si="6"/>
        <v>0</v>
      </c>
      <c r="O89" t="str">
        <f t="shared" si="7"/>
        <v>Proposta Ok</v>
      </c>
    </row>
    <row r="90" spans="1:15" ht="15" customHeight="1" x14ac:dyDescent="0.25">
      <c r="L90">
        <f t="shared" si="4"/>
        <v>0</v>
      </c>
      <c r="M90">
        <f t="shared" si="5"/>
        <v>1</v>
      </c>
      <c r="N90">
        <f t="shared" si="6"/>
        <v>0</v>
      </c>
      <c r="O90" t="str">
        <f t="shared" si="7"/>
        <v>Proposta Ok</v>
      </c>
    </row>
    <row r="91" spans="1:15" ht="15" customHeight="1" x14ac:dyDescent="0.25">
      <c r="L91">
        <f t="shared" si="4"/>
        <v>0</v>
      </c>
      <c r="M91">
        <f t="shared" si="5"/>
        <v>1</v>
      </c>
      <c r="N91">
        <f t="shared" si="6"/>
        <v>0</v>
      </c>
      <c r="O91" t="str">
        <f t="shared" si="7"/>
        <v>Proposta Ok</v>
      </c>
    </row>
    <row r="92" spans="1:15" ht="16.5" customHeight="1" x14ac:dyDescent="0.25">
      <c r="L92">
        <f t="shared" si="4"/>
        <v>0</v>
      </c>
      <c r="M92">
        <f t="shared" si="5"/>
        <v>1</v>
      </c>
      <c r="N92">
        <f t="shared" si="6"/>
        <v>0</v>
      </c>
      <c r="O92" t="str">
        <f t="shared" si="7"/>
        <v>Proposta Ok</v>
      </c>
    </row>
    <row r="93" spans="1:15" ht="14.25" customHeight="1" x14ac:dyDescent="0.25">
      <c r="L93">
        <f t="shared" si="4"/>
        <v>0</v>
      </c>
      <c r="M93">
        <f t="shared" si="5"/>
        <v>1</v>
      </c>
      <c r="N93">
        <f t="shared" si="6"/>
        <v>0</v>
      </c>
      <c r="O93" t="str">
        <f t="shared" si="7"/>
        <v>Proposta Ok</v>
      </c>
    </row>
    <row r="94" spans="1:15" ht="15" customHeight="1" x14ac:dyDescent="0.25">
      <c r="L94">
        <f t="shared" si="4"/>
        <v>0</v>
      </c>
      <c r="M94">
        <f t="shared" si="5"/>
        <v>1</v>
      </c>
      <c r="N94">
        <f t="shared" si="6"/>
        <v>0</v>
      </c>
      <c r="O94" t="str">
        <f t="shared" si="7"/>
        <v>Proposta Ok</v>
      </c>
    </row>
    <row r="95" spans="1:15" ht="15" customHeight="1" x14ac:dyDescent="0.25">
      <c r="L95">
        <f t="shared" si="4"/>
        <v>0</v>
      </c>
      <c r="M95">
        <f t="shared" si="5"/>
        <v>1</v>
      </c>
      <c r="N95">
        <f t="shared" si="6"/>
        <v>0</v>
      </c>
      <c r="O95" t="str">
        <f t="shared" si="7"/>
        <v>Proposta Ok</v>
      </c>
    </row>
    <row r="96" spans="1:15" ht="15" customHeight="1" x14ac:dyDescent="0.25">
      <c r="L96">
        <f t="shared" si="4"/>
        <v>0</v>
      </c>
      <c r="M96">
        <f t="shared" si="5"/>
        <v>1</v>
      </c>
      <c r="N96">
        <f t="shared" si="6"/>
        <v>0</v>
      </c>
      <c r="O96" t="str">
        <f t="shared" si="7"/>
        <v>Proposta Ok</v>
      </c>
    </row>
    <row r="97" spans="1:15" ht="15" customHeight="1" x14ac:dyDescent="0.25">
      <c r="L97">
        <f t="shared" si="4"/>
        <v>0</v>
      </c>
      <c r="M97">
        <f t="shared" si="5"/>
        <v>1</v>
      </c>
      <c r="N97">
        <f t="shared" si="6"/>
        <v>0</v>
      </c>
      <c r="O97" t="str">
        <f t="shared" si="7"/>
        <v>Proposta Ok</v>
      </c>
    </row>
    <row r="98" spans="1:15" ht="15" customHeight="1" x14ac:dyDescent="0.25">
      <c r="L98">
        <f t="shared" si="4"/>
        <v>0</v>
      </c>
      <c r="M98">
        <f t="shared" si="5"/>
        <v>1</v>
      </c>
      <c r="N98">
        <f t="shared" si="6"/>
        <v>0</v>
      </c>
      <c r="O98" t="str">
        <f t="shared" si="7"/>
        <v>Proposta Ok</v>
      </c>
    </row>
    <row r="99" spans="1:15" ht="15" customHeight="1" x14ac:dyDescent="0.25">
      <c r="A99" s="46"/>
      <c r="L99">
        <f t="shared" si="4"/>
        <v>0</v>
      </c>
      <c r="M99">
        <f t="shared" si="5"/>
        <v>1</v>
      </c>
      <c r="N99">
        <f t="shared" si="6"/>
        <v>0</v>
      </c>
      <c r="O99" t="str">
        <f t="shared" si="7"/>
        <v>Proposta Ok</v>
      </c>
    </row>
    <row r="100" spans="1:15" ht="15" customHeight="1" x14ac:dyDescent="0.25">
      <c r="L100">
        <f t="shared" si="4"/>
        <v>0</v>
      </c>
      <c r="M100">
        <f t="shared" si="5"/>
        <v>1</v>
      </c>
      <c r="N100">
        <f t="shared" si="6"/>
        <v>0</v>
      </c>
      <c r="O100" t="str">
        <f t="shared" si="7"/>
        <v>Proposta Ok</v>
      </c>
    </row>
    <row r="101" spans="1:15" ht="15" customHeight="1" x14ac:dyDescent="0.25">
      <c r="L101">
        <f t="shared" si="4"/>
        <v>0</v>
      </c>
      <c r="M101">
        <f t="shared" si="5"/>
        <v>1</v>
      </c>
      <c r="N101">
        <f t="shared" si="6"/>
        <v>0</v>
      </c>
      <c r="O101" t="str">
        <f t="shared" si="7"/>
        <v>Proposta Ok</v>
      </c>
    </row>
    <row r="102" spans="1:15" ht="15" customHeight="1" x14ac:dyDescent="0.25">
      <c r="L102">
        <f t="shared" si="4"/>
        <v>0</v>
      </c>
      <c r="M102">
        <f t="shared" si="5"/>
        <v>1</v>
      </c>
      <c r="N102">
        <f t="shared" si="6"/>
        <v>0</v>
      </c>
      <c r="O102" t="str">
        <f t="shared" si="7"/>
        <v>Proposta Ok</v>
      </c>
    </row>
    <row r="103" spans="1:15" ht="15" customHeight="1" x14ac:dyDescent="0.25">
      <c r="L103">
        <f t="shared" si="4"/>
        <v>0</v>
      </c>
      <c r="M103">
        <f t="shared" si="5"/>
        <v>1</v>
      </c>
      <c r="N103">
        <f t="shared" si="6"/>
        <v>0</v>
      </c>
      <c r="O103" t="str">
        <f t="shared" si="7"/>
        <v>Proposta Ok</v>
      </c>
    </row>
    <row r="104" spans="1:15" ht="15" customHeight="1" x14ac:dyDescent="0.25">
      <c r="D104" s="46"/>
      <c r="L104">
        <f t="shared" si="4"/>
        <v>0</v>
      </c>
      <c r="M104">
        <f t="shared" si="5"/>
        <v>1</v>
      </c>
      <c r="N104">
        <f t="shared" si="6"/>
        <v>0</v>
      </c>
      <c r="O104" t="str">
        <f t="shared" si="7"/>
        <v>Proposta Ok</v>
      </c>
    </row>
    <row r="105" spans="1:15" ht="15" customHeight="1" x14ac:dyDescent="0.25">
      <c r="L105">
        <f t="shared" si="4"/>
        <v>0</v>
      </c>
      <c r="M105">
        <f t="shared" si="5"/>
        <v>1</v>
      </c>
      <c r="N105">
        <f t="shared" si="6"/>
        <v>0</v>
      </c>
      <c r="O105" t="str">
        <f t="shared" si="7"/>
        <v>Proposta Ok</v>
      </c>
    </row>
    <row r="106" spans="1:15" ht="15" customHeight="1" x14ac:dyDescent="0.25">
      <c r="D106" s="46"/>
      <c r="L106">
        <f t="shared" si="4"/>
        <v>0</v>
      </c>
      <c r="M106">
        <f t="shared" si="5"/>
        <v>1</v>
      </c>
      <c r="N106">
        <f t="shared" si="6"/>
        <v>0</v>
      </c>
      <c r="O106" t="str">
        <f t="shared" si="7"/>
        <v>Proposta Ok</v>
      </c>
    </row>
    <row r="107" spans="1:15" ht="15" customHeight="1" x14ac:dyDescent="0.25">
      <c r="L107">
        <f t="shared" si="4"/>
        <v>0</v>
      </c>
      <c r="M107">
        <f t="shared" si="5"/>
        <v>1</v>
      </c>
      <c r="N107">
        <f t="shared" si="6"/>
        <v>0</v>
      </c>
      <c r="O107" t="str">
        <f t="shared" si="7"/>
        <v>Proposta Ok</v>
      </c>
    </row>
    <row r="108" spans="1:15" ht="15" customHeight="1" x14ac:dyDescent="0.25">
      <c r="L108">
        <f t="shared" si="4"/>
        <v>0</v>
      </c>
      <c r="M108">
        <f t="shared" si="5"/>
        <v>1</v>
      </c>
      <c r="N108">
        <f t="shared" si="6"/>
        <v>0</v>
      </c>
      <c r="O108" t="str">
        <f t="shared" si="7"/>
        <v>Proposta Ok</v>
      </c>
    </row>
    <row r="109" spans="1:15" ht="15" customHeight="1" x14ac:dyDescent="0.25">
      <c r="L109">
        <f t="shared" si="4"/>
        <v>0</v>
      </c>
      <c r="M109">
        <f t="shared" si="5"/>
        <v>1</v>
      </c>
      <c r="N109">
        <f t="shared" si="6"/>
        <v>0</v>
      </c>
      <c r="O109" t="str">
        <f t="shared" si="7"/>
        <v>Proposta Ok</v>
      </c>
    </row>
    <row r="110" spans="1:15" ht="15" customHeight="1" x14ac:dyDescent="0.25">
      <c r="L110">
        <f t="shared" si="4"/>
        <v>0</v>
      </c>
      <c r="M110">
        <f t="shared" si="5"/>
        <v>1</v>
      </c>
      <c r="N110">
        <f t="shared" si="6"/>
        <v>0</v>
      </c>
      <c r="O110" t="str">
        <f t="shared" si="7"/>
        <v>Proposta Ok</v>
      </c>
    </row>
    <row r="111" spans="1:15" ht="15" customHeight="1" x14ac:dyDescent="0.25">
      <c r="L111">
        <f t="shared" si="4"/>
        <v>0</v>
      </c>
      <c r="M111">
        <f t="shared" si="5"/>
        <v>1</v>
      </c>
      <c r="N111">
        <f t="shared" si="6"/>
        <v>0</v>
      </c>
      <c r="O111" t="str">
        <f t="shared" si="7"/>
        <v>Proposta Ok</v>
      </c>
    </row>
    <row r="112" spans="1:15" ht="15" customHeight="1" x14ac:dyDescent="0.25">
      <c r="L112">
        <f t="shared" si="4"/>
        <v>0</v>
      </c>
      <c r="M112">
        <f t="shared" si="5"/>
        <v>1</v>
      </c>
      <c r="N112">
        <f t="shared" si="6"/>
        <v>0</v>
      </c>
      <c r="O112" t="str">
        <f t="shared" si="7"/>
        <v>Proposta Ok</v>
      </c>
    </row>
    <row r="113" spans="1:15" ht="15" customHeight="1" x14ac:dyDescent="0.25">
      <c r="L113">
        <f t="shared" si="4"/>
        <v>0</v>
      </c>
      <c r="M113">
        <f t="shared" si="5"/>
        <v>1</v>
      </c>
      <c r="N113">
        <f t="shared" si="6"/>
        <v>0</v>
      </c>
      <c r="O113" t="str">
        <f t="shared" si="7"/>
        <v>Proposta Ok</v>
      </c>
    </row>
    <row r="114" spans="1:15" ht="15" customHeight="1" x14ac:dyDescent="0.25">
      <c r="L114">
        <f t="shared" si="4"/>
        <v>0</v>
      </c>
      <c r="M114">
        <f t="shared" si="5"/>
        <v>1</v>
      </c>
      <c r="N114">
        <f t="shared" si="6"/>
        <v>0</v>
      </c>
      <c r="O114" t="str">
        <f t="shared" si="7"/>
        <v>Proposta Ok</v>
      </c>
    </row>
    <row r="115" spans="1:15" ht="15" customHeight="1" x14ac:dyDescent="0.25">
      <c r="L115">
        <f t="shared" si="4"/>
        <v>0</v>
      </c>
      <c r="M115">
        <f t="shared" si="5"/>
        <v>1</v>
      </c>
      <c r="N115">
        <f t="shared" si="6"/>
        <v>0</v>
      </c>
      <c r="O115" t="str">
        <f t="shared" si="7"/>
        <v>Proposta Ok</v>
      </c>
    </row>
    <row r="116" spans="1:15" ht="15" customHeight="1" x14ac:dyDescent="0.25">
      <c r="L116">
        <f t="shared" si="4"/>
        <v>0</v>
      </c>
      <c r="M116">
        <f t="shared" si="5"/>
        <v>1</v>
      </c>
      <c r="N116">
        <f t="shared" si="6"/>
        <v>0</v>
      </c>
      <c r="O116" t="str">
        <f t="shared" si="7"/>
        <v>Proposta Ok</v>
      </c>
    </row>
    <row r="117" spans="1:15" ht="15" customHeight="1" x14ac:dyDescent="0.25">
      <c r="L117">
        <f t="shared" si="4"/>
        <v>0</v>
      </c>
      <c r="M117">
        <f t="shared" si="5"/>
        <v>1</v>
      </c>
      <c r="N117">
        <f t="shared" si="6"/>
        <v>0</v>
      </c>
      <c r="O117" t="str">
        <f t="shared" si="7"/>
        <v>Proposta Ok</v>
      </c>
    </row>
    <row r="118" spans="1:15" ht="15" customHeight="1" x14ac:dyDescent="0.25">
      <c r="L118">
        <f t="shared" si="4"/>
        <v>0</v>
      </c>
      <c r="M118">
        <f t="shared" si="5"/>
        <v>1</v>
      </c>
      <c r="N118">
        <f t="shared" si="6"/>
        <v>0</v>
      </c>
      <c r="O118" t="str">
        <f t="shared" si="7"/>
        <v>Proposta Ok</v>
      </c>
    </row>
    <row r="119" spans="1:15" ht="15" customHeight="1" x14ac:dyDescent="0.25">
      <c r="A119" s="46"/>
      <c r="L119">
        <f t="shared" si="4"/>
        <v>0</v>
      </c>
      <c r="M119">
        <f t="shared" si="5"/>
        <v>1</v>
      </c>
      <c r="N119">
        <f t="shared" si="6"/>
        <v>0</v>
      </c>
      <c r="O119" t="str">
        <f t="shared" si="7"/>
        <v>Proposta Ok</v>
      </c>
    </row>
    <row r="120" spans="1:15" ht="15" customHeight="1" x14ac:dyDescent="0.25">
      <c r="L120">
        <f t="shared" si="4"/>
        <v>0</v>
      </c>
      <c r="M120">
        <f t="shared" si="5"/>
        <v>1</v>
      </c>
      <c r="N120">
        <f t="shared" si="6"/>
        <v>0</v>
      </c>
      <c r="O120" t="str">
        <f t="shared" si="7"/>
        <v>Proposta Ok</v>
      </c>
    </row>
    <row r="121" spans="1:15" ht="15" customHeight="1" x14ac:dyDescent="0.25">
      <c r="L121">
        <f t="shared" si="4"/>
        <v>0</v>
      </c>
      <c r="M121">
        <f t="shared" si="5"/>
        <v>1</v>
      </c>
      <c r="N121">
        <f t="shared" si="6"/>
        <v>0</v>
      </c>
      <c r="O121" t="str">
        <f t="shared" si="7"/>
        <v>Proposta Ok</v>
      </c>
    </row>
    <row r="122" spans="1:15" ht="15" customHeight="1" x14ac:dyDescent="0.25">
      <c r="L122">
        <f t="shared" si="4"/>
        <v>0</v>
      </c>
      <c r="M122">
        <f t="shared" si="5"/>
        <v>1</v>
      </c>
      <c r="N122">
        <f t="shared" si="6"/>
        <v>0</v>
      </c>
      <c r="O122" t="str">
        <f t="shared" si="7"/>
        <v>Proposta Ok</v>
      </c>
    </row>
    <row r="123" spans="1:15" ht="15" customHeight="1" x14ac:dyDescent="0.25">
      <c r="L123">
        <f t="shared" si="4"/>
        <v>0</v>
      </c>
      <c r="M123">
        <f t="shared" si="5"/>
        <v>1</v>
      </c>
      <c r="N123">
        <f t="shared" si="6"/>
        <v>0</v>
      </c>
      <c r="O123" t="str">
        <f t="shared" si="7"/>
        <v>Proposta Ok</v>
      </c>
    </row>
    <row r="124" spans="1:15" ht="15" customHeight="1" x14ac:dyDescent="0.25">
      <c r="L124">
        <f t="shared" si="4"/>
        <v>0</v>
      </c>
      <c r="M124">
        <f t="shared" si="5"/>
        <v>1</v>
      </c>
      <c r="N124">
        <f t="shared" si="6"/>
        <v>0</v>
      </c>
      <c r="O124" t="str">
        <f t="shared" si="7"/>
        <v>Proposta Ok</v>
      </c>
    </row>
    <row r="125" spans="1:15" ht="15" customHeight="1" x14ac:dyDescent="0.25">
      <c r="L125">
        <f t="shared" si="4"/>
        <v>0</v>
      </c>
      <c r="M125">
        <f t="shared" si="5"/>
        <v>1</v>
      </c>
      <c r="N125">
        <f t="shared" si="6"/>
        <v>0</v>
      </c>
      <c r="O125" t="str">
        <f t="shared" si="7"/>
        <v>Proposta Ok</v>
      </c>
    </row>
    <row r="126" spans="1:15" ht="15" customHeight="1" x14ac:dyDescent="0.25">
      <c r="L126">
        <f t="shared" si="4"/>
        <v>0</v>
      </c>
      <c r="M126">
        <f t="shared" si="5"/>
        <v>1</v>
      </c>
      <c r="N126">
        <f t="shared" si="6"/>
        <v>0</v>
      </c>
      <c r="O126" t="str">
        <f t="shared" si="7"/>
        <v>Proposta Ok</v>
      </c>
    </row>
    <row r="127" spans="1:15" ht="15" customHeight="1" x14ac:dyDescent="0.25">
      <c r="L127">
        <f t="shared" si="4"/>
        <v>0</v>
      </c>
      <c r="M127">
        <f t="shared" si="5"/>
        <v>1</v>
      </c>
      <c r="N127">
        <f t="shared" si="6"/>
        <v>0</v>
      </c>
      <c r="O127" t="str">
        <f t="shared" si="7"/>
        <v>Proposta Ok</v>
      </c>
    </row>
    <row r="128" spans="1:15" ht="15" customHeight="1" x14ac:dyDescent="0.25">
      <c r="L128">
        <f t="shared" ref="L128:L190" si="8">IF(OR(I128="Termo OK (Exceção)",I128="Termo OK"),1,0)</f>
        <v>0</v>
      </c>
      <c r="M128">
        <f t="shared" ref="M128:M190" si="9">IF(OR(I128="Termo OK (Exceção)",I128="Termo OK"),0,1)</f>
        <v>1</v>
      </c>
      <c r="N128">
        <f t="shared" ref="N128:N190" si="10">IF(J128="SIM",1,0)</f>
        <v>0</v>
      </c>
      <c r="O128" t="str">
        <f t="shared" si="7"/>
        <v>Proposta Ok</v>
      </c>
    </row>
    <row r="129" spans="1:15" ht="15" customHeight="1" x14ac:dyDescent="0.25">
      <c r="L129">
        <f t="shared" si="8"/>
        <v>0</v>
      </c>
      <c r="M129">
        <f t="shared" si="9"/>
        <v>1</v>
      </c>
      <c r="N129">
        <f t="shared" si="10"/>
        <v>0</v>
      </c>
      <c r="O129" t="str">
        <f t="shared" si="7"/>
        <v>Proposta Ok</v>
      </c>
    </row>
    <row r="130" spans="1:15" ht="15" customHeight="1" x14ac:dyDescent="0.25">
      <c r="L130">
        <f t="shared" si="8"/>
        <v>0</v>
      </c>
      <c r="M130">
        <f t="shared" si="9"/>
        <v>1</v>
      </c>
      <c r="N130">
        <f t="shared" si="10"/>
        <v>0</v>
      </c>
      <c r="O130" t="str">
        <f t="shared" si="7"/>
        <v>Proposta Ok</v>
      </c>
    </row>
    <row r="131" spans="1:15" ht="15" customHeight="1" x14ac:dyDescent="0.25">
      <c r="L131">
        <f t="shared" si="8"/>
        <v>0</v>
      </c>
      <c r="M131">
        <f t="shared" si="9"/>
        <v>1</v>
      </c>
      <c r="N131">
        <f t="shared" si="10"/>
        <v>0</v>
      </c>
      <c r="O131" t="str">
        <f t="shared" ref="O131:O194" si="11">IF(SUMIFS(M:M,A:A,A131)&gt;0,"Proposta não Ok","Proposta Ok")</f>
        <v>Proposta Ok</v>
      </c>
    </row>
    <row r="132" spans="1:15" ht="15" customHeight="1" x14ac:dyDescent="0.25">
      <c r="L132">
        <f t="shared" si="8"/>
        <v>0</v>
      </c>
      <c r="M132">
        <f t="shared" si="9"/>
        <v>1</v>
      </c>
      <c r="N132">
        <f t="shared" si="10"/>
        <v>0</v>
      </c>
      <c r="O132" t="str">
        <f t="shared" si="11"/>
        <v>Proposta Ok</v>
      </c>
    </row>
    <row r="133" spans="1:15" ht="15" customHeight="1" x14ac:dyDescent="0.25">
      <c r="D133" s="46"/>
      <c r="L133">
        <f t="shared" si="8"/>
        <v>0</v>
      </c>
      <c r="M133">
        <f t="shared" si="9"/>
        <v>1</v>
      </c>
      <c r="N133">
        <f t="shared" si="10"/>
        <v>0</v>
      </c>
      <c r="O133" t="str">
        <f t="shared" si="11"/>
        <v>Proposta Ok</v>
      </c>
    </row>
    <row r="134" spans="1:15" ht="15" customHeight="1" x14ac:dyDescent="0.25">
      <c r="A134" s="46"/>
      <c r="L134">
        <f t="shared" si="8"/>
        <v>0</v>
      </c>
      <c r="M134">
        <f t="shared" si="9"/>
        <v>1</v>
      </c>
      <c r="N134">
        <f t="shared" si="10"/>
        <v>0</v>
      </c>
      <c r="O134" t="str">
        <f t="shared" si="11"/>
        <v>Proposta Ok</v>
      </c>
    </row>
    <row r="135" spans="1:15" ht="15" customHeight="1" x14ac:dyDescent="0.25">
      <c r="L135">
        <f t="shared" si="8"/>
        <v>0</v>
      </c>
      <c r="M135">
        <f t="shared" si="9"/>
        <v>1</v>
      </c>
      <c r="N135">
        <f t="shared" si="10"/>
        <v>0</v>
      </c>
      <c r="O135" t="str">
        <f t="shared" si="11"/>
        <v>Proposta Ok</v>
      </c>
    </row>
    <row r="136" spans="1:15" ht="15" customHeight="1" x14ac:dyDescent="0.25">
      <c r="L136">
        <f t="shared" si="8"/>
        <v>0</v>
      </c>
      <c r="M136">
        <f t="shared" si="9"/>
        <v>1</v>
      </c>
      <c r="N136">
        <f t="shared" si="10"/>
        <v>0</v>
      </c>
      <c r="O136" t="str">
        <f t="shared" si="11"/>
        <v>Proposta Ok</v>
      </c>
    </row>
    <row r="137" spans="1:15" ht="15" customHeight="1" x14ac:dyDescent="0.25">
      <c r="D137" s="46"/>
      <c r="L137">
        <f t="shared" si="8"/>
        <v>0</v>
      </c>
      <c r="M137">
        <f t="shared" si="9"/>
        <v>1</v>
      </c>
      <c r="N137">
        <f t="shared" si="10"/>
        <v>0</v>
      </c>
      <c r="O137" t="str">
        <f t="shared" si="11"/>
        <v>Proposta Ok</v>
      </c>
    </row>
    <row r="138" spans="1:15" ht="15" customHeight="1" x14ac:dyDescent="0.25">
      <c r="D138" s="46"/>
      <c r="L138">
        <f t="shared" si="8"/>
        <v>0</v>
      </c>
      <c r="M138">
        <f t="shared" si="9"/>
        <v>1</v>
      </c>
      <c r="N138">
        <f t="shared" si="10"/>
        <v>0</v>
      </c>
      <c r="O138" t="str">
        <f t="shared" si="11"/>
        <v>Proposta Ok</v>
      </c>
    </row>
    <row r="139" spans="1:15" ht="15" customHeight="1" x14ac:dyDescent="0.25">
      <c r="L139">
        <f t="shared" si="8"/>
        <v>0</v>
      </c>
      <c r="M139">
        <f t="shared" si="9"/>
        <v>1</v>
      </c>
      <c r="N139">
        <f t="shared" si="10"/>
        <v>0</v>
      </c>
      <c r="O139" t="str">
        <f t="shared" si="11"/>
        <v>Proposta Ok</v>
      </c>
    </row>
    <row r="140" spans="1:15" ht="15" customHeight="1" x14ac:dyDescent="0.25">
      <c r="L140">
        <f t="shared" si="8"/>
        <v>0</v>
      </c>
      <c r="M140">
        <f t="shared" si="9"/>
        <v>1</v>
      </c>
      <c r="N140">
        <f t="shared" si="10"/>
        <v>0</v>
      </c>
      <c r="O140" t="str">
        <f t="shared" si="11"/>
        <v>Proposta Ok</v>
      </c>
    </row>
    <row r="141" spans="1:15" ht="15" customHeight="1" x14ac:dyDescent="0.25">
      <c r="L141">
        <f t="shared" si="8"/>
        <v>0</v>
      </c>
      <c r="M141">
        <f t="shared" si="9"/>
        <v>1</v>
      </c>
      <c r="N141">
        <f t="shared" si="10"/>
        <v>0</v>
      </c>
      <c r="O141" t="str">
        <f t="shared" si="11"/>
        <v>Proposta Ok</v>
      </c>
    </row>
    <row r="142" spans="1:15" ht="15" customHeight="1" x14ac:dyDescent="0.25">
      <c r="L142">
        <f t="shared" si="8"/>
        <v>0</v>
      </c>
      <c r="M142">
        <f t="shared" si="9"/>
        <v>1</v>
      </c>
      <c r="N142">
        <f t="shared" si="10"/>
        <v>0</v>
      </c>
      <c r="O142" t="str">
        <f t="shared" si="11"/>
        <v>Proposta Ok</v>
      </c>
    </row>
    <row r="143" spans="1:15" ht="15" customHeight="1" x14ac:dyDescent="0.25">
      <c r="L143">
        <f t="shared" si="8"/>
        <v>0</v>
      </c>
      <c r="M143">
        <f t="shared" si="9"/>
        <v>1</v>
      </c>
      <c r="N143">
        <f t="shared" si="10"/>
        <v>0</v>
      </c>
      <c r="O143" t="str">
        <f t="shared" si="11"/>
        <v>Proposta Ok</v>
      </c>
    </row>
    <row r="144" spans="1:15" ht="13.5" customHeight="1" x14ac:dyDescent="0.25">
      <c r="L144">
        <f t="shared" si="8"/>
        <v>0</v>
      </c>
      <c r="M144">
        <f t="shared" si="9"/>
        <v>1</v>
      </c>
      <c r="N144">
        <f t="shared" si="10"/>
        <v>0</v>
      </c>
      <c r="O144" t="str">
        <f t="shared" si="11"/>
        <v>Proposta Ok</v>
      </c>
    </row>
    <row r="145" spans="12:15" ht="15" customHeight="1" x14ac:dyDescent="0.25">
      <c r="L145">
        <f t="shared" si="8"/>
        <v>0</v>
      </c>
      <c r="M145">
        <f t="shared" si="9"/>
        <v>1</v>
      </c>
      <c r="N145">
        <f t="shared" si="10"/>
        <v>0</v>
      </c>
      <c r="O145" t="str">
        <f t="shared" si="11"/>
        <v>Proposta Ok</v>
      </c>
    </row>
    <row r="146" spans="12:15" ht="15" customHeight="1" x14ac:dyDescent="0.25">
      <c r="L146">
        <f t="shared" si="8"/>
        <v>0</v>
      </c>
      <c r="M146">
        <f t="shared" si="9"/>
        <v>1</v>
      </c>
      <c r="N146">
        <f t="shared" si="10"/>
        <v>0</v>
      </c>
      <c r="O146" t="str">
        <f t="shared" si="11"/>
        <v>Proposta Ok</v>
      </c>
    </row>
    <row r="147" spans="12:15" ht="15" customHeight="1" x14ac:dyDescent="0.25">
      <c r="L147">
        <f t="shared" si="8"/>
        <v>0</v>
      </c>
      <c r="M147">
        <f t="shared" si="9"/>
        <v>1</v>
      </c>
      <c r="N147">
        <f t="shared" si="10"/>
        <v>0</v>
      </c>
      <c r="O147" t="str">
        <f t="shared" si="11"/>
        <v>Proposta Ok</v>
      </c>
    </row>
    <row r="148" spans="12:15" ht="15" customHeight="1" x14ac:dyDescent="0.25">
      <c r="L148">
        <f t="shared" si="8"/>
        <v>0</v>
      </c>
      <c r="M148">
        <f t="shared" si="9"/>
        <v>1</v>
      </c>
      <c r="N148">
        <f t="shared" si="10"/>
        <v>0</v>
      </c>
      <c r="O148" t="str">
        <f t="shared" si="11"/>
        <v>Proposta Ok</v>
      </c>
    </row>
    <row r="149" spans="12:15" ht="15" customHeight="1" x14ac:dyDescent="0.25">
      <c r="L149">
        <f t="shared" si="8"/>
        <v>0</v>
      </c>
      <c r="M149">
        <f t="shared" si="9"/>
        <v>1</v>
      </c>
      <c r="N149">
        <f t="shared" si="10"/>
        <v>0</v>
      </c>
      <c r="O149" t="str">
        <f t="shared" si="11"/>
        <v>Proposta Ok</v>
      </c>
    </row>
    <row r="150" spans="12:15" ht="15" customHeight="1" x14ac:dyDescent="0.25">
      <c r="L150">
        <f t="shared" si="8"/>
        <v>0</v>
      </c>
      <c r="M150">
        <f t="shared" si="9"/>
        <v>1</v>
      </c>
      <c r="N150">
        <f t="shared" si="10"/>
        <v>0</v>
      </c>
      <c r="O150" t="str">
        <f t="shared" si="11"/>
        <v>Proposta Ok</v>
      </c>
    </row>
    <row r="151" spans="12:15" ht="15" customHeight="1" x14ac:dyDescent="0.25">
      <c r="L151">
        <f t="shared" si="8"/>
        <v>0</v>
      </c>
      <c r="M151">
        <f t="shared" si="9"/>
        <v>1</v>
      </c>
      <c r="N151">
        <f t="shared" si="10"/>
        <v>0</v>
      </c>
      <c r="O151" t="str">
        <f t="shared" si="11"/>
        <v>Proposta Ok</v>
      </c>
    </row>
    <row r="152" spans="12:15" ht="15" customHeight="1" x14ac:dyDescent="0.25">
      <c r="L152">
        <f t="shared" si="8"/>
        <v>0</v>
      </c>
      <c r="M152">
        <f t="shared" si="9"/>
        <v>1</v>
      </c>
      <c r="N152">
        <f t="shared" si="10"/>
        <v>0</v>
      </c>
      <c r="O152" t="str">
        <f t="shared" si="11"/>
        <v>Proposta Ok</v>
      </c>
    </row>
    <row r="153" spans="12:15" ht="15" customHeight="1" x14ac:dyDescent="0.25">
      <c r="L153">
        <f t="shared" si="8"/>
        <v>0</v>
      </c>
      <c r="M153">
        <f t="shared" si="9"/>
        <v>1</v>
      </c>
      <c r="N153">
        <f t="shared" si="10"/>
        <v>0</v>
      </c>
      <c r="O153" t="str">
        <f t="shared" si="11"/>
        <v>Proposta Ok</v>
      </c>
    </row>
    <row r="154" spans="12:15" ht="15" customHeight="1" x14ac:dyDescent="0.25">
      <c r="L154">
        <f t="shared" si="8"/>
        <v>0</v>
      </c>
      <c r="M154">
        <f t="shared" si="9"/>
        <v>1</v>
      </c>
      <c r="N154">
        <f t="shared" si="10"/>
        <v>0</v>
      </c>
      <c r="O154" t="str">
        <f t="shared" si="11"/>
        <v>Proposta Ok</v>
      </c>
    </row>
    <row r="155" spans="12:15" ht="15" customHeight="1" x14ac:dyDescent="0.25">
      <c r="L155">
        <f t="shared" si="8"/>
        <v>0</v>
      </c>
      <c r="M155">
        <f t="shared" si="9"/>
        <v>1</v>
      </c>
      <c r="N155">
        <f t="shared" si="10"/>
        <v>0</v>
      </c>
      <c r="O155" t="str">
        <f t="shared" si="11"/>
        <v>Proposta Ok</v>
      </c>
    </row>
    <row r="156" spans="12:15" ht="15" customHeight="1" x14ac:dyDescent="0.25">
      <c r="L156">
        <f t="shared" si="8"/>
        <v>0</v>
      </c>
      <c r="M156">
        <f t="shared" si="9"/>
        <v>1</v>
      </c>
      <c r="N156">
        <f t="shared" si="10"/>
        <v>0</v>
      </c>
      <c r="O156" t="str">
        <f t="shared" si="11"/>
        <v>Proposta Ok</v>
      </c>
    </row>
    <row r="157" spans="12:15" ht="15" customHeight="1" x14ac:dyDescent="0.25">
      <c r="L157">
        <f t="shared" si="8"/>
        <v>0</v>
      </c>
      <c r="M157">
        <f t="shared" si="9"/>
        <v>1</v>
      </c>
      <c r="N157">
        <f t="shared" si="10"/>
        <v>0</v>
      </c>
      <c r="O157" t="str">
        <f t="shared" si="11"/>
        <v>Proposta Ok</v>
      </c>
    </row>
    <row r="158" spans="12:15" ht="15" customHeight="1" x14ac:dyDescent="0.25">
      <c r="L158">
        <f t="shared" si="8"/>
        <v>0</v>
      </c>
      <c r="M158">
        <f t="shared" si="9"/>
        <v>1</v>
      </c>
      <c r="N158">
        <f t="shared" si="10"/>
        <v>0</v>
      </c>
      <c r="O158" t="str">
        <f t="shared" si="11"/>
        <v>Proposta Ok</v>
      </c>
    </row>
    <row r="159" spans="12:15" ht="15" customHeight="1" x14ac:dyDescent="0.25">
      <c r="L159">
        <f t="shared" si="8"/>
        <v>0</v>
      </c>
      <c r="M159">
        <f t="shared" si="9"/>
        <v>1</v>
      </c>
      <c r="N159">
        <f t="shared" si="10"/>
        <v>0</v>
      </c>
      <c r="O159" t="str">
        <f t="shared" si="11"/>
        <v>Proposta Ok</v>
      </c>
    </row>
    <row r="160" spans="12:15" ht="15" customHeight="1" x14ac:dyDescent="0.25">
      <c r="L160">
        <f t="shared" si="8"/>
        <v>0</v>
      </c>
      <c r="M160">
        <f t="shared" si="9"/>
        <v>1</v>
      </c>
      <c r="N160">
        <f t="shared" si="10"/>
        <v>0</v>
      </c>
      <c r="O160" t="str">
        <f t="shared" si="11"/>
        <v>Proposta Ok</v>
      </c>
    </row>
    <row r="161" spans="4:15" ht="15" customHeight="1" x14ac:dyDescent="0.25">
      <c r="L161">
        <f t="shared" si="8"/>
        <v>0</v>
      </c>
      <c r="M161">
        <f t="shared" si="9"/>
        <v>1</v>
      </c>
      <c r="N161">
        <f t="shared" si="10"/>
        <v>0</v>
      </c>
      <c r="O161" t="str">
        <f t="shared" si="11"/>
        <v>Proposta Ok</v>
      </c>
    </row>
    <row r="162" spans="4:15" ht="15" customHeight="1" x14ac:dyDescent="0.25">
      <c r="L162">
        <f t="shared" si="8"/>
        <v>0</v>
      </c>
      <c r="M162">
        <f t="shared" si="9"/>
        <v>1</v>
      </c>
      <c r="N162">
        <f t="shared" si="10"/>
        <v>0</v>
      </c>
      <c r="O162" t="str">
        <f t="shared" si="11"/>
        <v>Proposta Ok</v>
      </c>
    </row>
    <row r="163" spans="4:15" ht="15" customHeight="1" x14ac:dyDescent="0.25">
      <c r="L163">
        <f t="shared" si="8"/>
        <v>0</v>
      </c>
      <c r="M163">
        <f t="shared" si="9"/>
        <v>1</v>
      </c>
      <c r="N163">
        <f t="shared" si="10"/>
        <v>0</v>
      </c>
      <c r="O163" t="str">
        <f t="shared" si="11"/>
        <v>Proposta Ok</v>
      </c>
    </row>
    <row r="164" spans="4:15" ht="15" customHeight="1" x14ac:dyDescent="0.25">
      <c r="L164">
        <f t="shared" si="8"/>
        <v>0</v>
      </c>
      <c r="M164">
        <f t="shared" si="9"/>
        <v>1</v>
      </c>
      <c r="N164">
        <f t="shared" si="10"/>
        <v>0</v>
      </c>
      <c r="O164" t="str">
        <f t="shared" si="11"/>
        <v>Proposta Ok</v>
      </c>
    </row>
    <row r="165" spans="4:15" ht="15" customHeight="1" x14ac:dyDescent="0.25">
      <c r="L165">
        <f t="shared" si="8"/>
        <v>0</v>
      </c>
      <c r="M165">
        <f t="shared" si="9"/>
        <v>1</v>
      </c>
      <c r="N165">
        <f t="shared" si="10"/>
        <v>0</v>
      </c>
      <c r="O165" t="str">
        <f t="shared" si="11"/>
        <v>Proposta Ok</v>
      </c>
    </row>
    <row r="166" spans="4:15" ht="15" customHeight="1" x14ac:dyDescent="0.25">
      <c r="L166">
        <f t="shared" si="8"/>
        <v>0</v>
      </c>
      <c r="M166">
        <f t="shared" si="9"/>
        <v>1</v>
      </c>
      <c r="N166">
        <f t="shared" si="10"/>
        <v>0</v>
      </c>
      <c r="O166" t="str">
        <f t="shared" si="11"/>
        <v>Proposta Ok</v>
      </c>
    </row>
    <row r="167" spans="4:15" ht="15" customHeight="1" x14ac:dyDescent="0.25">
      <c r="L167">
        <f t="shared" si="8"/>
        <v>0</v>
      </c>
      <c r="M167">
        <f t="shared" si="9"/>
        <v>1</v>
      </c>
      <c r="N167">
        <f t="shared" si="10"/>
        <v>0</v>
      </c>
      <c r="O167" t="str">
        <f t="shared" si="11"/>
        <v>Proposta Ok</v>
      </c>
    </row>
    <row r="168" spans="4:15" ht="15" customHeight="1" x14ac:dyDescent="0.25">
      <c r="L168">
        <f t="shared" si="8"/>
        <v>0</v>
      </c>
      <c r="M168">
        <f t="shared" si="9"/>
        <v>1</v>
      </c>
      <c r="N168">
        <f t="shared" si="10"/>
        <v>0</v>
      </c>
      <c r="O168" t="str">
        <f t="shared" si="11"/>
        <v>Proposta Ok</v>
      </c>
    </row>
    <row r="169" spans="4:15" ht="15" customHeight="1" x14ac:dyDescent="0.25">
      <c r="L169">
        <f t="shared" si="8"/>
        <v>0</v>
      </c>
      <c r="M169">
        <f t="shared" si="9"/>
        <v>1</v>
      </c>
      <c r="N169">
        <f t="shared" si="10"/>
        <v>0</v>
      </c>
      <c r="O169" t="str">
        <f t="shared" si="11"/>
        <v>Proposta Ok</v>
      </c>
    </row>
    <row r="170" spans="4:15" ht="15" customHeight="1" x14ac:dyDescent="0.25">
      <c r="L170">
        <f t="shared" si="8"/>
        <v>0</v>
      </c>
      <c r="M170">
        <f t="shared" si="9"/>
        <v>1</v>
      </c>
      <c r="N170">
        <f t="shared" si="10"/>
        <v>0</v>
      </c>
      <c r="O170" t="str">
        <f t="shared" si="11"/>
        <v>Proposta Ok</v>
      </c>
    </row>
    <row r="171" spans="4:15" ht="15" customHeight="1" x14ac:dyDescent="0.25">
      <c r="L171">
        <f t="shared" si="8"/>
        <v>0</v>
      </c>
      <c r="M171">
        <f t="shared" si="9"/>
        <v>1</v>
      </c>
      <c r="N171">
        <f t="shared" si="10"/>
        <v>0</v>
      </c>
      <c r="O171" t="str">
        <f t="shared" si="11"/>
        <v>Proposta Ok</v>
      </c>
    </row>
    <row r="172" spans="4:15" ht="15" customHeight="1" x14ac:dyDescent="0.25">
      <c r="L172">
        <f t="shared" si="8"/>
        <v>0</v>
      </c>
      <c r="M172">
        <f t="shared" si="9"/>
        <v>1</v>
      </c>
      <c r="N172">
        <f t="shared" si="10"/>
        <v>0</v>
      </c>
      <c r="O172" t="str">
        <f t="shared" si="11"/>
        <v>Proposta Ok</v>
      </c>
    </row>
    <row r="173" spans="4:15" ht="15" customHeight="1" x14ac:dyDescent="0.25">
      <c r="L173">
        <f t="shared" si="8"/>
        <v>0</v>
      </c>
      <c r="M173">
        <f t="shared" si="9"/>
        <v>1</v>
      </c>
      <c r="N173">
        <f t="shared" si="10"/>
        <v>0</v>
      </c>
      <c r="O173" t="str">
        <f t="shared" si="11"/>
        <v>Proposta Ok</v>
      </c>
    </row>
    <row r="174" spans="4:15" ht="15" customHeight="1" x14ac:dyDescent="0.25">
      <c r="D174" s="46"/>
      <c r="L174">
        <f t="shared" si="8"/>
        <v>0</v>
      </c>
      <c r="M174">
        <f t="shared" si="9"/>
        <v>1</v>
      </c>
      <c r="N174">
        <f t="shared" si="10"/>
        <v>0</v>
      </c>
      <c r="O174" t="str">
        <f t="shared" si="11"/>
        <v>Proposta Ok</v>
      </c>
    </row>
    <row r="175" spans="4:15" ht="15" customHeight="1" x14ac:dyDescent="0.25">
      <c r="L175">
        <f t="shared" si="8"/>
        <v>0</v>
      </c>
      <c r="M175">
        <f t="shared" si="9"/>
        <v>1</v>
      </c>
      <c r="N175">
        <f t="shared" si="10"/>
        <v>0</v>
      </c>
      <c r="O175" t="str">
        <f t="shared" si="11"/>
        <v>Proposta Ok</v>
      </c>
    </row>
    <row r="176" spans="4:15" ht="15" customHeight="1" x14ac:dyDescent="0.25">
      <c r="L176">
        <f t="shared" si="8"/>
        <v>0</v>
      </c>
      <c r="M176">
        <f t="shared" si="9"/>
        <v>1</v>
      </c>
      <c r="N176">
        <f t="shared" si="10"/>
        <v>0</v>
      </c>
      <c r="O176" t="str">
        <f t="shared" si="11"/>
        <v>Proposta Ok</v>
      </c>
    </row>
    <row r="177" spans="12:15" ht="15" customHeight="1" x14ac:dyDescent="0.25">
      <c r="L177">
        <f t="shared" si="8"/>
        <v>0</v>
      </c>
      <c r="M177">
        <f t="shared" si="9"/>
        <v>1</v>
      </c>
      <c r="N177">
        <f t="shared" si="10"/>
        <v>0</v>
      </c>
      <c r="O177" t="str">
        <f t="shared" si="11"/>
        <v>Proposta Ok</v>
      </c>
    </row>
    <row r="178" spans="12:15" ht="15" customHeight="1" x14ac:dyDescent="0.25">
      <c r="L178">
        <f t="shared" si="8"/>
        <v>0</v>
      </c>
      <c r="M178">
        <f t="shared" si="9"/>
        <v>1</v>
      </c>
      <c r="N178">
        <f t="shared" si="10"/>
        <v>0</v>
      </c>
      <c r="O178" t="str">
        <f t="shared" si="11"/>
        <v>Proposta Ok</v>
      </c>
    </row>
    <row r="179" spans="12:15" ht="15" customHeight="1" x14ac:dyDescent="0.25">
      <c r="L179">
        <f t="shared" si="8"/>
        <v>0</v>
      </c>
      <c r="M179">
        <f t="shared" si="9"/>
        <v>1</v>
      </c>
      <c r="N179">
        <f t="shared" si="10"/>
        <v>0</v>
      </c>
      <c r="O179" t="str">
        <f t="shared" si="11"/>
        <v>Proposta Ok</v>
      </c>
    </row>
    <row r="180" spans="12:15" ht="15" customHeight="1" x14ac:dyDescent="0.25">
      <c r="L180">
        <f t="shared" si="8"/>
        <v>0</v>
      </c>
      <c r="M180">
        <f t="shared" si="9"/>
        <v>1</v>
      </c>
      <c r="N180">
        <f t="shared" si="10"/>
        <v>0</v>
      </c>
      <c r="O180" t="str">
        <f t="shared" si="11"/>
        <v>Proposta Ok</v>
      </c>
    </row>
    <row r="181" spans="12:15" ht="15" customHeight="1" x14ac:dyDescent="0.25">
      <c r="L181">
        <f t="shared" si="8"/>
        <v>0</v>
      </c>
      <c r="M181">
        <f t="shared" si="9"/>
        <v>1</v>
      </c>
      <c r="N181">
        <f t="shared" si="10"/>
        <v>0</v>
      </c>
      <c r="O181" t="str">
        <f t="shared" si="11"/>
        <v>Proposta Ok</v>
      </c>
    </row>
    <row r="182" spans="12:15" ht="15" customHeight="1" x14ac:dyDescent="0.25">
      <c r="L182">
        <f t="shared" si="8"/>
        <v>0</v>
      </c>
      <c r="M182">
        <f t="shared" si="9"/>
        <v>1</v>
      </c>
      <c r="N182">
        <f t="shared" si="10"/>
        <v>0</v>
      </c>
      <c r="O182" t="str">
        <f t="shared" si="11"/>
        <v>Proposta Ok</v>
      </c>
    </row>
    <row r="183" spans="12:15" ht="15" customHeight="1" x14ac:dyDescent="0.25">
      <c r="L183">
        <f t="shared" si="8"/>
        <v>0</v>
      </c>
      <c r="M183">
        <f t="shared" si="9"/>
        <v>1</v>
      </c>
      <c r="N183">
        <f t="shared" si="10"/>
        <v>0</v>
      </c>
      <c r="O183" t="str">
        <f t="shared" si="11"/>
        <v>Proposta Ok</v>
      </c>
    </row>
    <row r="184" spans="12:15" ht="15" customHeight="1" x14ac:dyDescent="0.25">
      <c r="L184">
        <f t="shared" si="8"/>
        <v>0</v>
      </c>
      <c r="M184">
        <f t="shared" si="9"/>
        <v>1</v>
      </c>
      <c r="N184">
        <f t="shared" si="10"/>
        <v>0</v>
      </c>
      <c r="O184" t="str">
        <f t="shared" si="11"/>
        <v>Proposta Ok</v>
      </c>
    </row>
    <row r="185" spans="12:15" ht="15" customHeight="1" x14ac:dyDescent="0.25">
      <c r="L185">
        <f t="shared" si="8"/>
        <v>0</v>
      </c>
      <c r="M185">
        <f t="shared" si="9"/>
        <v>1</v>
      </c>
      <c r="N185">
        <f t="shared" si="10"/>
        <v>0</v>
      </c>
      <c r="O185" t="str">
        <f t="shared" si="11"/>
        <v>Proposta Ok</v>
      </c>
    </row>
    <row r="186" spans="12:15" ht="15" customHeight="1" x14ac:dyDescent="0.25">
      <c r="L186">
        <f t="shared" si="8"/>
        <v>0</v>
      </c>
      <c r="M186">
        <f t="shared" si="9"/>
        <v>1</v>
      </c>
      <c r="N186">
        <f t="shared" si="10"/>
        <v>0</v>
      </c>
      <c r="O186" t="str">
        <f t="shared" si="11"/>
        <v>Proposta Ok</v>
      </c>
    </row>
    <row r="187" spans="12:15" ht="15" customHeight="1" x14ac:dyDescent="0.25">
      <c r="L187">
        <f t="shared" si="8"/>
        <v>0</v>
      </c>
      <c r="M187">
        <f t="shared" si="9"/>
        <v>1</v>
      </c>
      <c r="N187">
        <f t="shared" si="10"/>
        <v>0</v>
      </c>
      <c r="O187" t="str">
        <f t="shared" si="11"/>
        <v>Proposta Ok</v>
      </c>
    </row>
    <row r="188" spans="12:15" ht="15" customHeight="1" x14ac:dyDescent="0.25">
      <c r="L188">
        <f t="shared" si="8"/>
        <v>0</v>
      </c>
      <c r="M188">
        <f t="shared" si="9"/>
        <v>1</v>
      </c>
      <c r="N188">
        <f t="shared" si="10"/>
        <v>0</v>
      </c>
      <c r="O188" t="str">
        <f t="shared" si="11"/>
        <v>Proposta Ok</v>
      </c>
    </row>
    <row r="189" spans="12:15" ht="15" customHeight="1" x14ac:dyDescent="0.25">
      <c r="L189">
        <f t="shared" si="8"/>
        <v>0</v>
      </c>
      <c r="M189">
        <f t="shared" si="9"/>
        <v>1</v>
      </c>
      <c r="N189">
        <f t="shared" si="10"/>
        <v>0</v>
      </c>
      <c r="O189" t="str">
        <f t="shared" si="11"/>
        <v>Proposta Ok</v>
      </c>
    </row>
    <row r="190" spans="12:15" ht="15" customHeight="1" x14ac:dyDescent="0.25">
      <c r="L190">
        <f t="shared" si="8"/>
        <v>0</v>
      </c>
      <c r="M190">
        <f t="shared" si="9"/>
        <v>1</v>
      </c>
      <c r="N190">
        <f t="shared" si="10"/>
        <v>0</v>
      </c>
      <c r="O190" t="str">
        <f t="shared" si="11"/>
        <v>Proposta Ok</v>
      </c>
    </row>
    <row r="191" spans="12:15" ht="15" customHeight="1" x14ac:dyDescent="0.25">
      <c r="L191">
        <f t="shared" ref="L191:L254" si="12">IF(OR(I191="Termo OK (Exceção)",I191="Termo OK"),1,0)</f>
        <v>0</v>
      </c>
      <c r="M191">
        <f t="shared" ref="M191:M254" si="13">IF(OR(I191="Termo OK (Exceção)",I191="Termo OK"),0,1)</f>
        <v>1</v>
      </c>
      <c r="N191">
        <f t="shared" ref="N191:N254" si="14">IF(J191="SIM",1,0)</f>
        <v>0</v>
      </c>
      <c r="O191" t="str">
        <f t="shared" si="11"/>
        <v>Proposta Ok</v>
      </c>
    </row>
    <row r="192" spans="12:15" ht="15" customHeight="1" x14ac:dyDescent="0.25">
      <c r="L192">
        <f t="shared" si="12"/>
        <v>0</v>
      </c>
      <c r="M192">
        <f t="shared" si="13"/>
        <v>1</v>
      </c>
      <c r="N192">
        <f t="shared" si="14"/>
        <v>0</v>
      </c>
      <c r="O192" t="str">
        <f t="shared" si="11"/>
        <v>Proposta Ok</v>
      </c>
    </row>
    <row r="193" spans="1:15" ht="15" customHeight="1" x14ac:dyDescent="0.25">
      <c r="L193">
        <f t="shared" si="12"/>
        <v>0</v>
      </c>
      <c r="M193">
        <f t="shared" si="13"/>
        <v>1</v>
      </c>
      <c r="N193">
        <f t="shared" si="14"/>
        <v>0</v>
      </c>
      <c r="O193" t="str">
        <f t="shared" si="11"/>
        <v>Proposta Ok</v>
      </c>
    </row>
    <row r="194" spans="1:15" ht="15" customHeight="1" x14ac:dyDescent="0.25">
      <c r="L194">
        <f t="shared" si="12"/>
        <v>0</v>
      </c>
      <c r="M194">
        <f t="shared" si="13"/>
        <v>1</v>
      </c>
      <c r="N194">
        <f t="shared" si="14"/>
        <v>0</v>
      </c>
      <c r="O194" t="str">
        <f t="shared" si="11"/>
        <v>Proposta Ok</v>
      </c>
    </row>
    <row r="195" spans="1:15" ht="17.25" customHeight="1" x14ac:dyDescent="0.25">
      <c r="L195">
        <f t="shared" si="12"/>
        <v>0</v>
      </c>
      <c r="M195">
        <f t="shared" si="13"/>
        <v>1</v>
      </c>
      <c r="N195">
        <f t="shared" si="14"/>
        <v>0</v>
      </c>
      <c r="O195" t="str">
        <f t="shared" ref="O195:O258" si="15">IF(SUMIFS(M:M,A:A,A195)&gt;0,"Proposta não Ok","Proposta Ok")</f>
        <v>Proposta Ok</v>
      </c>
    </row>
    <row r="196" spans="1:15" ht="15" customHeight="1" x14ac:dyDescent="0.25">
      <c r="L196">
        <f t="shared" si="12"/>
        <v>0</v>
      </c>
      <c r="M196">
        <f t="shared" si="13"/>
        <v>1</v>
      </c>
      <c r="N196">
        <f t="shared" si="14"/>
        <v>0</v>
      </c>
      <c r="O196" t="str">
        <f t="shared" si="15"/>
        <v>Proposta Ok</v>
      </c>
    </row>
    <row r="197" spans="1:15" ht="15" customHeight="1" x14ac:dyDescent="0.25">
      <c r="L197">
        <f t="shared" si="12"/>
        <v>0</v>
      </c>
      <c r="M197">
        <f t="shared" si="13"/>
        <v>1</v>
      </c>
      <c r="N197">
        <f t="shared" si="14"/>
        <v>0</v>
      </c>
      <c r="O197" t="str">
        <f t="shared" si="15"/>
        <v>Proposta Ok</v>
      </c>
    </row>
    <row r="198" spans="1:15" ht="15" customHeight="1" x14ac:dyDescent="0.25">
      <c r="L198">
        <f t="shared" si="12"/>
        <v>0</v>
      </c>
      <c r="M198">
        <f t="shared" si="13"/>
        <v>1</v>
      </c>
      <c r="N198">
        <f t="shared" si="14"/>
        <v>0</v>
      </c>
      <c r="O198" t="str">
        <f t="shared" si="15"/>
        <v>Proposta Ok</v>
      </c>
    </row>
    <row r="199" spans="1:15" ht="15" customHeight="1" x14ac:dyDescent="0.25">
      <c r="L199">
        <f t="shared" si="12"/>
        <v>0</v>
      </c>
      <c r="M199">
        <f t="shared" si="13"/>
        <v>1</v>
      </c>
      <c r="N199">
        <f t="shared" si="14"/>
        <v>0</v>
      </c>
      <c r="O199" t="str">
        <f t="shared" si="15"/>
        <v>Proposta Ok</v>
      </c>
    </row>
    <row r="200" spans="1:15" ht="15" customHeight="1" x14ac:dyDescent="0.25">
      <c r="L200">
        <f t="shared" si="12"/>
        <v>0</v>
      </c>
      <c r="M200">
        <f t="shared" si="13"/>
        <v>1</v>
      </c>
      <c r="N200">
        <f t="shared" si="14"/>
        <v>0</v>
      </c>
      <c r="O200" t="str">
        <f t="shared" si="15"/>
        <v>Proposta Ok</v>
      </c>
    </row>
    <row r="201" spans="1:15" ht="15" customHeight="1" x14ac:dyDescent="0.25">
      <c r="L201">
        <f t="shared" si="12"/>
        <v>0</v>
      </c>
      <c r="M201">
        <f t="shared" si="13"/>
        <v>1</v>
      </c>
      <c r="N201">
        <f t="shared" si="14"/>
        <v>0</v>
      </c>
      <c r="O201" t="str">
        <f t="shared" si="15"/>
        <v>Proposta Ok</v>
      </c>
    </row>
    <row r="202" spans="1:15" ht="15" customHeight="1" x14ac:dyDescent="0.25">
      <c r="L202">
        <f t="shared" si="12"/>
        <v>0</v>
      </c>
      <c r="M202">
        <f t="shared" si="13"/>
        <v>1</v>
      </c>
      <c r="N202">
        <f t="shared" si="14"/>
        <v>0</v>
      </c>
      <c r="O202" t="str">
        <f t="shared" si="15"/>
        <v>Proposta Ok</v>
      </c>
    </row>
    <row r="203" spans="1:15" ht="15" customHeight="1" x14ac:dyDescent="0.25">
      <c r="A203" s="46"/>
      <c r="L203">
        <f t="shared" si="12"/>
        <v>0</v>
      </c>
      <c r="M203">
        <f t="shared" si="13"/>
        <v>1</v>
      </c>
      <c r="N203">
        <f t="shared" si="14"/>
        <v>0</v>
      </c>
      <c r="O203" t="str">
        <f t="shared" si="15"/>
        <v>Proposta Ok</v>
      </c>
    </row>
    <row r="204" spans="1:15" ht="15" customHeight="1" x14ac:dyDescent="0.25">
      <c r="A204" s="46"/>
      <c r="L204">
        <f t="shared" si="12"/>
        <v>0</v>
      </c>
      <c r="M204">
        <f t="shared" si="13"/>
        <v>1</v>
      </c>
      <c r="N204">
        <f t="shared" si="14"/>
        <v>0</v>
      </c>
      <c r="O204" t="str">
        <f t="shared" si="15"/>
        <v>Proposta Ok</v>
      </c>
    </row>
    <row r="205" spans="1:15" ht="15" customHeight="1" x14ac:dyDescent="0.25">
      <c r="D205" s="46"/>
      <c r="L205">
        <f t="shared" si="12"/>
        <v>0</v>
      </c>
      <c r="M205">
        <f t="shared" si="13"/>
        <v>1</v>
      </c>
      <c r="N205">
        <f t="shared" si="14"/>
        <v>0</v>
      </c>
      <c r="O205" t="str">
        <f t="shared" si="15"/>
        <v>Proposta Ok</v>
      </c>
    </row>
    <row r="206" spans="1:15" ht="15" customHeight="1" x14ac:dyDescent="0.25">
      <c r="D206" s="46"/>
      <c r="L206">
        <f t="shared" si="12"/>
        <v>0</v>
      </c>
      <c r="M206">
        <f t="shared" si="13"/>
        <v>1</v>
      </c>
      <c r="N206">
        <f t="shared" si="14"/>
        <v>0</v>
      </c>
      <c r="O206" t="str">
        <f t="shared" si="15"/>
        <v>Proposta Ok</v>
      </c>
    </row>
    <row r="207" spans="1:15" ht="15" customHeight="1" x14ac:dyDescent="0.25">
      <c r="D207" s="46"/>
      <c r="L207">
        <f t="shared" si="12"/>
        <v>0</v>
      </c>
      <c r="M207">
        <f t="shared" si="13"/>
        <v>1</v>
      </c>
      <c r="N207">
        <f t="shared" si="14"/>
        <v>0</v>
      </c>
      <c r="O207" t="str">
        <f t="shared" si="15"/>
        <v>Proposta Ok</v>
      </c>
    </row>
    <row r="208" spans="1:15" ht="15" customHeight="1" x14ac:dyDescent="0.25">
      <c r="D208" s="46"/>
      <c r="L208">
        <f t="shared" si="12"/>
        <v>0</v>
      </c>
      <c r="M208">
        <f t="shared" si="13"/>
        <v>1</v>
      </c>
      <c r="N208">
        <f t="shared" si="14"/>
        <v>0</v>
      </c>
      <c r="O208" t="str">
        <f t="shared" si="15"/>
        <v>Proposta Ok</v>
      </c>
    </row>
    <row r="209" spans="12:15" ht="15" customHeight="1" x14ac:dyDescent="0.25">
      <c r="L209">
        <f t="shared" si="12"/>
        <v>0</v>
      </c>
      <c r="M209">
        <f t="shared" si="13"/>
        <v>1</v>
      </c>
      <c r="N209">
        <f t="shared" si="14"/>
        <v>0</v>
      </c>
      <c r="O209" t="str">
        <f t="shared" si="15"/>
        <v>Proposta Ok</v>
      </c>
    </row>
    <row r="210" spans="12:15" ht="15" customHeight="1" x14ac:dyDescent="0.25">
      <c r="L210">
        <f t="shared" si="12"/>
        <v>0</v>
      </c>
      <c r="M210">
        <f t="shared" si="13"/>
        <v>1</v>
      </c>
      <c r="N210">
        <f t="shared" si="14"/>
        <v>0</v>
      </c>
      <c r="O210" t="str">
        <f t="shared" si="15"/>
        <v>Proposta Ok</v>
      </c>
    </row>
    <row r="211" spans="12:15" ht="15" customHeight="1" x14ac:dyDescent="0.25">
      <c r="L211">
        <f t="shared" si="12"/>
        <v>0</v>
      </c>
      <c r="M211">
        <f t="shared" si="13"/>
        <v>1</v>
      </c>
      <c r="N211">
        <f t="shared" si="14"/>
        <v>0</v>
      </c>
      <c r="O211" t="str">
        <f t="shared" si="15"/>
        <v>Proposta Ok</v>
      </c>
    </row>
    <row r="212" spans="12:15" ht="15" customHeight="1" x14ac:dyDescent="0.25">
      <c r="L212">
        <f t="shared" si="12"/>
        <v>0</v>
      </c>
      <c r="M212">
        <f t="shared" si="13"/>
        <v>1</v>
      </c>
      <c r="N212">
        <f t="shared" si="14"/>
        <v>0</v>
      </c>
      <c r="O212" t="str">
        <f t="shared" si="15"/>
        <v>Proposta Ok</v>
      </c>
    </row>
    <row r="213" spans="12:15" ht="15" customHeight="1" x14ac:dyDescent="0.25">
      <c r="L213">
        <f t="shared" si="12"/>
        <v>0</v>
      </c>
      <c r="M213">
        <f t="shared" si="13"/>
        <v>1</v>
      </c>
      <c r="N213">
        <f t="shared" si="14"/>
        <v>0</v>
      </c>
      <c r="O213" t="str">
        <f t="shared" si="15"/>
        <v>Proposta Ok</v>
      </c>
    </row>
    <row r="214" spans="12:15" ht="15" customHeight="1" x14ac:dyDescent="0.25">
      <c r="L214">
        <f t="shared" si="12"/>
        <v>0</v>
      </c>
      <c r="M214">
        <f t="shared" si="13"/>
        <v>1</v>
      </c>
      <c r="N214">
        <f t="shared" si="14"/>
        <v>0</v>
      </c>
      <c r="O214" t="str">
        <f t="shared" si="15"/>
        <v>Proposta Ok</v>
      </c>
    </row>
    <row r="215" spans="12:15" ht="15" customHeight="1" x14ac:dyDescent="0.25">
      <c r="L215">
        <f t="shared" si="12"/>
        <v>0</v>
      </c>
      <c r="M215">
        <f t="shared" si="13"/>
        <v>1</v>
      </c>
      <c r="N215">
        <f t="shared" si="14"/>
        <v>0</v>
      </c>
      <c r="O215" t="str">
        <f t="shared" si="15"/>
        <v>Proposta Ok</v>
      </c>
    </row>
    <row r="216" spans="12:15" ht="15" customHeight="1" x14ac:dyDescent="0.25">
      <c r="L216">
        <f t="shared" si="12"/>
        <v>0</v>
      </c>
      <c r="M216">
        <f t="shared" si="13"/>
        <v>1</v>
      </c>
      <c r="N216">
        <f t="shared" si="14"/>
        <v>0</v>
      </c>
      <c r="O216" t="str">
        <f t="shared" si="15"/>
        <v>Proposta Ok</v>
      </c>
    </row>
    <row r="217" spans="12:15" ht="15" customHeight="1" x14ac:dyDescent="0.25">
      <c r="L217">
        <f t="shared" si="12"/>
        <v>0</v>
      </c>
      <c r="M217">
        <f t="shared" si="13"/>
        <v>1</v>
      </c>
      <c r="N217">
        <f t="shared" si="14"/>
        <v>0</v>
      </c>
      <c r="O217" t="str">
        <f t="shared" si="15"/>
        <v>Proposta Ok</v>
      </c>
    </row>
    <row r="218" spans="12:15" ht="15" customHeight="1" x14ac:dyDescent="0.25">
      <c r="L218">
        <f t="shared" si="12"/>
        <v>0</v>
      </c>
      <c r="M218">
        <f t="shared" si="13"/>
        <v>1</v>
      </c>
      <c r="N218">
        <f t="shared" si="14"/>
        <v>0</v>
      </c>
      <c r="O218" t="str">
        <f t="shared" si="15"/>
        <v>Proposta Ok</v>
      </c>
    </row>
    <row r="219" spans="12:15" ht="15" customHeight="1" x14ac:dyDescent="0.25">
      <c r="L219">
        <f t="shared" si="12"/>
        <v>0</v>
      </c>
      <c r="M219">
        <f t="shared" si="13"/>
        <v>1</v>
      </c>
      <c r="N219">
        <f t="shared" si="14"/>
        <v>0</v>
      </c>
      <c r="O219" t="str">
        <f t="shared" si="15"/>
        <v>Proposta Ok</v>
      </c>
    </row>
    <row r="220" spans="12:15" ht="15" customHeight="1" x14ac:dyDescent="0.25">
      <c r="L220">
        <f t="shared" si="12"/>
        <v>0</v>
      </c>
      <c r="M220">
        <f t="shared" si="13"/>
        <v>1</v>
      </c>
      <c r="N220">
        <f t="shared" si="14"/>
        <v>0</v>
      </c>
      <c r="O220" t="str">
        <f t="shared" si="15"/>
        <v>Proposta Ok</v>
      </c>
    </row>
    <row r="221" spans="12:15" ht="15" customHeight="1" x14ac:dyDescent="0.25">
      <c r="L221">
        <f t="shared" si="12"/>
        <v>0</v>
      </c>
      <c r="M221">
        <f t="shared" si="13"/>
        <v>1</v>
      </c>
      <c r="N221">
        <f t="shared" si="14"/>
        <v>0</v>
      </c>
      <c r="O221" t="str">
        <f t="shared" si="15"/>
        <v>Proposta Ok</v>
      </c>
    </row>
    <row r="222" spans="12:15" ht="15" customHeight="1" x14ac:dyDescent="0.25">
      <c r="L222">
        <f t="shared" si="12"/>
        <v>0</v>
      </c>
      <c r="M222">
        <f t="shared" si="13"/>
        <v>1</v>
      </c>
      <c r="N222">
        <f t="shared" si="14"/>
        <v>0</v>
      </c>
      <c r="O222" t="str">
        <f t="shared" si="15"/>
        <v>Proposta Ok</v>
      </c>
    </row>
    <row r="223" spans="12:15" ht="15" customHeight="1" x14ac:dyDescent="0.25">
      <c r="L223">
        <f t="shared" si="12"/>
        <v>0</v>
      </c>
      <c r="M223">
        <f t="shared" si="13"/>
        <v>1</v>
      </c>
      <c r="N223">
        <f t="shared" si="14"/>
        <v>0</v>
      </c>
      <c r="O223" t="str">
        <f t="shared" si="15"/>
        <v>Proposta Ok</v>
      </c>
    </row>
    <row r="224" spans="12:15" ht="15" customHeight="1" x14ac:dyDescent="0.25">
      <c r="L224">
        <f t="shared" si="12"/>
        <v>0</v>
      </c>
      <c r="M224">
        <f t="shared" si="13"/>
        <v>1</v>
      </c>
      <c r="N224">
        <f t="shared" si="14"/>
        <v>0</v>
      </c>
      <c r="O224" t="str">
        <f t="shared" si="15"/>
        <v>Proposta Ok</v>
      </c>
    </row>
    <row r="225" spans="12:15" ht="15" customHeight="1" x14ac:dyDescent="0.25">
      <c r="L225">
        <f t="shared" si="12"/>
        <v>0</v>
      </c>
      <c r="M225">
        <f t="shared" si="13"/>
        <v>1</v>
      </c>
      <c r="N225">
        <f t="shared" si="14"/>
        <v>0</v>
      </c>
      <c r="O225" t="str">
        <f t="shared" si="15"/>
        <v>Proposta Ok</v>
      </c>
    </row>
    <row r="226" spans="12:15" ht="15" customHeight="1" x14ac:dyDescent="0.25">
      <c r="L226">
        <f t="shared" si="12"/>
        <v>0</v>
      </c>
      <c r="M226">
        <f t="shared" si="13"/>
        <v>1</v>
      </c>
      <c r="N226">
        <f t="shared" si="14"/>
        <v>0</v>
      </c>
      <c r="O226" t="str">
        <f t="shared" si="15"/>
        <v>Proposta Ok</v>
      </c>
    </row>
    <row r="227" spans="12:15" ht="15" customHeight="1" x14ac:dyDescent="0.25">
      <c r="L227">
        <f t="shared" si="12"/>
        <v>0</v>
      </c>
      <c r="M227">
        <f t="shared" si="13"/>
        <v>1</v>
      </c>
      <c r="N227">
        <f t="shared" si="14"/>
        <v>0</v>
      </c>
      <c r="O227" t="str">
        <f t="shared" si="15"/>
        <v>Proposta Ok</v>
      </c>
    </row>
    <row r="228" spans="12:15" ht="15" customHeight="1" x14ac:dyDescent="0.25">
      <c r="L228">
        <f t="shared" si="12"/>
        <v>0</v>
      </c>
      <c r="M228">
        <f t="shared" si="13"/>
        <v>1</v>
      </c>
      <c r="N228">
        <f t="shared" si="14"/>
        <v>0</v>
      </c>
      <c r="O228" t="str">
        <f t="shared" si="15"/>
        <v>Proposta Ok</v>
      </c>
    </row>
    <row r="229" spans="12:15" ht="15" customHeight="1" x14ac:dyDescent="0.25">
      <c r="L229">
        <f t="shared" si="12"/>
        <v>0</v>
      </c>
      <c r="M229">
        <f t="shared" si="13"/>
        <v>1</v>
      </c>
      <c r="N229">
        <f t="shared" si="14"/>
        <v>0</v>
      </c>
      <c r="O229" t="str">
        <f t="shared" si="15"/>
        <v>Proposta Ok</v>
      </c>
    </row>
    <row r="230" spans="12:15" ht="15" customHeight="1" x14ac:dyDescent="0.25">
      <c r="L230">
        <f t="shared" si="12"/>
        <v>0</v>
      </c>
      <c r="M230">
        <f t="shared" si="13"/>
        <v>1</v>
      </c>
      <c r="N230">
        <f t="shared" si="14"/>
        <v>0</v>
      </c>
      <c r="O230" t="str">
        <f t="shared" si="15"/>
        <v>Proposta Ok</v>
      </c>
    </row>
    <row r="231" spans="12:15" ht="15" customHeight="1" x14ac:dyDescent="0.25">
      <c r="L231">
        <f t="shared" si="12"/>
        <v>0</v>
      </c>
      <c r="M231">
        <f t="shared" si="13"/>
        <v>1</v>
      </c>
      <c r="N231">
        <f t="shared" si="14"/>
        <v>0</v>
      </c>
      <c r="O231" t="str">
        <f t="shared" si="15"/>
        <v>Proposta Ok</v>
      </c>
    </row>
    <row r="232" spans="12:15" ht="15" customHeight="1" x14ac:dyDescent="0.25">
      <c r="L232">
        <f t="shared" si="12"/>
        <v>0</v>
      </c>
      <c r="M232">
        <f t="shared" si="13"/>
        <v>1</v>
      </c>
      <c r="N232">
        <f t="shared" si="14"/>
        <v>0</v>
      </c>
      <c r="O232" t="str">
        <f t="shared" si="15"/>
        <v>Proposta Ok</v>
      </c>
    </row>
    <row r="233" spans="12:15" ht="15" customHeight="1" x14ac:dyDescent="0.25">
      <c r="L233">
        <f t="shared" si="12"/>
        <v>0</v>
      </c>
      <c r="M233">
        <f t="shared" si="13"/>
        <v>1</v>
      </c>
      <c r="N233">
        <f t="shared" si="14"/>
        <v>0</v>
      </c>
      <c r="O233" t="str">
        <f t="shared" si="15"/>
        <v>Proposta Ok</v>
      </c>
    </row>
    <row r="234" spans="12:15" ht="15" customHeight="1" x14ac:dyDescent="0.25">
      <c r="L234">
        <f t="shared" si="12"/>
        <v>0</v>
      </c>
      <c r="M234">
        <f t="shared" si="13"/>
        <v>1</v>
      </c>
      <c r="N234">
        <f t="shared" si="14"/>
        <v>0</v>
      </c>
      <c r="O234" t="str">
        <f t="shared" si="15"/>
        <v>Proposta Ok</v>
      </c>
    </row>
    <row r="235" spans="12:15" ht="15" customHeight="1" x14ac:dyDescent="0.25">
      <c r="L235">
        <f t="shared" si="12"/>
        <v>0</v>
      </c>
      <c r="M235">
        <f t="shared" si="13"/>
        <v>1</v>
      </c>
      <c r="N235">
        <f t="shared" si="14"/>
        <v>0</v>
      </c>
      <c r="O235" t="str">
        <f t="shared" si="15"/>
        <v>Proposta Ok</v>
      </c>
    </row>
    <row r="236" spans="12:15" ht="15" customHeight="1" x14ac:dyDescent="0.25">
      <c r="L236">
        <f t="shared" si="12"/>
        <v>0</v>
      </c>
      <c r="M236">
        <f t="shared" si="13"/>
        <v>1</v>
      </c>
      <c r="N236">
        <f t="shared" si="14"/>
        <v>0</v>
      </c>
      <c r="O236" t="str">
        <f t="shared" si="15"/>
        <v>Proposta Ok</v>
      </c>
    </row>
    <row r="237" spans="12:15" ht="15" customHeight="1" x14ac:dyDescent="0.25">
      <c r="L237">
        <f t="shared" si="12"/>
        <v>0</v>
      </c>
      <c r="M237">
        <f t="shared" si="13"/>
        <v>1</v>
      </c>
      <c r="N237">
        <f t="shared" si="14"/>
        <v>0</v>
      </c>
      <c r="O237" t="str">
        <f t="shared" si="15"/>
        <v>Proposta Ok</v>
      </c>
    </row>
    <row r="238" spans="12:15" ht="15" customHeight="1" x14ac:dyDescent="0.25">
      <c r="L238">
        <f t="shared" si="12"/>
        <v>0</v>
      </c>
      <c r="M238">
        <f t="shared" si="13"/>
        <v>1</v>
      </c>
      <c r="N238">
        <f t="shared" si="14"/>
        <v>0</v>
      </c>
      <c r="O238" t="str">
        <f t="shared" si="15"/>
        <v>Proposta Ok</v>
      </c>
    </row>
    <row r="239" spans="12:15" ht="15" customHeight="1" x14ac:dyDescent="0.25">
      <c r="L239">
        <f t="shared" si="12"/>
        <v>0</v>
      </c>
      <c r="M239">
        <f t="shared" si="13"/>
        <v>1</v>
      </c>
      <c r="N239">
        <f t="shared" si="14"/>
        <v>0</v>
      </c>
      <c r="O239" t="str">
        <f t="shared" si="15"/>
        <v>Proposta Ok</v>
      </c>
    </row>
    <row r="240" spans="12:15" ht="15" customHeight="1" x14ac:dyDescent="0.25">
      <c r="L240">
        <f t="shared" si="12"/>
        <v>0</v>
      </c>
      <c r="M240">
        <f t="shared" si="13"/>
        <v>1</v>
      </c>
      <c r="N240">
        <f t="shared" si="14"/>
        <v>0</v>
      </c>
      <c r="O240" t="str">
        <f t="shared" si="15"/>
        <v>Proposta Ok</v>
      </c>
    </row>
    <row r="241" spans="1:15" ht="15" customHeight="1" x14ac:dyDescent="0.25">
      <c r="L241">
        <f t="shared" si="12"/>
        <v>0</v>
      </c>
      <c r="M241">
        <f t="shared" si="13"/>
        <v>1</v>
      </c>
      <c r="N241">
        <f t="shared" si="14"/>
        <v>0</v>
      </c>
      <c r="O241" t="str">
        <f t="shared" si="15"/>
        <v>Proposta Ok</v>
      </c>
    </row>
    <row r="242" spans="1:15" ht="15" customHeight="1" x14ac:dyDescent="0.25">
      <c r="L242">
        <f t="shared" si="12"/>
        <v>0</v>
      </c>
      <c r="M242">
        <f t="shared" si="13"/>
        <v>1</v>
      </c>
      <c r="N242">
        <f t="shared" si="14"/>
        <v>0</v>
      </c>
      <c r="O242" t="str">
        <f t="shared" si="15"/>
        <v>Proposta Ok</v>
      </c>
    </row>
    <row r="243" spans="1:15" ht="15" customHeight="1" x14ac:dyDescent="0.25">
      <c r="L243">
        <f t="shared" si="12"/>
        <v>0</v>
      </c>
      <c r="M243">
        <f t="shared" si="13"/>
        <v>1</v>
      </c>
      <c r="N243">
        <f t="shared" si="14"/>
        <v>0</v>
      </c>
      <c r="O243" t="str">
        <f t="shared" si="15"/>
        <v>Proposta Ok</v>
      </c>
    </row>
    <row r="244" spans="1:15" ht="15" customHeight="1" x14ac:dyDescent="0.25">
      <c r="L244">
        <f t="shared" si="12"/>
        <v>0</v>
      </c>
      <c r="M244">
        <f t="shared" si="13"/>
        <v>1</v>
      </c>
      <c r="N244">
        <f t="shared" si="14"/>
        <v>0</v>
      </c>
      <c r="O244" t="str">
        <f t="shared" si="15"/>
        <v>Proposta Ok</v>
      </c>
    </row>
    <row r="245" spans="1:15" ht="15" customHeight="1" x14ac:dyDescent="0.25">
      <c r="L245">
        <f t="shared" si="12"/>
        <v>0</v>
      </c>
      <c r="M245">
        <f t="shared" si="13"/>
        <v>1</v>
      </c>
      <c r="N245">
        <f t="shared" si="14"/>
        <v>0</v>
      </c>
      <c r="O245" t="str">
        <f t="shared" si="15"/>
        <v>Proposta Ok</v>
      </c>
    </row>
    <row r="246" spans="1:15" ht="15" customHeight="1" x14ac:dyDescent="0.25">
      <c r="D246" s="46"/>
      <c r="L246">
        <f t="shared" si="12"/>
        <v>0</v>
      </c>
      <c r="M246">
        <f t="shared" si="13"/>
        <v>1</v>
      </c>
      <c r="N246">
        <f t="shared" si="14"/>
        <v>0</v>
      </c>
      <c r="O246" t="str">
        <f t="shared" si="15"/>
        <v>Proposta Ok</v>
      </c>
    </row>
    <row r="247" spans="1:15" ht="15" customHeight="1" x14ac:dyDescent="0.25">
      <c r="D247" s="46"/>
      <c r="L247">
        <f t="shared" si="12"/>
        <v>0</v>
      </c>
      <c r="M247">
        <f t="shared" si="13"/>
        <v>1</v>
      </c>
      <c r="N247">
        <f t="shared" si="14"/>
        <v>0</v>
      </c>
      <c r="O247" t="str">
        <f t="shared" si="15"/>
        <v>Proposta Ok</v>
      </c>
    </row>
    <row r="248" spans="1:15" ht="15" customHeight="1" x14ac:dyDescent="0.25">
      <c r="L248">
        <f t="shared" si="12"/>
        <v>0</v>
      </c>
      <c r="M248">
        <f t="shared" si="13"/>
        <v>1</v>
      </c>
      <c r="N248">
        <f t="shared" si="14"/>
        <v>0</v>
      </c>
      <c r="O248" t="str">
        <f t="shared" si="15"/>
        <v>Proposta Ok</v>
      </c>
    </row>
    <row r="249" spans="1:15" ht="15" customHeight="1" x14ac:dyDescent="0.25">
      <c r="L249">
        <f t="shared" si="12"/>
        <v>0</v>
      </c>
      <c r="M249">
        <f t="shared" si="13"/>
        <v>1</v>
      </c>
      <c r="N249">
        <f t="shared" si="14"/>
        <v>0</v>
      </c>
      <c r="O249" t="str">
        <f t="shared" si="15"/>
        <v>Proposta Ok</v>
      </c>
    </row>
    <row r="250" spans="1:15" ht="15" customHeight="1" x14ac:dyDescent="0.25">
      <c r="L250">
        <f t="shared" si="12"/>
        <v>0</v>
      </c>
      <c r="M250">
        <f t="shared" si="13"/>
        <v>1</v>
      </c>
      <c r="N250">
        <f t="shared" si="14"/>
        <v>0</v>
      </c>
      <c r="O250" t="str">
        <f t="shared" si="15"/>
        <v>Proposta Ok</v>
      </c>
    </row>
    <row r="251" spans="1:15" ht="15" customHeight="1" x14ac:dyDescent="0.25">
      <c r="A251" s="46"/>
      <c r="L251">
        <f t="shared" si="12"/>
        <v>0</v>
      </c>
      <c r="M251">
        <f t="shared" si="13"/>
        <v>1</v>
      </c>
      <c r="N251">
        <f t="shared" si="14"/>
        <v>0</v>
      </c>
      <c r="O251" t="str">
        <f t="shared" si="15"/>
        <v>Proposta Ok</v>
      </c>
    </row>
    <row r="252" spans="1:15" ht="15" customHeight="1" x14ac:dyDescent="0.25">
      <c r="L252">
        <f t="shared" si="12"/>
        <v>0</v>
      </c>
      <c r="M252">
        <f t="shared" si="13"/>
        <v>1</v>
      </c>
      <c r="N252">
        <f t="shared" si="14"/>
        <v>0</v>
      </c>
      <c r="O252" t="str">
        <f t="shared" si="15"/>
        <v>Proposta Ok</v>
      </c>
    </row>
    <row r="253" spans="1:15" ht="15" customHeight="1" x14ac:dyDescent="0.25">
      <c r="L253">
        <f t="shared" si="12"/>
        <v>0</v>
      </c>
      <c r="M253">
        <f t="shared" si="13"/>
        <v>1</v>
      </c>
      <c r="N253">
        <f t="shared" si="14"/>
        <v>0</v>
      </c>
      <c r="O253" t="str">
        <f t="shared" si="15"/>
        <v>Proposta Ok</v>
      </c>
    </row>
    <row r="254" spans="1:15" ht="15" customHeight="1" x14ac:dyDescent="0.25">
      <c r="L254">
        <f t="shared" si="12"/>
        <v>0</v>
      </c>
      <c r="M254">
        <f t="shared" si="13"/>
        <v>1</v>
      </c>
      <c r="N254">
        <f t="shared" si="14"/>
        <v>0</v>
      </c>
      <c r="O254" t="str">
        <f t="shared" si="15"/>
        <v>Proposta Ok</v>
      </c>
    </row>
    <row r="255" spans="1:15" ht="15" customHeight="1" x14ac:dyDescent="0.25">
      <c r="L255">
        <f t="shared" ref="L255:L318" si="16">IF(OR(I255="Termo OK (Exceção)",I255="Termo OK"),1,0)</f>
        <v>0</v>
      </c>
      <c r="M255">
        <f t="shared" ref="M255:M318" si="17">IF(OR(I255="Termo OK (Exceção)",I255="Termo OK"),0,1)</f>
        <v>1</v>
      </c>
      <c r="N255">
        <f t="shared" ref="N255:N318" si="18">IF(J255="SIM",1,0)</f>
        <v>0</v>
      </c>
      <c r="O255" t="str">
        <f t="shared" si="15"/>
        <v>Proposta Ok</v>
      </c>
    </row>
    <row r="256" spans="1:15" ht="15" customHeight="1" x14ac:dyDescent="0.25">
      <c r="D256" s="46"/>
      <c r="L256">
        <f t="shared" si="16"/>
        <v>0</v>
      </c>
      <c r="M256">
        <f t="shared" si="17"/>
        <v>1</v>
      </c>
      <c r="N256">
        <f t="shared" si="18"/>
        <v>0</v>
      </c>
      <c r="O256" t="str">
        <f t="shared" si="15"/>
        <v>Proposta Ok</v>
      </c>
    </row>
    <row r="257" spans="1:15" ht="15" customHeight="1" x14ac:dyDescent="0.25">
      <c r="L257">
        <f t="shared" si="16"/>
        <v>0</v>
      </c>
      <c r="M257">
        <f t="shared" si="17"/>
        <v>1</v>
      </c>
      <c r="N257">
        <f t="shared" si="18"/>
        <v>0</v>
      </c>
      <c r="O257" t="str">
        <f t="shared" si="15"/>
        <v>Proposta Ok</v>
      </c>
    </row>
    <row r="258" spans="1:15" ht="15" customHeight="1" x14ac:dyDescent="0.25">
      <c r="L258">
        <f t="shared" si="16"/>
        <v>0</v>
      </c>
      <c r="M258">
        <f t="shared" si="17"/>
        <v>1</v>
      </c>
      <c r="N258">
        <f t="shared" si="18"/>
        <v>0</v>
      </c>
      <c r="O258" t="str">
        <f t="shared" si="15"/>
        <v>Proposta Ok</v>
      </c>
    </row>
    <row r="259" spans="1:15" ht="15" customHeight="1" x14ac:dyDescent="0.25">
      <c r="A259" s="46"/>
      <c r="L259">
        <f t="shared" si="16"/>
        <v>0</v>
      </c>
      <c r="M259">
        <f t="shared" si="17"/>
        <v>1</v>
      </c>
      <c r="N259">
        <f t="shared" si="18"/>
        <v>0</v>
      </c>
      <c r="O259" t="str">
        <f t="shared" ref="O259:O322" si="19">IF(SUMIFS(M:M,A:A,A259)&gt;0,"Proposta não Ok","Proposta Ok")</f>
        <v>Proposta Ok</v>
      </c>
    </row>
    <row r="260" spans="1:15" ht="15" customHeight="1" x14ac:dyDescent="0.25">
      <c r="L260">
        <f t="shared" si="16"/>
        <v>0</v>
      </c>
      <c r="M260">
        <f t="shared" si="17"/>
        <v>1</v>
      </c>
      <c r="N260">
        <f t="shared" si="18"/>
        <v>0</v>
      </c>
      <c r="O260" t="str">
        <f t="shared" si="19"/>
        <v>Proposta Ok</v>
      </c>
    </row>
    <row r="261" spans="1:15" ht="15" customHeight="1" x14ac:dyDescent="0.25">
      <c r="L261">
        <f t="shared" si="16"/>
        <v>0</v>
      </c>
      <c r="M261">
        <f t="shared" si="17"/>
        <v>1</v>
      </c>
      <c r="N261">
        <f t="shared" si="18"/>
        <v>0</v>
      </c>
      <c r="O261" t="str">
        <f t="shared" si="19"/>
        <v>Proposta Ok</v>
      </c>
    </row>
    <row r="262" spans="1:15" ht="15" customHeight="1" x14ac:dyDescent="0.25">
      <c r="L262">
        <f t="shared" si="16"/>
        <v>0</v>
      </c>
      <c r="M262">
        <f t="shared" si="17"/>
        <v>1</v>
      </c>
      <c r="N262">
        <f t="shared" si="18"/>
        <v>0</v>
      </c>
      <c r="O262" t="str">
        <f t="shared" si="19"/>
        <v>Proposta Ok</v>
      </c>
    </row>
    <row r="263" spans="1:15" ht="15" customHeight="1" x14ac:dyDescent="0.25">
      <c r="L263">
        <f t="shared" si="16"/>
        <v>0</v>
      </c>
      <c r="M263">
        <f t="shared" si="17"/>
        <v>1</v>
      </c>
      <c r="N263">
        <f t="shared" si="18"/>
        <v>0</v>
      </c>
      <c r="O263" t="str">
        <f t="shared" si="19"/>
        <v>Proposta Ok</v>
      </c>
    </row>
    <row r="264" spans="1:15" ht="15" customHeight="1" x14ac:dyDescent="0.25">
      <c r="L264">
        <f t="shared" si="16"/>
        <v>0</v>
      </c>
      <c r="M264">
        <f t="shared" si="17"/>
        <v>1</v>
      </c>
      <c r="N264">
        <f t="shared" si="18"/>
        <v>0</v>
      </c>
      <c r="O264" t="str">
        <f t="shared" si="19"/>
        <v>Proposta Ok</v>
      </c>
    </row>
    <row r="265" spans="1:15" ht="15" customHeight="1" x14ac:dyDescent="0.25">
      <c r="L265">
        <f t="shared" si="16"/>
        <v>0</v>
      </c>
      <c r="M265">
        <f t="shared" si="17"/>
        <v>1</v>
      </c>
      <c r="N265">
        <f t="shared" si="18"/>
        <v>0</v>
      </c>
      <c r="O265" t="str">
        <f t="shared" si="19"/>
        <v>Proposta Ok</v>
      </c>
    </row>
    <row r="266" spans="1:15" ht="15" customHeight="1" x14ac:dyDescent="0.25">
      <c r="A266" s="46"/>
      <c r="L266">
        <f t="shared" si="16"/>
        <v>0</v>
      </c>
      <c r="M266">
        <f t="shared" si="17"/>
        <v>1</v>
      </c>
      <c r="N266">
        <f t="shared" si="18"/>
        <v>0</v>
      </c>
      <c r="O266" t="str">
        <f t="shared" si="19"/>
        <v>Proposta Ok</v>
      </c>
    </row>
    <row r="267" spans="1:15" ht="15" customHeight="1" x14ac:dyDescent="0.25">
      <c r="L267">
        <f t="shared" si="16"/>
        <v>0</v>
      </c>
      <c r="M267">
        <f t="shared" si="17"/>
        <v>1</v>
      </c>
      <c r="N267">
        <f t="shared" si="18"/>
        <v>0</v>
      </c>
      <c r="O267" t="str">
        <f t="shared" si="19"/>
        <v>Proposta Ok</v>
      </c>
    </row>
    <row r="268" spans="1:15" ht="15" customHeight="1" x14ac:dyDescent="0.25">
      <c r="L268">
        <f t="shared" si="16"/>
        <v>0</v>
      </c>
      <c r="M268">
        <f t="shared" si="17"/>
        <v>1</v>
      </c>
      <c r="N268">
        <f t="shared" si="18"/>
        <v>0</v>
      </c>
      <c r="O268" t="str">
        <f t="shared" si="19"/>
        <v>Proposta Ok</v>
      </c>
    </row>
    <row r="269" spans="1:15" ht="15" customHeight="1" x14ac:dyDescent="0.25">
      <c r="L269">
        <f t="shared" si="16"/>
        <v>0</v>
      </c>
      <c r="M269">
        <f t="shared" si="17"/>
        <v>1</v>
      </c>
      <c r="N269">
        <f t="shared" si="18"/>
        <v>0</v>
      </c>
      <c r="O269" t="str">
        <f t="shared" si="19"/>
        <v>Proposta Ok</v>
      </c>
    </row>
    <row r="270" spans="1:15" ht="15" customHeight="1" x14ac:dyDescent="0.25">
      <c r="L270">
        <f t="shared" si="16"/>
        <v>0</v>
      </c>
      <c r="M270">
        <f t="shared" si="17"/>
        <v>1</v>
      </c>
      <c r="N270">
        <f t="shared" si="18"/>
        <v>0</v>
      </c>
      <c r="O270" t="str">
        <f t="shared" si="19"/>
        <v>Proposta Ok</v>
      </c>
    </row>
    <row r="271" spans="1:15" ht="15" customHeight="1" x14ac:dyDescent="0.25">
      <c r="L271">
        <f t="shared" si="16"/>
        <v>0</v>
      </c>
      <c r="M271">
        <f t="shared" si="17"/>
        <v>1</v>
      </c>
      <c r="N271">
        <f t="shared" si="18"/>
        <v>0</v>
      </c>
      <c r="O271" t="str">
        <f t="shared" si="19"/>
        <v>Proposta Ok</v>
      </c>
    </row>
    <row r="272" spans="1:15" ht="15" customHeight="1" x14ac:dyDescent="0.25">
      <c r="L272">
        <f t="shared" si="16"/>
        <v>0</v>
      </c>
      <c r="M272">
        <f t="shared" si="17"/>
        <v>1</v>
      </c>
      <c r="N272">
        <f t="shared" si="18"/>
        <v>0</v>
      </c>
      <c r="O272" t="str">
        <f t="shared" si="19"/>
        <v>Proposta Ok</v>
      </c>
    </row>
    <row r="273" spans="1:15" ht="15" customHeight="1" x14ac:dyDescent="0.25">
      <c r="L273">
        <f t="shared" si="16"/>
        <v>0</v>
      </c>
      <c r="M273">
        <f t="shared" si="17"/>
        <v>1</v>
      </c>
      <c r="N273">
        <f t="shared" si="18"/>
        <v>0</v>
      </c>
      <c r="O273" t="str">
        <f t="shared" si="19"/>
        <v>Proposta Ok</v>
      </c>
    </row>
    <row r="274" spans="1:15" ht="15" customHeight="1" x14ac:dyDescent="0.25">
      <c r="L274">
        <f t="shared" si="16"/>
        <v>0</v>
      </c>
      <c r="M274">
        <f t="shared" si="17"/>
        <v>1</v>
      </c>
      <c r="N274">
        <f t="shared" si="18"/>
        <v>0</v>
      </c>
      <c r="O274" t="str">
        <f t="shared" si="19"/>
        <v>Proposta Ok</v>
      </c>
    </row>
    <row r="275" spans="1:15" ht="15" customHeight="1" x14ac:dyDescent="0.25">
      <c r="A275" s="46"/>
      <c r="L275">
        <f t="shared" si="16"/>
        <v>0</v>
      </c>
      <c r="M275">
        <f t="shared" si="17"/>
        <v>1</v>
      </c>
      <c r="N275">
        <f t="shared" si="18"/>
        <v>0</v>
      </c>
      <c r="O275" t="str">
        <f t="shared" si="19"/>
        <v>Proposta Ok</v>
      </c>
    </row>
    <row r="276" spans="1:15" ht="15" customHeight="1" x14ac:dyDescent="0.25">
      <c r="A276" s="46"/>
      <c r="L276">
        <f t="shared" si="16"/>
        <v>0</v>
      </c>
      <c r="M276">
        <f t="shared" si="17"/>
        <v>1</v>
      </c>
      <c r="N276">
        <f t="shared" si="18"/>
        <v>0</v>
      </c>
      <c r="O276" t="str">
        <f t="shared" si="19"/>
        <v>Proposta Ok</v>
      </c>
    </row>
    <row r="277" spans="1:15" ht="15" customHeight="1" x14ac:dyDescent="0.25">
      <c r="L277">
        <f t="shared" si="16"/>
        <v>0</v>
      </c>
      <c r="M277">
        <f t="shared" si="17"/>
        <v>1</v>
      </c>
      <c r="N277">
        <f t="shared" si="18"/>
        <v>0</v>
      </c>
      <c r="O277" t="str">
        <f t="shared" si="19"/>
        <v>Proposta Ok</v>
      </c>
    </row>
    <row r="278" spans="1:15" ht="15" customHeight="1" x14ac:dyDescent="0.25">
      <c r="L278">
        <f t="shared" si="16"/>
        <v>0</v>
      </c>
      <c r="M278">
        <f t="shared" si="17"/>
        <v>1</v>
      </c>
      <c r="N278">
        <f t="shared" si="18"/>
        <v>0</v>
      </c>
      <c r="O278" t="str">
        <f t="shared" si="19"/>
        <v>Proposta Ok</v>
      </c>
    </row>
    <row r="279" spans="1:15" ht="15" customHeight="1" x14ac:dyDescent="0.25">
      <c r="L279">
        <f t="shared" si="16"/>
        <v>0</v>
      </c>
      <c r="M279">
        <f t="shared" si="17"/>
        <v>1</v>
      </c>
      <c r="N279">
        <f t="shared" si="18"/>
        <v>0</v>
      </c>
      <c r="O279" t="str">
        <f t="shared" si="19"/>
        <v>Proposta Ok</v>
      </c>
    </row>
    <row r="280" spans="1:15" ht="15" customHeight="1" x14ac:dyDescent="0.25">
      <c r="L280">
        <f t="shared" si="16"/>
        <v>0</v>
      </c>
      <c r="M280">
        <f t="shared" si="17"/>
        <v>1</v>
      </c>
      <c r="N280">
        <f t="shared" si="18"/>
        <v>0</v>
      </c>
      <c r="O280" t="str">
        <f t="shared" si="19"/>
        <v>Proposta Ok</v>
      </c>
    </row>
    <row r="281" spans="1:15" ht="15" customHeight="1" x14ac:dyDescent="0.25">
      <c r="L281">
        <f t="shared" si="16"/>
        <v>0</v>
      </c>
      <c r="M281">
        <f t="shared" si="17"/>
        <v>1</v>
      </c>
      <c r="N281">
        <f t="shared" si="18"/>
        <v>0</v>
      </c>
      <c r="O281" t="str">
        <f t="shared" si="19"/>
        <v>Proposta Ok</v>
      </c>
    </row>
    <row r="282" spans="1:15" ht="15" customHeight="1" x14ac:dyDescent="0.25">
      <c r="L282">
        <f t="shared" si="16"/>
        <v>0</v>
      </c>
      <c r="M282">
        <f t="shared" si="17"/>
        <v>1</v>
      </c>
      <c r="N282">
        <f t="shared" si="18"/>
        <v>0</v>
      </c>
      <c r="O282" t="str">
        <f t="shared" si="19"/>
        <v>Proposta Ok</v>
      </c>
    </row>
    <row r="283" spans="1:15" ht="15" customHeight="1" x14ac:dyDescent="0.25">
      <c r="L283">
        <f t="shared" si="16"/>
        <v>0</v>
      </c>
      <c r="M283">
        <f t="shared" si="17"/>
        <v>1</v>
      </c>
      <c r="N283">
        <f t="shared" si="18"/>
        <v>0</v>
      </c>
      <c r="O283" t="str">
        <f t="shared" si="19"/>
        <v>Proposta Ok</v>
      </c>
    </row>
    <row r="284" spans="1:15" ht="15" customHeight="1" x14ac:dyDescent="0.25">
      <c r="L284">
        <f t="shared" si="16"/>
        <v>0</v>
      </c>
      <c r="M284">
        <f t="shared" si="17"/>
        <v>1</v>
      </c>
      <c r="N284">
        <f t="shared" si="18"/>
        <v>0</v>
      </c>
      <c r="O284" t="str">
        <f t="shared" si="19"/>
        <v>Proposta Ok</v>
      </c>
    </row>
    <row r="285" spans="1:15" x14ac:dyDescent="0.25">
      <c r="L285">
        <f t="shared" si="16"/>
        <v>0</v>
      </c>
      <c r="M285">
        <f t="shared" si="17"/>
        <v>1</v>
      </c>
      <c r="N285">
        <f t="shared" si="18"/>
        <v>0</v>
      </c>
      <c r="O285" t="str">
        <f t="shared" si="19"/>
        <v>Proposta Ok</v>
      </c>
    </row>
    <row r="286" spans="1:15" x14ac:dyDescent="0.25">
      <c r="L286">
        <f t="shared" si="16"/>
        <v>0</v>
      </c>
      <c r="M286">
        <f t="shared" si="17"/>
        <v>1</v>
      </c>
      <c r="N286">
        <f t="shared" si="18"/>
        <v>0</v>
      </c>
      <c r="O286" t="str">
        <f t="shared" si="19"/>
        <v>Proposta Ok</v>
      </c>
    </row>
    <row r="287" spans="1:15" x14ac:dyDescent="0.25">
      <c r="L287">
        <f t="shared" si="16"/>
        <v>0</v>
      </c>
      <c r="M287">
        <f t="shared" si="17"/>
        <v>1</v>
      </c>
      <c r="N287">
        <f t="shared" si="18"/>
        <v>0</v>
      </c>
      <c r="O287" t="str">
        <f t="shared" si="19"/>
        <v>Proposta Ok</v>
      </c>
    </row>
    <row r="288" spans="1:15" x14ac:dyDescent="0.25">
      <c r="L288">
        <f t="shared" si="16"/>
        <v>0</v>
      </c>
      <c r="M288">
        <f t="shared" si="17"/>
        <v>1</v>
      </c>
      <c r="N288">
        <f t="shared" si="18"/>
        <v>0</v>
      </c>
      <c r="O288" t="str">
        <f t="shared" si="19"/>
        <v>Proposta Ok</v>
      </c>
    </row>
    <row r="289" spans="1:15" x14ac:dyDescent="0.25">
      <c r="L289">
        <f t="shared" si="16"/>
        <v>0</v>
      </c>
      <c r="M289">
        <f t="shared" si="17"/>
        <v>1</v>
      </c>
      <c r="N289">
        <f t="shared" si="18"/>
        <v>0</v>
      </c>
      <c r="O289" t="str">
        <f t="shared" si="19"/>
        <v>Proposta Ok</v>
      </c>
    </row>
    <row r="290" spans="1:15" x14ac:dyDescent="0.25">
      <c r="L290">
        <f t="shared" si="16"/>
        <v>0</v>
      </c>
      <c r="M290">
        <f t="shared" si="17"/>
        <v>1</v>
      </c>
      <c r="N290">
        <f t="shared" si="18"/>
        <v>0</v>
      </c>
      <c r="O290" t="str">
        <f t="shared" si="19"/>
        <v>Proposta Ok</v>
      </c>
    </row>
    <row r="291" spans="1:15" x14ac:dyDescent="0.25">
      <c r="L291">
        <f t="shared" si="16"/>
        <v>0</v>
      </c>
      <c r="M291">
        <f t="shared" si="17"/>
        <v>1</v>
      </c>
      <c r="N291">
        <f t="shared" si="18"/>
        <v>0</v>
      </c>
      <c r="O291" t="str">
        <f t="shared" si="19"/>
        <v>Proposta Ok</v>
      </c>
    </row>
    <row r="292" spans="1:15" x14ac:dyDescent="0.25">
      <c r="L292">
        <f t="shared" si="16"/>
        <v>0</v>
      </c>
      <c r="M292">
        <f t="shared" si="17"/>
        <v>1</v>
      </c>
      <c r="N292">
        <f t="shared" si="18"/>
        <v>0</v>
      </c>
      <c r="O292" t="str">
        <f t="shared" si="19"/>
        <v>Proposta Ok</v>
      </c>
    </row>
    <row r="293" spans="1:15" x14ac:dyDescent="0.25">
      <c r="A293" s="46"/>
      <c r="L293">
        <f t="shared" si="16"/>
        <v>0</v>
      </c>
      <c r="M293">
        <f t="shared" si="17"/>
        <v>1</v>
      </c>
      <c r="N293">
        <f t="shared" si="18"/>
        <v>0</v>
      </c>
      <c r="O293" t="str">
        <f t="shared" si="19"/>
        <v>Proposta Ok</v>
      </c>
    </row>
    <row r="294" spans="1:15" x14ac:dyDescent="0.25">
      <c r="L294">
        <f t="shared" si="16"/>
        <v>0</v>
      </c>
      <c r="M294">
        <f t="shared" si="17"/>
        <v>1</v>
      </c>
      <c r="N294">
        <f t="shared" si="18"/>
        <v>0</v>
      </c>
      <c r="O294" t="str">
        <f t="shared" si="19"/>
        <v>Proposta Ok</v>
      </c>
    </row>
    <row r="295" spans="1:15" x14ac:dyDescent="0.25">
      <c r="L295">
        <f t="shared" si="16"/>
        <v>0</v>
      </c>
      <c r="M295">
        <f t="shared" si="17"/>
        <v>1</v>
      </c>
      <c r="N295">
        <f t="shared" si="18"/>
        <v>0</v>
      </c>
      <c r="O295" t="str">
        <f t="shared" si="19"/>
        <v>Proposta Ok</v>
      </c>
    </row>
    <row r="296" spans="1:15" x14ac:dyDescent="0.25">
      <c r="L296">
        <f t="shared" si="16"/>
        <v>0</v>
      </c>
      <c r="M296">
        <f t="shared" si="17"/>
        <v>1</v>
      </c>
      <c r="N296">
        <f t="shared" si="18"/>
        <v>0</v>
      </c>
      <c r="O296" t="str">
        <f t="shared" si="19"/>
        <v>Proposta Ok</v>
      </c>
    </row>
    <row r="297" spans="1:15" x14ac:dyDescent="0.25">
      <c r="L297">
        <f t="shared" si="16"/>
        <v>0</v>
      </c>
      <c r="M297">
        <f t="shared" si="17"/>
        <v>1</v>
      </c>
      <c r="N297">
        <f t="shared" si="18"/>
        <v>0</v>
      </c>
      <c r="O297" t="str">
        <f t="shared" si="19"/>
        <v>Proposta Ok</v>
      </c>
    </row>
    <row r="298" spans="1:15" x14ac:dyDescent="0.25">
      <c r="L298">
        <f t="shared" si="16"/>
        <v>0</v>
      </c>
      <c r="M298">
        <f t="shared" si="17"/>
        <v>1</v>
      </c>
      <c r="N298">
        <f t="shared" si="18"/>
        <v>0</v>
      </c>
      <c r="O298" t="str">
        <f t="shared" si="19"/>
        <v>Proposta Ok</v>
      </c>
    </row>
    <row r="299" spans="1:15" x14ac:dyDescent="0.25">
      <c r="L299">
        <f t="shared" si="16"/>
        <v>0</v>
      </c>
      <c r="M299">
        <f t="shared" si="17"/>
        <v>1</v>
      </c>
      <c r="N299">
        <f t="shared" si="18"/>
        <v>0</v>
      </c>
      <c r="O299" t="str">
        <f t="shared" si="19"/>
        <v>Proposta Ok</v>
      </c>
    </row>
    <row r="300" spans="1:15" x14ac:dyDescent="0.25">
      <c r="A300" s="46"/>
      <c r="L300">
        <f t="shared" si="16"/>
        <v>0</v>
      </c>
      <c r="M300">
        <f t="shared" si="17"/>
        <v>1</v>
      </c>
      <c r="N300">
        <f t="shared" si="18"/>
        <v>0</v>
      </c>
      <c r="O300" t="str">
        <f t="shared" si="19"/>
        <v>Proposta Ok</v>
      </c>
    </row>
    <row r="301" spans="1:15" x14ac:dyDescent="0.25">
      <c r="L301">
        <f t="shared" si="16"/>
        <v>0</v>
      </c>
      <c r="M301">
        <f t="shared" si="17"/>
        <v>1</v>
      </c>
      <c r="N301">
        <f t="shared" si="18"/>
        <v>0</v>
      </c>
      <c r="O301" t="str">
        <f t="shared" si="19"/>
        <v>Proposta Ok</v>
      </c>
    </row>
    <row r="302" spans="1:15" x14ac:dyDescent="0.25">
      <c r="L302">
        <f t="shared" si="16"/>
        <v>0</v>
      </c>
      <c r="M302">
        <f t="shared" si="17"/>
        <v>1</v>
      </c>
      <c r="N302">
        <f t="shared" si="18"/>
        <v>0</v>
      </c>
      <c r="O302" t="str">
        <f t="shared" si="19"/>
        <v>Proposta Ok</v>
      </c>
    </row>
    <row r="303" spans="1:15" x14ac:dyDescent="0.25">
      <c r="L303">
        <f t="shared" si="16"/>
        <v>0</v>
      </c>
      <c r="M303">
        <f t="shared" si="17"/>
        <v>1</v>
      </c>
      <c r="N303">
        <f t="shared" si="18"/>
        <v>0</v>
      </c>
      <c r="O303" t="str">
        <f t="shared" si="19"/>
        <v>Proposta Ok</v>
      </c>
    </row>
    <row r="304" spans="1:15" x14ac:dyDescent="0.25">
      <c r="L304">
        <f t="shared" si="16"/>
        <v>0</v>
      </c>
      <c r="M304">
        <f t="shared" si="17"/>
        <v>1</v>
      </c>
      <c r="N304">
        <f t="shared" si="18"/>
        <v>0</v>
      </c>
      <c r="O304" t="str">
        <f t="shared" si="19"/>
        <v>Proposta Ok</v>
      </c>
    </row>
    <row r="305" spans="1:15" x14ac:dyDescent="0.25">
      <c r="L305">
        <f t="shared" si="16"/>
        <v>0</v>
      </c>
      <c r="M305">
        <f t="shared" si="17"/>
        <v>1</v>
      </c>
      <c r="N305">
        <f t="shared" si="18"/>
        <v>0</v>
      </c>
      <c r="O305" t="str">
        <f t="shared" si="19"/>
        <v>Proposta Ok</v>
      </c>
    </row>
    <row r="306" spans="1:15" x14ac:dyDescent="0.25">
      <c r="L306">
        <f t="shared" si="16"/>
        <v>0</v>
      </c>
      <c r="M306">
        <f t="shared" si="17"/>
        <v>1</v>
      </c>
      <c r="N306">
        <f t="shared" si="18"/>
        <v>0</v>
      </c>
      <c r="O306" t="str">
        <f t="shared" si="19"/>
        <v>Proposta Ok</v>
      </c>
    </row>
    <row r="307" spans="1:15" x14ac:dyDescent="0.25">
      <c r="A307" s="46"/>
      <c r="L307">
        <f t="shared" si="16"/>
        <v>0</v>
      </c>
      <c r="M307">
        <f t="shared" si="17"/>
        <v>1</v>
      </c>
      <c r="N307">
        <f t="shared" si="18"/>
        <v>0</v>
      </c>
      <c r="O307" t="str">
        <f t="shared" si="19"/>
        <v>Proposta Ok</v>
      </c>
    </row>
    <row r="308" spans="1:15" x14ac:dyDescent="0.25">
      <c r="L308">
        <f t="shared" si="16"/>
        <v>0</v>
      </c>
      <c r="M308">
        <f t="shared" si="17"/>
        <v>1</v>
      </c>
      <c r="N308">
        <f t="shared" si="18"/>
        <v>0</v>
      </c>
      <c r="O308" t="str">
        <f t="shared" si="19"/>
        <v>Proposta Ok</v>
      </c>
    </row>
    <row r="309" spans="1:15" x14ac:dyDescent="0.25">
      <c r="L309">
        <f t="shared" si="16"/>
        <v>0</v>
      </c>
      <c r="M309">
        <f t="shared" si="17"/>
        <v>1</v>
      </c>
      <c r="N309">
        <f t="shared" si="18"/>
        <v>0</v>
      </c>
      <c r="O309" t="str">
        <f t="shared" si="19"/>
        <v>Proposta Ok</v>
      </c>
    </row>
    <row r="310" spans="1:15" x14ac:dyDescent="0.25">
      <c r="L310">
        <f t="shared" si="16"/>
        <v>0</v>
      </c>
      <c r="M310">
        <f t="shared" si="17"/>
        <v>1</v>
      </c>
      <c r="N310">
        <f t="shared" si="18"/>
        <v>0</v>
      </c>
      <c r="O310" t="str">
        <f t="shared" si="19"/>
        <v>Proposta Ok</v>
      </c>
    </row>
    <row r="311" spans="1:15" x14ac:dyDescent="0.25">
      <c r="L311">
        <f t="shared" si="16"/>
        <v>0</v>
      </c>
      <c r="M311">
        <f t="shared" si="17"/>
        <v>1</v>
      </c>
      <c r="N311">
        <f t="shared" si="18"/>
        <v>0</v>
      </c>
      <c r="O311" t="str">
        <f t="shared" si="19"/>
        <v>Proposta Ok</v>
      </c>
    </row>
    <row r="312" spans="1:15" x14ac:dyDescent="0.25">
      <c r="L312">
        <f t="shared" si="16"/>
        <v>0</v>
      </c>
      <c r="M312">
        <f t="shared" si="17"/>
        <v>1</v>
      </c>
      <c r="N312">
        <f t="shared" si="18"/>
        <v>0</v>
      </c>
      <c r="O312" t="str">
        <f t="shared" si="19"/>
        <v>Proposta Ok</v>
      </c>
    </row>
    <row r="313" spans="1:15" x14ac:dyDescent="0.25">
      <c r="L313">
        <f t="shared" si="16"/>
        <v>0</v>
      </c>
      <c r="M313">
        <f t="shared" si="17"/>
        <v>1</v>
      </c>
      <c r="N313">
        <f t="shared" si="18"/>
        <v>0</v>
      </c>
      <c r="O313" t="str">
        <f t="shared" si="19"/>
        <v>Proposta Ok</v>
      </c>
    </row>
    <row r="314" spans="1:15" x14ac:dyDescent="0.25">
      <c r="L314">
        <f t="shared" si="16"/>
        <v>0</v>
      </c>
      <c r="M314">
        <f t="shared" si="17"/>
        <v>1</v>
      </c>
      <c r="N314">
        <f t="shared" si="18"/>
        <v>0</v>
      </c>
      <c r="O314" t="str">
        <f t="shared" si="19"/>
        <v>Proposta Ok</v>
      </c>
    </row>
    <row r="315" spans="1:15" x14ac:dyDescent="0.25">
      <c r="L315">
        <f t="shared" si="16"/>
        <v>0</v>
      </c>
      <c r="M315">
        <f t="shared" si="17"/>
        <v>1</v>
      </c>
      <c r="N315">
        <f t="shared" si="18"/>
        <v>0</v>
      </c>
      <c r="O315" t="str">
        <f t="shared" si="19"/>
        <v>Proposta Ok</v>
      </c>
    </row>
    <row r="316" spans="1:15" x14ac:dyDescent="0.25">
      <c r="L316">
        <f t="shared" si="16"/>
        <v>0</v>
      </c>
      <c r="M316">
        <f t="shared" si="17"/>
        <v>1</v>
      </c>
      <c r="N316">
        <f t="shared" si="18"/>
        <v>0</v>
      </c>
      <c r="O316" t="str">
        <f t="shared" si="19"/>
        <v>Proposta Ok</v>
      </c>
    </row>
    <row r="317" spans="1:15" x14ac:dyDescent="0.25">
      <c r="L317">
        <f t="shared" si="16"/>
        <v>0</v>
      </c>
      <c r="M317">
        <f t="shared" si="17"/>
        <v>1</v>
      </c>
      <c r="N317">
        <f t="shared" si="18"/>
        <v>0</v>
      </c>
      <c r="O317" t="str">
        <f t="shared" si="19"/>
        <v>Proposta Ok</v>
      </c>
    </row>
    <row r="318" spans="1:15" x14ac:dyDescent="0.25">
      <c r="L318">
        <f t="shared" si="16"/>
        <v>0</v>
      </c>
      <c r="M318">
        <f t="shared" si="17"/>
        <v>1</v>
      </c>
      <c r="N318">
        <f t="shared" si="18"/>
        <v>0</v>
      </c>
      <c r="O318" t="str">
        <f t="shared" si="19"/>
        <v>Proposta Ok</v>
      </c>
    </row>
    <row r="319" spans="1:15" x14ac:dyDescent="0.25">
      <c r="L319">
        <f t="shared" ref="L319:L381" si="20">IF(OR(I319="Termo OK (Exceção)",I319="Termo OK"),1,0)</f>
        <v>0</v>
      </c>
      <c r="M319">
        <f t="shared" ref="M319:M381" si="21">IF(OR(I319="Termo OK (Exceção)",I319="Termo OK"),0,1)</f>
        <v>1</v>
      </c>
      <c r="N319">
        <f t="shared" ref="N319:N381" si="22">IF(J319="SIM",1,0)</f>
        <v>0</v>
      </c>
      <c r="O319" t="str">
        <f t="shared" si="19"/>
        <v>Proposta Ok</v>
      </c>
    </row>
    <row r="320" spans="1:15" x14ac:dyDescent="0.25">
      <c r="L320">
        <f t="shared" si="20"/>
        <v>0</v>
      </c>
      <c r="M320">
        <f t="shared" si="21"/>
        <v>1</v>
      </c>
      <c r="N320">
        <f t="shared" si="22"/>
        <v>0</v>
      </c>
      <c r="O320" t="str">
        <f t="shared" si="19"/>
        <v>Proposta Ok</v>
      </c>
    </row>
    <row r="321" spans="1:15" x14ac:dyDescent="0.25">
      <c r="L321">
        <f t="shared" si="20"/>
        <v>0</v>
      </c>
      <c r="M321">
        <f t="shared" si="21"/>
        <v>1</v>
      </c>
      <c r="N321">
        <f t="shared" si="22"/>
        <v>0</v>
      </c>
      <c r="O321" t="str">
        <f t="shared" si="19"/>
        <v>Proposta Ok</v>
      </c>
    </row>
    <row r="322" spans="1:15" x14ac:dyDescent="0.25">
      <c r="L322">
        <f t="shared" si="20"/>
        <v>0</v>
      </c>
      <c r="M322">
        <f t="shared" si="21"/>
        <v>1</v>
      </c>
      <c r="N322">
        <f t="shared" si="22"/>
        <v>0</v>
      </c>
      <c r="O322" t="str">
        <f t="shared" si="19"/>
        <v>Proposta Ok</v>
      </c>
    </row>
    <row r="323" spans="1:15" x14ac:dyDescent="0.25">
      <c r="L323">
        <f t="shared" si="20"/>
        <v>0</v>
      </c>
      <c r="M323">
        <f t="shared" si="21"/>
        <v>1</v>
      </c>
      <c r="N323">
        <f t="shared" si="22"/>
        <v>0</v>
      </c>
      <c r="O323" t="str">
        <f t="shared" ref="O323:O386" si="23">IF(SUMIFS(M:M,A:A,A323)&gt;0,"Proposta não Ok","Proposta Ok")</f>
        <v>Proposta Ok</v>
      </c>
    </row>
    <row r="324" spans="1:15" x14ac:dyDescent="0.25">
      <c r="L324">
        <f t="shared" si="20"/>
        <v>0</v>
      </c>
      <c r="M324">
        <f t="shared" si="21"/>
        <v>1</v>
      </c>
      <c r="N324">
        <f t="shared" si="22"/>
        <v>0</v>
      </c>
      <c r="O324" t="str">
        <f t="shared" si="23"/>
        <v>Proposta Ok</v>
      </c>
    </row>
    <row r="325" spans="1:15" x14ac:dyDescent="0.25">
      <c r="L325">
        <f t="shared" si="20"/>
        <v>0</v>
      </c>
      <c r="M325">
        <f t="shared" si="21"/>
        <v>1</v>
      </c>
      <c r="N325">
        <f t="shared" si="22"/>
        <v>0</v>
      </c>
      <c r="O325" t="str">
        <f t="shared" si="23"/>
        <v>Proposta Ok</v>
      </c>
    </row>
    <row r="326" spans="1:15" x14ac:dyDescent="0.25">
      <c r="L326">
        <f t="shared" si="20"/>
        <v>0</v>
      </c>
      <c r="M326">
        <f t="shared" si="21"/>
        <v>1</v>
      </c>
      <c r="N326">
        <f t="shared" si="22"/>
        <v>0</v>
      </c>
      <c r="O326" t="str">
        <f t="shared" si="23"/>
        <v>Proposta Ok</v>
      </c>
    </row>
    <row r="327" spans="1:15" x14ac:dyDescent="0.25">
      <c r="L327">
        <f t="shared" si="20"/>
        <v>0</v>
      </c>
      <c r="M327">
        <f t="shared" si="21"/>
        <v>1</v>
      </c>
      <c r="N327">
        <f t="shared" si="22"/>
        <v>0</v>
      </c>
      <c r="O327" t="str">
        <f t="shared" si="23"/>
        <v>Proposta Ok</v>
      </c>
    </row>
    <row r="328" spans="1:15" x14ac:dyDescent="0.25">
      <c r="L328">
        <f t="shared" si="20"/>
        <v>0</v>
      </c>
      <c r="M328">
        <f t="shared" si="21"/>
        <v>1</v>
      </c>
      <c r="N328">
        <f t="shared" si="22"/>
        <v>0</v>
      </c>
      <c r="O328" t="str">
        <f t="shared" si="23"/>
        <v>Proposta Ok</v>
      </c>
    </row>
    <row r="329" spans="1:15" x14ac:dyDescent="0.25">
      <c r="L329">
        <f t="shared" si="20"/>
        <v>0</v>
      </c>
      <c r="M329">
        <f t="shared" si="21"/>
        <v>1</v>
      </c>
      <c r="N329">
        <f t="shared" si="22"/>
        <v>0</v>
      </c>
      <c r="O329" t="str">
        <f t="shared" si="23"/>
        <v>Proposta Ok</v>
      </c>
    </row>
    <row r="330" spans="1:15" x14ac:dyDescent="0.25">
      <c r="L330">
        <f t="shared" si="20"/>
        <v>0</v>
      </c>
      <c r="M330">
        <f t="shared" si="21"/>
        <v>1</v>
      </c>
      <c r="N330">
        <f t="shared" si="22"/>
        <v>0</v>
      </c>
      <c r="O330" t="str">
        <f t="shared" si="23"/>
        <v>Proposta Ok</v>
      </c>
    </row>
    <row r="331" spans="1:15" x14ac:dyDescent="0.25">
      <c r="A331" s="46"/>
      <c r="L331">
        <f t="shared" si="20"/>
        <v>0</v>
      </c>
      <c r="M331">
        <f t="shared" si="21"/>
        <v>1</v>
      </c>
      <c r="N331">
        <f t="shared" si="22"/>
        <v>0</v>
      </c>
      <c r="O331" t="str">
        <f t="shared" si="23"/>
        <v>Proposta Ok</v>
      </c>
    </row>
    <row r="332" spans="1:15" x14ac:dyDescent="0.25">
      <c r="L332">
        <f t="shared" si="20"/>
        <v>0</v>
      </c>
      <c r="M332">
        <f t="shared" si="21"/>
        <v>1</v>
      </c>
      <c r="N332">
        <f t="shared" si="22"/>
        <v>0</v>
      </c>
      <c r="O332" t="str">
        <f t="shared" si="23"/>
        <v>Proposta Ok</v>
      </c>
    </row>
    <row r="333" spans="1:15" x14ac:dyDescent="0.25">
      <c r="L333">
        <f t="shared" si="20"/>
        <v>0</v>
      </c>
      <c r="M333">
        <f t="shared" si="21"/>
        <v>1</v>
      </c>
      <c r="N333">
        <f t="shared" si="22"/>
        <v>0</v>
      </c>
      <c r="O333" t="str">
        <f t="shared" si="23"/>
        <v>Proposta Ok</v>
      </c>
    </row>
    <row r="334" spans="1:15" x14ac:dyDescent="0.25">
      <c r="D334" s="46"/>
      <c r="L334">
        <f t="shared" si="20"/>
        <v>0</v>
      </c>
      <c r="M334">
        <f t="shared" si="21"/>
        <v>1</v>
      </c>
      <c r="N334">
        <f t="shared" si="22"/>
        <v>0</v>
      </c>
      <c r="O334" t="str">
        <f t="shared" si="23"/>
        <v>Proposta Ok</v>
      </c>
    </row>
    <row r="335" spans="1:15" x14ac:dyDescent="0.25">
      <c r="L335">
        <f t="shared" si="20"/>
        <v>0</v>
      </c>
      <c r="M335">
        <f t="shared" si="21"/>
        <v>1</v>
      </c>
      <c r="N335">
        <f t="shared" si="22"/>
        <v>0</v>
      </c>
      <c r="O335" t="str">
        <f t="shared" si="23"/>
        <v>Proposta Ok</v>
      </c>
    </row>
    <row r="336" spans="1:15" x14ac:dyDescent="0.25">
      <c r="L336">
        <f t="shared" si="20"/>
        <v>0</v>
      </c>
      <c r="M336">
        <f t="shared" si="21"/>
        <v>1</v>
      </c>
      <c r="N336">
        <f t="shared" si="22"/>
        <v>0</v>
      </c>
      <c r="O336" t="str">
        <f t="shared" si="23"/>
        <v>Proposta Ok</v>
      </c>
    </row>
    <row r="337" spans="12:15" x14ac:dyDescent="0.25">
      <c r="L337">
        <f t="shared" si="20"/>
        <v>0</v>
      </c>
      <c r="M337">
        <f t="shared" si="21"/>
        <v>1</v>
      </c>
      <c r="N337">
        <f t="shared" si="22"/>
        <v>0</v>
      </c>
      <c r="O337" t="str">
        <f t="shared" si="23"/>
        <v>Proposta Ok</v>
      </c>
    </row>
    <row r="338" spans="12:15" x14ac:dyDescent="0.25">
      <c r="L338">
        <f t="shared" si="20"/>
        <v>0</v>
      </c>
      <c r="M338">
        <f t="shared" si="21"/>
        <v>1</v>
      </c>
      <c r="N338">
        <f t="shared" si="22"/>
        <v>0</v>
      </c>
      <c r="O338" t="str">
        <f t="shared" si="23"/>
        <v>Proposta Ok</v>
      </c>
    </row>
    <row r="339" spans="12:15" x14ac:dyDescent="0.25">
      <c r="L339">
        <f t="shared" si="20"/>
        <v>0</v>
      </c>
      <c r="M339">
        <f t="shared" si="21"/>
        <v>1</v>
      </c>
      <c r="N339">
        <f t="shared" si="22"/>
        <v>0</v>
      </c>
      <c r="O339" t="str">
        <f t="shared" si="23"/>
        <v>Proposta Ok</v>
      </c>
    </row>
    <row r="340" spans="12:15" x14ac:dyDescent="0.25">
      <c r="L340">
        <f t="shared" si="20"/>
        <v>0</v>
      </c>
      <c r="M340">
        <f t="shared" si="21"/>
        <v>1</v>
      </c>
      <c r="N340">
        <f t="shared" si="22"/>
        <v>0</v>
      </c>
      <c r="O340" t="str">
        <f t="shared" si="23"/>
        <v>Proposta Ok</v>
      </c>
    </row>
    <row r="341" spans="12:15" x14ac:dyDescent="0.25">
      <c r="L341">
        <f t="shared" si="20"/>
        <v>0</v>
      </c>
      <c r="M341">
        <f t="shared" si="21"/>
        <v>1</v>
      </c>
      <c r="N341">
        <f t="shared" si="22"/>
        <v>0</v>
      </c>
      <c r="O341" t="str">
        <f t="shared" si="23"/>
        <v>Proposta Ok</v>
      </c>
    </row>
    <row r="342" spans="12:15" x14ac:dyDescent="0.25">
      <c r="L342">
        <f t="shared" si="20"/>
        <v>0</v>
      </c>
      <c r="M342">
        <f t="shared" si="21"/>
        <v>1</v>
      </c>
      <c r="N342">
        <f t="shared" si="22"/>
        <v>0</v>
      </c>
      <c r="O342" t="str">
        <f t="shared" si="23"/>
        <v>Proposta Ok</v>
      </c>
    </row>
    <row r="343" spans="12:15" x14ac:dyDescent="0.25">
      <c r="L343">
        <f t="shared" si="20"/>
        <v>0</v>
      </c>
      <c r="M343">
        <f t="shared" si="21"/>
        <v>1</v>
      </c>
      <c r="N343">
        <f t="shared" si="22"/>
        <v>0</v>
      </c>
      <c r="O343" t="str">
        <f t="shared" si="23"/>
        <v>Proposta Ok</v>
      </c>
    </row>
    <row r="344" spans="12:15" x14ac:dyDescent="0.25">
      <c r="L344">
        <f t="shared" si="20"/>
        <v>0</v>
      </c>
      <c r="M344">
        <f t="shared" si="21"/>
        <v>1</v>
      </c>
      <c r="N344">
        <f t="shared" si="22"/>
        <v>0</v>
      </c>
      <c r="O344" t="str">
        <f t="shared" si="23"/>
        <v>Proposta Ok</v>
      </c>
    </row>
    <row r="345" spans="12:15" x14ac:dyDescent="0.25">
      <c r="L345">
        <f t="shared" si="20"/>
        <v>0</v>
      </c>
      <c r="M345">
        <f t="shared" si="21"/>
        <v>1</v>
      </c>
      <c r="N345">
        <f t="shared" si="22"/>
        <v>0</v>
      </c>
      <c r="O345" t="str">
        <f t="shared" si="23"/>
        <v>Proposta Ok</v>
      </c>
    </row>
    <row r="346" spans="12:15" x14ac:dyDescent="0.25">
      <c r="L346">
        <f t="shared" si="20"/>
        <v>0</v>
      </c>
      <c r="M346">
        <f t="shared" si="21"/>
        <v>1</v>
      </c>
      <c r="N346">
        <f t="shared" si="22"/>
        <v>0</v>
      </c>
      <c r="O346" t="str">
        <f t="shared" si="23"/>
        <v>Proposta Ok</v>
      </c>
    </row>
    <row r="347" spans="12:15" x14ac:dyDescent="0.25">
      <c r="L347">
        <f t="shared" si="20"/>
        <v>0</v>
      </c>
      <c r="M347">
        <f t="shared" si="21"/>
        <v>1</v>
      </c>
      <c r="N347">
        <f t="shared" si="22"/>
        <v>0</v>
      </c>
      <c r="O347" t="str">
        <f t="shared" si="23"/>
        <v>Proposta Ok</v>
      </c>
    </row>
    <row r="348" spans="12:15" x14ac:dyDescent="0.25">
      <c r="L348">
        <f t="shared" si="20"/>
        <v>0</v>
      </c>
      <c r="M348">
        <f t="shared" si="21"/>
        <v>1</v>
      </c>
      <c r="N348">
        <f t="shared" si="22"/>
        <v>0</v>
      </c>
      <c r="O348" t="str">
        <f t="shared" si="23"/>
        <v>Proposta Ok</v>
      </c>
    </row>
    <row r="349" spans="12:15" x14ac:dyDescent="0.25">
      <c r="L349">
        <f t="shared" si="20"/>
        <v>0</v>
      </c>
      <c r="M349">
        <f t="shared" si="21"/>
        <v>1</v>
      </c>
      <c r="N349">
        <f t="shared" si="22"/>
        <v>0</v>
      </c>
      <c r="O349" t="str">
        <f t="shared" si="23"/>
        <v>Proposta Ok</v>
      </c>
    </row>
    <row r="350" spans="12:15" x14ac:dyDescent="0.25">
      <c r="L350">
        <f t="shared" si="20"/>
        <v>0</v>
      </c>
      <c r="M350">
        <f t="shared" si="21"/>
        <v>1</v>
      </c>
      <c r="N350">
        <f t="shared" si="22"/>
        <v>0</v>
      </c>
      <c r="O350" t="str">
        <f t="shared" si="23"/>
        <v>Proposta Ok</v>
      </c>
    </row>
    <row r="351" spans="12:15" x14ac:dyDescent="0.25">
      <c r="L351">
        <f t="shared" si="20"/>
        <v>0</v>
      </c>
      <c r="M351">
        <f t="shared" si="21"/>
        <v>1</v>
      </c>
      <c r="N351">
        <f t="shared" si="22"/>
        <v>0</v>
      </c>
      <c r="O351" t="str">
        <f t="shared" si="23"/>
        <v>Proposta Ok</v>
      </c>
    </row>
    <row r="352" spans="12:15" x14ac:dyDescent="0.25">
      <c r="L352">
        <f t="shared" si="20"/>
        <v>0</v>
      </c>
      <c r="M352">
        <f t="shared" si="21"/>
        <v>1</v>
      </c>
      <c r="N352">
        <f t="shared" si="22"/>
        <v>0</v>
      </c>
      <c r="O352" t="str">
        <f t="shared" si="23"/>
        <v>Proposta Ok</v>
      </c>
    </row>
    <row r="353" spans="12:15" x14ac:dyDescent="0.25">
      <c r="L353">
        <f t="shared" si="20"/>
        <v>0</v>
      </c>
      <c r="M353">
        <f t="shared" si="21"/>
        <v>1</v>
      </c>
      <c r="N353">
        <f t="shared" si="22"/>
        <v>0</v>
      </c>
      <c r="O353" t="str">
        <f t="shared" si="23"/>
        <v>Proposta Ok</v>
      </c>
    </row>
    <row r="354" spans="12:15" x14ac:dyDescent="0.25">
      <c r="L354">
        <f t="shared" si="20"/>
        <v>0</v>
      </c>
      <c r="M354">
        <f t="shared" si="21"/>
        <v>1</v>
      </c>
      <c r="N354">
        <f t="shared" si="22"/>
        <v>0</v>
      </c>
      <c r="O354" t="str">
        <f t="shared" si="23"/>
        <v>Proposta Ok</v>
      </c>
    </row>
    <row r="355" spans="12:15" x14ac:dyDescent="0.25">
      <c r="L355">
        <f t="shared" si="20"/>
        <v>0</v>
      </c>
      <c r="M355">
        <f t="shared" si="21"/>
        <v>1</v>
      </c>
      <c r="N355">
        <f t="shared" si="22"/>
        <v>0</v>
      </c>
      <c r="O355" t="str">
        <f t="shared" si="23"/>
        <v>Proposta Ok</v>
      </c>
    </row>
    <row r="356" spans="12:15" x14ac:dyDescent="0.25">
      <c r="L356">
        <f t="shared" si="20"/>
        <v>0</v>
      </c>
      <c r="M356">
        <f t="shared" si="21"/>
        <v>1</v>
      </c>
      <c r="N356">
        <f t="shared" si="22"/>
        <v>0</v>
      </c>
      <c r="O356" t="str">
        <f t="shared" si="23"/>
        <v>Proposta Ok</v>
      </c>
    </row>
    <row r="357" spans="12:15" x14ac:dyDescent="0.25">
      <c r="L357">
        <f t="shared" si="20"/>
        <v>0</v>
      </c>
      <c r="M357">
        <f t="shared" si="21"/>
        <v>1</v>
      </c>
      <c r="N357">
        <f t="shared" si="22"/>
        <v>0</v>
      </c>
      <c r="O357" t="str">
        <f t="shared" si="23"/>
        <v>Proposta Ok</v>
      </c>
    </row>
    <row r="358" spans="12:15" x14ac:dyDescent="0.25">
      <c r="L358">
        <f t="shared" si="20"/>
        <v>0</v>
      </c>
      <c r="M358">
        <f t="shared" si="21"/>
        <v>1</v>
      </c>
      <c r="N358">
        <f t="shared" si="22"/>
        <v>0</v>
      </c>
      <c r="O358" t="str">
        <f t="shared" si="23"/>
        <v>Proposta Ok</v>
      </c>
    </row>
    <row r="359" spans="12:15" x14ac:dyDescent="0.25">
      <c r="L359">
        <f t="shared" si="20"/>
        <v>0</v>
      </c>
      <c r="M359">
        <f t="shared" si="21"/>
        <v>1</v>
      </c>
      <c r="N359">
        <f t="shared" si="22"/>
        <v>0</v>
      </c>
      <c r="O359" t="str">
        <f t="shared" si="23"/>
        <v>Proposta Ok</v>
      </c>
    </row>
    <row r="360" spans="12:15" x14ac:dyDescent="0.25">
      <c r="L360">
        <f t="shared" si="20"/>
        <v>0</v>
      </c>
      <c r="M360">
        <f t="shared" si="21"/>
        <v>1</v>
      </c>
      <c r="N360">
        <f t="shared" si="22"/>
        <v>0</v>
      </c>
      <c r="O360" t="str">
        <f t="shared" si="23"/>
        <v>Proposta Ok</v>
      </c>
    </row>
    <row r="361" spans="12:15" x14ac:dyDescent="0.25">
      <c r="L361">
        <f t="shared" si="20"/>
        <v>0</v>
      </c>
      <c r="M361">
        <f t="shared" si="21"/>
        <v>1</v>
      </c>
      <c r="N361">
        <f t="shared" si="22"/>
        <v>0</v>
      </c>
      <c r="O361" t="str">
        <f t="shared" si="23"/>
        <v>Proposta Ok</v>
      </c>
    </row>
    <row r="362" spans="12:15" x14ac:dyDescent="0.25">
      <c r="L362">
        <f t="shared" si="20"/>
        <v>0</v>
      </c>
      <c r="M362">
        <f t="shared" si="21"/>
        <v>1</v>
      </c>
      <c r="N362">
        <f t="shared" si="22"/>
        <v>0</v>
      </c>
      <c r="O362" t="str">
        <f t="shared" si="23"/>
        <v>Proposta Ok</v>
      </c>
    </row>
    <row r="363" spans="12:15" x14ac:dyDescent="0.25">
      <c r="L363">
        <f t="shared" si="20"/>
        <v>0</v>
      </c>
      <c r="M363">
        <f t="shared" si="21"/>
        <v>1</v>
      </c>
      <c r="N363">
        <f t="shared" si="22"/>
        <v>0</v>
      </c>
      <c r="O363" t="str">
        <f t="shared" si="23"/>
        <v>Proposta Ok</v>
      </c>
    </row>
    <row r="364" spans="12:15" x14ac:dyDescent="0.25">
      <c r="L364">
        <f t="shared" si="20"/>
        <v>0</v>
      </c>
      <c r="M364">
        <f t="shared" si="21"/>
        <v>1</v>
      </c>
      <c r="N364">
        <f t="shared" si="22"/>
        <v>0</v>
      </c>
      <c r="O364" t="str">
        <f t="shared" si="23"/>
        <v>Proposta Ok</v>
      </c>
    </row>
    <row r="365" spans="12:15" x14ac:dyDescent="0.25">
      <c r="L365">
        <f t="shared" si="20"/>
        <v>0</v>
      </c>
      <c r="M365">
        <f t="shared" si="21"/>
        <v>1</v>
      </c>
      <c r="N365">
        <f t="shared" si="22"/>
        <v>0</v>
      </c>
      <c r="O365" t="str">
        <f t="shared" si="23"/>
        <v>Proposta Ok</v>
      </c>
    </row>
    <row r="366" spans="12:15" x14ac:dyDescent="0.25">
      <c r="L366">
        <f t="shared" si="20"/>
        <v>0</v>
      </c>
      <c r="M366">
        <f t="shared" si="21"/>
        <v>1</v>
      </c>
      <c r="N366">
        <f t="shared" si="22"/>
        <v>0</v>
      </c>
      <c r="O366" t="str">
        <f t="shared" si="23"/>
        <v>Proposta Ok</v>
      </c>
    </row>
    <row r="367" spans="12:15" x14ac:dyDescent="0.25">
      <c r="L367">
        <f t="shared" si="20"/>
        <v>0</v>
      </c>
      <c r="M367">
        <f t="shared" si="21"/>
        <v>1</v>
      </c>
      <c r="N367">
        <f t="shared" si="22"/>
        <v>0</v>
      </c>
      <c r="O367" t="str">
        <f t="shared" si="23"/>
        <v>Proposta Ok</v>
      </c>
    </row>
    <row r="368" spans="12:15" x14ac:dyDescent="0.25">
      <c r="L368">
        <f t="shared" si="20"/>
        <v>0</v>
      </c>
      <c r="M368">
        <f t="shared" si="21"/>
        <v>1</v>
      </c>
      <c r="N368">
        <f t="shared" si="22"/>
        <v>0</v>
      </c>
      <c r="O368" t="str">
        <f t="shared" si="23"/>
        <v>Proposta Ok</v>
      </c>
    </row>
    <row r="369" spans="12:15" x14ac:dyDescent="0.25">
      <c r="L369">
        <f t="shared" si="20"/>
        <v>0</v>
      </c>
      <c r="M369">
        <f t="shared" si="21"/>
        <v>1</v>
      </c>
      <c r="N369">
        <f t="shared" si="22"/>
        <v>0</v>
      </c>
      <c r="O369" t="str">
        <f t="shared" si="23"/>
        <v>Proposta Ok</v>
      </c>
    </row>
    <row r="370" spans="12:15" x14ac:dyDescent="0.25">
      <c r="L370">
        <f t="shared" si="20"/>
        <v>0</v>
      </c>
      <c r="M370">
        <f t="shared" si="21"/>
        <v>1</v>
      </c>
      <c r="N370">
        <f t="shared" si="22"/>
        <v>0</v>
      </c>
      <c r="O370" t="str">
        <f t="shared" si="23"/>
        <v>Proposta Ok</v>
      </c>
    </row>
    <row r="371" spans="12:15" x14ac:dyDescent="0.25">
      <c r="L371">
        <f t="shared" si="20"/>
        <v>0</v>
      </c>
      <c r="M371">
        <f t="shared" si="21"/>
        <v>1</v>
      </c>
      <c r="N371">
        <f t="shared" si="22"/>
        <v>0</v>
      </c>
      <c r="O371" t="str">
        <f t="shared" si="23"/>
        <v>Proposta Ok</v>
      </c>
    </row>
    <row r="372" spans="12:15" x14ac:dyDescent="0.25">
      <c r="L372">
        <f t="shared" si="20"/>
        <v>0</v>
      </c>
      <c r="M372">
        <f t="shared" si="21"/>
        <v>1</v>
      </c>
      <c r="N372">
        <f t="shared" si="22"/>
        <v>0</v>
      </c>
      <c r="O372" t="str">
        <f t="shared" si="23"/>
        <v>Proposta Ok</v>
      </c>
    </row>
    <row r="373" spans="12:15" x14ac:dyDescent="0.25">
      <c r="L373">
        <f t="shared" si="20"/>
        <v>0</v>
      </c>
      <c r="M373">
        <f t="shared" si="21"/>
        <v>1</v>
      </c>
      <c r="N373">
        <f t="shared" si="22"/>
        <v>0</v>
      </c>
      <c r="O373" t="str">
        <f t="shared" si="23"/>
        <v>Proposta Ok</v>
      </c>
    </row>
    <row r="374" spans="12:15" x14ac:dyDescent="0.25">
      <c r="L374">
        <f t="shared" si="20"/>
        <v>0</v>
      </c>
      <c r="M374">
        <f t="shared" si="21"/>
        <v>1</v>
      </c>
      <c r="N374">
        <f t="shared" si="22"/>
        <v>0</v>
      </c>
      <c r="O374" t="str">
        <f t="shared" si="23"/>
        <v>Proposta Ok</v>
      </c>
    </row>
    <row r="375" spans="12:15" x14ac:dyDescent="0.25">
      <c r="L375">
        <f t="shared" si="20"/>
        <v>0</v>
      </c>
      <c r="M375">
        <f t="shared" si="21"/>
        <v>1</v>
      </c>
      <c r="N375">
        <f t="shared" si="22"/>
        <v>0</v>
      </c>
      <c r="O375" t="str">
        <f t="shared" si="23"/>
        <v>Proposta Ok</v>
      </c>
    </row>
    <row r="376" spans="12:15" x14ac:dyDescent="0.25">
      <c r="L376">
        <f t="shared" si="20"/>
        <v>0</v>
      </c>
      <c r="M376">
        <f t="shared" si="21"/>
        <v>1</v>
      </c>
      <c r="N376">
        <f t="shared" si="22"/>
        <v>0</v>
      </c>
      <c r="O376" t="str">
        <f t="shared" si="23"/>
        <v>Proposta Ok</v>
      </c>
    </row>
    <row r="377" spans="12:15" x14ac:dyDescent="0.25">
      <c r="L377">
        <f t="shared" si="20"/>
        <v>0</v>
      </c>
      <c r="M377">
        <f t="shared" si="21"/>
        <v>1</v>
      </c>
      <c r="N377">
        <f t="shared" si="22"/>
        <v>0</v>
      </c>
      <c r="O377" t="str">
        <f t="shared" si="23"/>
        <v>Proposta Ok</v>
      </c>
    </row>
    <row r="378" spans="12:15" x14ac:dyDescent="0.25">
      <c r="L378">
        <f t="shared" si="20"/>
        <v>0</v>
      </c>
      <c r="M378">
        <f t="shared" si="21"/>
        <v>1</v>
      </c>
      <c r="N378">
        <f t="shared" si="22"/>
        <v>0</v>
      </c>
      <c r="O378" t="str">
        <f t="shared" si="23"/>
        <v>Proposta Ok</v>
      </c>
    </row>
    <row r="379" spans="12:15" x14ac:dyDescent="0.25">
      <c r="L379">
        <f t="shared" si="20"/>
        <v>0</v>
      </c>
      <c r="M379">
        <f t="shared" si="21"/>
        <v>1</v>
      </c>
      <c r="N379">
        <f t="shared" si="22"/>
        <v>0</v>
      </c>
      <c r="O379" t="str">
        <f t="shared" si="23"/>
        <v>Proposta Ok</v>
      </c>
    </row>
    <row r="380" spans="12:15" x14ac:dyDescent="0.25">
      <c r="L380">
        <f t="shared" si="20"/>
        <v>0</v>
      </c>
      <c r="M380">
        <f t="shared" si="21"/>
        <v>1</v>
      </c>
      <c r="N380">
        <f t="shared" si="22"/>
        <v>0</v>
      </c>
      <c r="O380" t="str">
        <f t="shared" si="23"/>
        <v>Proposta Ok</v>
      </c>
    </row>
    <row r="381" spans="12:15" x14ac:dyDescent="0.25">
      <c r="L381">
        <f t="shared" si="20"/>
        <v>0</v>
      </c>
      <c r="M381">
        <f t="shared" si="21"/>
        <v>1</v>
      </c>
      <c r="N381">
        <f t="shared" si="22"/>
        <v>0</v>
      </c>
      <c r="O381" t="str">
        <f t="shared" si="23"/>
        <v>Proposta Ok</v>
      </c>
    </row>
    <row r="382" spans="12:15" x14ac:dyDescent="0.25">
      <c r="L382">
        <f t="shared" ref="L382:L445" si="24">IF(OR(I382="Termo OK (Exceção)",I382="Termo OK"),1,0)</f>
        <v>0</v>
      </c>
      <c r="M382">
        <f t="shared" ref="M382:M445" si="25">IF(OR(I382="Termo OK (Exceção)",I382="Termo OK"),0,1)</f>
        <v>1</v>
      </c>
      <c r="N382">
        <f t="shared" ref="N382:N445" si="26">IF(J382="SIM",1,0)</f>
        <v>0</v>
      </c>
      <c r="O382" t="str">
        <f t="shared" si="23"/>
        <v>Proposta Ok</v>
      </c>
    </row>
    <row r="383" spans="12:15" x14ac:dyDescent="0.25">
      <c r="L383">
        <f t="shared" si="24"/>
        <v>0</v>
      </c>
      <c r="M383">
        <f t="shared" si="25"/>
        <v>1</v>
      </c>
      <c r="N383">
        <f t="shared" si="26"/>
        <v>0</v>
      </c>
      <c r="O383" t="str">
        <f t="shared" si="23"/>
        <v>Proposta Ok</v>
      </c>
    </row>
    <row r="384" spans="12:15" x14ac:dyDescent="0.25">
      <c r="L384">
        <f t="shared" si="24"/>
        <v>0</v>
      </c>
      <c r="M384">
        <f t="shared" si="25"/>
        <v>1</v>
      </c>
      <c r="N384">
        <f t="shared" si="26"/>
        <v>0</v>
      </c>
      <c r="O384" t="str">
        <f t="shared" si="23"/>
        <v>Proposta Ok</v>
      </c>
    </row>
    <row r="385" spans="12:15" x14ac:dyDescent="0.25">
      <c r="L385">
        <f t="shared" si="24"/>
        <v>0</v>
      </c>
      <c r="M385">
        <f t="shared" si="25"/>
        <v>1</v>
      </c>
      <c r="N385">
        <f t="shared" si="26"/>
        <v>0</v>
      </c>
      <c r="O385" t="str">
        <f t="shared" si="23"/>
        <v>Proposta Ok</v>
      </c>
    </row>
    <row r="386" spans="12:15" x14ac:dyDescent="0.25">
      <c r="L386">
        <f t="shared" si="24"/>
        <v>0</v>
      </c>
      <c r="M386">
        <f t="shared" si="25"/>
        <v>1</v>
      </c>
      <c r="N386">
        <f t="shared" si="26"/>
        <v>0</v>
      </c>
      <c r="O386" t="str">
        <f t="shared" si="23"/>
        <v>Proposta Ok</v>
      </c>
    </row>
    <row r="387" spans="12:15" x14ac:dyDescent="0.25">
      <c r="L387">
        <f t="shared" si="24"/>
        <v>0</v>
      </c>
      <c r="M387">
        <f t="shared" si="25"/>
        <v>1</v>
      </c>
      <c r="N387">
        <f t="shared" si="26"/>
        <v>0</v>
      </c>
      <c r="O387" t="str">
        <f t="shared" ref="O387:O450" si="27">IF(SUMIFS(M:M,A:A,A387)&gt;0,"Proposta não Ok","Proposta Ok")</f>
        <v>Proposta Ok</v>
      </c>
    </row>
    <row r="388" spans="12:15" x14ac:dyDescent="0.25">
      <c r="L388">
        <f t="shared" si="24"/>
        <v>0</v>
      </c>
      <c r="M388">
        <f t="shared" si="25"/>
        <v>1</v>
      </c>
      <c r="N388">
        <f t="shared" si="26"/>
        <v>0</v>
      </c>
      <c r="O388" t="str">
        <f t="shared" si="27"/>
        <v>Proposta Ok</v>
      </c>
    </row>
    <row r="389" spans="12:15" x14ac:dyDescent="0.25">
      <c r="L389">
        <f t="shared" si="24"/>
        <v>0</v>
      </c>
      <c r="M389">
        <f t="shared" si="25"/>
        <v>1</v>
      </c>
      <c r="N389">
        <f t="shared" si="26"/>
        <v>0</v>
      </c>
      <c r="O389" t="str">
        <f t="shared" si="27"/>
        <v>Proposta Ok</v>
      </c>
    </row>
    <row r="390" spans="12:15" x14ac:dyDescent="0.25">
      <c r="L390">
        <f t="shared" si="24"/>
        <v>0</v>
      </c>
      <c r="M390">
        <f t="shared" si="25"/>
        <v>1</v>
      </c>
      <c r="N390">
        <f t="shared" si="26"/>
        <v>0</v>
      </c>
      <c r="O390" t="str">
        <f t="shared" si="27"/>
        <v>Proposta Ok</v>
      </c>
    </row>
    <row r="391" spans="12:15" x14ac:dyDescent="0.25">
      <c r="L391">
        <f t="shared" si="24"/>
        <v>0</v>
      </c>
      <c r="M391">
        <f t="shared" si="25"/>
        <v>1</v>
      </c>
      <c r="N391">
        <f t="shared" si="26"/>
        <v>0</v>
      </c>
      <c r="O391" t="str">
        <f t="shared" si="27"/>
        <v>Proposta Ok</v>
      </c>
    </row>
    <row r="392" spans="12:15" x14ac:dyDescent="0.25">
      <c r="L392">
        <f t="shared" si="24"/>
        <v>0</v>
      </c>
      <c r="M392">
        <f t="shared" si="25"/>
        <v>1</v>
      </c>
      <c r="N392">
        <f t="shared" si="26"/>
        <v>0</v>
      </c>
      <c r="O392" t="str">
        <f t="shared" si="27"/>
        <v>Proposta Ok</v>
      </c>
    </row>
    <row r="393" spans="12:15" x14ac:dyDescent="0.25">
      <c r="L393">
        <f t="shared" si="24"/>
        <v>0</v>
      </c>
      <c r="M393">
        <f t="shared" si="25"/>
        <v>1</v>
      </c>
      <c r="N393">
        <f t="shared" si="26"/>
        <v>0</v>
      </c>
      <c r="O393" t="str">
        <f t="shared" si="27"/>
        <v>Proposta Ok</v>
      </c>
    </row>
    <row r="394" spans="12:15" x14ac:dyDescent="0.25">
      <c r="L394">
        <f t="shared" si="24"/>
        <v>0</v>
      </c>
      <c r="M394">
        <f t="shared" si="25"/>
        <v>1</v>
      </c>
      <c r="N394">
        <f t="shared" si="26"/>
        <v>0</v>
      </c>
      <c r="O394" t="str">
        <f t="shared" si="27"/>
        <v>Proposta Ok</v>
      </c>
    </row>
    <row r="395" spans="12:15" x14ac:dyDescent="0.25">
      <c r="L395">
        <f t="shared" si="24"/>
        <v>0</v>
      </c>
      <c r="M395">
        <f t="shared" si="25"/>
        <v>1</v>
      </c>
      <c r="N395">
        <f t="shared" si="26"/>
        <v>0</v>
      </c>
      <c r="O395" t="str">
        <f t="shared" si="27"/>
        <v>Proposta Ok</v>
      </c>
    </row>
    <row r="396" spans="12:15" x14ac:dyDescent="0.25">
      <c r="L396">
        <f t="shared" si="24"/>
        <v>0</v>
      </c>
      <c r="M396">
        <f t="shared" si="25"/>
        <v>1</v>
      </c>
      <c r="N396">
        <f t="shared" si="26"/>
        <v>0</v>
      </c>
      <c r="O396" t="str">
        <f t="shared" si="27"/>
        <v>Proposta Ok</v>
      </c>
    </row>
    <row r="397" spans="12:15" x14ac:dyDescent="0.25">
      <c r="L397">
        <f t="shared" si="24"/>
        <v>0</v>
      </c>
      <c r="M397">
        <f t="shared" si="25"/>
        <v>1</v>
      </c>
      <c r="N397">
        <f t="shared" si="26"/>
        <v>0</v>
      </c>
      <c r="O397" t="str">
        <f t="shared" si="27"/>
        <v>Proposta Ok</v>
      </c>
    </row>
    <row r="398" spans="12:15" x14ac:dyDescent="0.25">
      <c r="L398">
        <f t="shared" si="24"/>
        <v>0</v>
      </c>
      <c r="M398">
        <f t="shared" si="25"/>
        <v>1</v>
      </c>
      <c r="N398">
        <f t="shared" si="26"/>
        <v>0</v>
      </c>
      <c r="O398" t="str">
        <f t="shared" si="27"/>
        <v>Proposta Ok</v>
      </c>
    </row>
    <row r="399" spans="12:15" x14ac:dyDescent="0.25">
      <c r="L399">
        <f t="shared" si="24"/>
        <v>0</v>
      </c>
      <c r="M399">
        <f t="shared" si="25"/>
        <v>1</v>
      </c>
      <c r="N399">
        <f t="shared" si="26"/>
        <v>0</v>
      </c>
      <c r="O399" t="str">
        <f t="shared" si="27"/>
        <v>Proposta Ok</v>
      </c>
    </row>
    <row r="400" spans="12:15" x14ac:dyDescent="0.25">
      <c r="L400">
        <f t="shared" si="24"/>
        <v>0</v>
      </c>
      <c r="M400">
        <f t="shared" si="25"/>
        <v>1</v>
      </c>
      <c r="N400">
        <f t="shared" si="26"/>
        <v>0</v>
      </c>
      <c r="O400" t="str">
        <f t="shared" si="27"/>
        <v>Proposta Ok</v>
      </c>
    </row>
    <row r="401" spans="12:15" x14ac:dyDescent="0.25">
      <c r="L401">
        <f t="shared" si="24"/>
        <v>0</v>
      </c>
      <c r="M401">
        <f t="shared" si="25"/>
        <v>1</v>
      </c>
      <c r="N401">
        <f t="shared" si="26"/>
        <v>0</v>
      </c>
      <c r="O401" t="str">
        <f t="shared" si="27"/>
        <v>Proposta Ok</v>
      </c>
    </row>
    <row r="402" spans="12:15" x14ac:dyDescent="0.25">
      <c r="L402">
        <f t="shared" si="24"/>
        <v>0</v>
      </c>
      <c r="M402">
        <f t="shared" si="25"/>
        <v>1</v>
      </c>
      <c r="N402">
        <f t="shared" si="26"/>
        <v>0</v>
      </c>
      <c r="O402" t="str">
        <f t="shared" si="27"/>
        <v>Proposta Ok</v>
      </c>
    </row>
    <row r="403" spans="12:15" x14ac:dyDescent="0.25">
      <c r="L403">
        <f t="shared" si="24"/>
        <v>0</v>
      </c>
      <c r="M403">
        <f t="shared" si="25"/>
        <v>1</v>
      </c>
      <c r="N403">
        <f t="shared" si="26"/>
        <v>0</v>
      </c>
      <c r="O403" t="str">
        <f t="shared" si="27"/>
        <v>Proposta Ok</v>
      </c>
    </row>
    <row r="404" spans="12:15" x14ac:dyDescent="0.25">
      <c r="L404">
        <f t="shared" si="24"/>
        <v>0</v>
      </c>
      <c r="M404">
        <f t="shared" si="25"/>
        <v>1</v>
      </c>
      <c r="N404">
        <f t="shared" si="26"/>
        <v>0</v>
      </c>
      <c r="O404" t="str">
        <f t="shared" si="27"/>
        <v>Proposta Ok</v>
      </c>
    </row>
    <row r="405" spans="12:15" x14ac:dyDescent="0.25">
      <c r="L405">
        <f t="shared" si="24"/>
        <v>0</v>
      </c>
      <c r="M405">
        <f t="shared" si="25"/>
        <v>1</v>
      </c>
      <c r="N405">
        <f t="shared" si="26"/>
        <v>0</v>
      </c>
      <c r="O405" t="str">
        <f t="shared" si="27"/>
        <v>Proposta Ok</v>
      </c>
    </row>
    <row r="406" spans="12:15" x14ac:dyDescent="0.25">
      <c r="L406">
        <f t="shared" si="24"/>
        <v>0</v>
      </c>
      <c r="M406">
        <f t="shared" si="25"/>
        <v>1</v>
      </c>
      <c r="N406">
        <f t="shared" si="26"/>
        <v>0</v>
      </c>
      <c r="O406" t="str">
        <f t="shared" si="27"/>
        <v>Proposta Ok</v>
      </c>
    </row>
    <row r="407" spans="12:15" x14ac:dyDescent="0.25">
      <c r="L407">
        <f t="shared" si="24"/>
        <v>0</v>
      </c>
      <c r="M407">
        <f t="shared" si="25"/>
        <v>1</v>
      </c>
      <c r="N407">
        <f t="shared" si="26"/>
        <v>0</v>
      </c>
      <c r="O407" t="str">
        <f t="shared" si="27"/>
        <v>Proposta Ok</v>
      </c>
    </row>
    <row r="408" spans="12:15" x14ac:dyDescent="0.25">
      <c r="L408">
        <f t="shared" si="24"/>
        <v>0</v>
      </c>
      <c r="M408">
        <f t="shared" si="25"/>
        <v>1</v>
      </c>
      <c r="N408">
        <f t="shared" si="26"/>
        <v>0</v>
      </c>
      <c r="O408" t="str">
        <f t="shared" si="27"/>
        <v>Proposta Ok</v>
      </c>
    </row>
    <row r="409" spans="12:15" x14ac:dyDescent="0.25">
      <c r="L409">
        <f t="shared" si="24"/>
        <v>0</v>
      </c>
      <c r="M409">
        <f t="shared" si="25"/>
        <v>1</v>
      </c>
      <c r="N409">
        <f t="shared" si="26"/>
        <v>0</v>
      </c>
      <c r="O409" t="str">
        <f t="shared" si="27"/>
        <v>Proposta Ok</v>
      </c>
    </row>
    <row r="410" spans="12:15" x14ac:dyDescent="0.25">
      <c r="L410">
        <f t="shared" si="24"/>
        <v>0</v>
      </c>
      <c r="M410">
        <f t="shared" si="25"/>
        <v>1</v>
      </c>
      <c r="N410">
        <f t="shared" si="26"/>
        <v>0</v>
      </c>
      <c r="O410" t="str">
        <f t="shared" si="27"/>
        <v>Proposta Ok</v>
      </c>
    </row>
    <row r="411" spans="12:15" x14ac:dyDescent="0.25">
      <c r="L411">
        <f t="shared" si="24"/>
        <v>0</v>
      </c>
      <c r="M411">
        <f t="shared" si="25"/>
        <v>1</v>
      </c>
      <c r="N411">
        <f t="shared" si="26"/>
        <v>0</v>
      </c>
      <c r="O411" t="str">
        <f t="shared" si="27"/>
        <v>Proposta Ok</v>
      </c>
    </row>
    <row r="412" spans="12:15" x14ac:dyDescent="0.25">
      <c r="L412">
        <f t="shared" si="24"/>
        <v>0</v>
      </c>
      <c r="M412">
        <f t="shared" si="25"/>
        <v>1</v>
      </c>
      <c r="N412">
        <f t="shared" si="26"/>
        <v>0</v>
      </c>
      <c r="O412" t="str">
        <f t="shared" si="27"/>
        <v>Proposta Ok</v>
      </c>
    </row>
    <row r="413" spans="12:15" x14ac:dyDescent="0.25">
      <c r="L413">
        <f t="shared" si="24"/>
        <v>0</v>
      </c>
      <c r="M413">
        <f t="shared" si="25"/>
        <v>1</v>
      </c>
      <c r="N413">
        <f t="shared" si="26"/>
        <v>0</v>
      </c>
      <c r="O413" t="str">
        <f t="shared" si="27"/>
        <v>Proposta Ok</v>
      </c>
    </row>
    <row r="414" spans="12:15" x14ac:dyDescent="0.25">
      <c r="L414">
        <f t="shared" si="24"/>
        <v>0</v>
      </c>
      <c r="M414">
        <f t="shared" si="25"/>
        <v>1</v>
      </c>
      <c r="N414">
        <f t="shared" si="26"/>
        <v>0</v>
      </c>
      <c r="O414" t="str">
        <f t="shared" si="27"/>
        <v>Proposta Ok</v>
      </c>
    </row>
    <row r="415" spans="12:15" x14ac:dyDescent="0.25">
      <c r="L415">
        <f t="shared" si="24"/>
        <v>0</v>
      </c>
      <c r="M415">
        <f t="shared" si="25"/>
        <v>1</v>
      </c>
      <c r="N415">
        <f t="shared" si="26"/>
        <v>0</v>
      </c>
      <c r="O415" t="str">
        <f t="shared" si="27"/>
        <v>Proposta Ok</v>
      </c>
    </row>
    <row r="416" spans="12:15" x14ac:dyDescent="0.25">
      <c r="L416">
        <f t="shared" si="24"/>
        <v>0</v>
      </c>
      <c r="M416">
        <f t="shared" si="25"/>
        <v>1</v>
      </c>
      <c r="N416">
        <f t="shared" si="26"/>
        <v>0</v>
      </c>
      <c r="O416" t="str">
        <f t="shared" si="27"/>
        <v>Proposta Ok</v>
      </c>
    </row>
    <row r="417" spans="12:15" x14ac:dyDescent="0.25">
      <c r="L417">
        <f t="shared" si="24"/>
        <v>0</v>
      </c>
      <c r="M417">
        <f t="shared" si="25"/>
        <v>1</v>
      </c>
      <c r="N417">
        <f t="shared" si="26"/>
        <v>0</v>
      </c>
      <c r="O417" t="str">
        <f t="shared" si="27"/>
        <v>Proposta Ok</v>
      </c>
    </row>
    <row r="418" spans="12:15" x14ac:dyDescent="0.25">
      <c r="L418">
        <f t="shared" si="24"/>
        <v>0</v>
      </c>
      <c r="M418">
        <f t="shared" si="25"/>
        <v>1</v>
      </c>
      <c r="N418">
        <f t="shared" si="26"/>
        <v>0</v>
      </c>
      <c r="O418" t="str">
        <f t="shared" si="27"/>
        <v>Proposta Ok</v>
      </c>
    </row>
    <row r="419" spans="12:15" x14ac:dyDescent="0.25">
      <c r="L419">
        <f t="shared" si="24"/>
        <v>0</v>
      </c>
      <c r="M419">
        <f t="shared" si="25"/>
        <v>1</v>
      </c>
      <c r="N419">
        <f t="shared" si="26"/>
        <v>0</v>
      </c>
      <c r="O419" t="str">
        <f t="shared" si="27"/>
        <v>Proposta Ok</v>
      </c>
    </row>
    <row r="420" spans="12:15" x14ac:dyDescent="0.25">
      <c r="L420">
        <f t="shared" si="24"/>
        <v>0</v>
      </c>
      <c r="M420">
        <f t="shared" si="25"/>
        <v>1</v>
      </c>
      <c r="N420">
        <f t="shared" si="26"/>
        <v>0</v>
      </c>
      <c r="O420" t="str">
        <f t="shared" si="27"/>
        <v>Proposta Ok</v>
      </c>
    </row>
    <row r="421" spans="12:15" x14ac:dyDescent="0.25">
      <c r="L421">
        <f t="shared" si="24"/>
        <v>0</v>
      </c>
      <c r="M421">
        <f t="shared" si="25"/>
        <v>1</v>
      </c>
      <c r="N421">
        <f t="shared" si="26"/>
        <v>0</v>
      </c>
      <c r="O421" t="str">
        <f t="shared" si="27"/>
        <v>Proposta Ok</v>
      </c>
    </row>
    <row r="422" spans="12:15" x14ac:dyDescent="0.25">
      <c r="L422">
        <f t="shared" si="24"/>
        <v>0</v>
      </c>
      <c r="M422">
        <f t="shared" si="25"/>
        <v>1</v>
      </c>
      <c r="N422">
        <f t="shared" si="26"/>
        <v>0</v>
      </c>
      <c r="O422" t="str">
        <f t="shared" si="27"/>
        <v>Proposta Ok</v>
      </c>
    </row>
    <row r="423" spans="12:15" x14ac:dyDescent="0.25">
      <c r="L423">
        <f t="shared" si="24"/>
        <v>0</v>
      </c>
      <c r="M423">
        <f t="shared" si="25"/>
        <v>1</v>
      </c>
      <c r="N423">
        <f t="shared" si="26"/>
        <v>0</v>
      </c>
      <c r="O423" t="str">
        <f t="shared" si="27"/>
        <v>Proposta Ok</v>
      </c>
    </row>
    <row r="424" spans="12:15" x14ac:dyDescent="0.25">
      <c r="L424">
        <f t="shared" si="24"/>
        <v>0</v>
      </c>
      <c r="M424">
        <f t="shared" si="25"/>
        <v>1</v>
      </c>
      <c r="N424">
        <f t="shared" si="26"/>
        <v>0</v>
      </c>
      <c r="O424" t="str">
        <f t="shared" si="27"/>
        <v>Proposta Ok</v>
      </c>
    </row>
    <row r="425" spans="12:15" x14ac:dyDescent="0.25">
      <c r="L425">
        <f t="shared" si="24"/>
        <v>0</v>
      </c>
      <c r="M425">
        <f t="shared" si="25"/>
        <v>1</v>
      </c>
      <c r="N425">
        <f t="shared" si="26"/>
        <v>0</v>
      </c>
      <c r="O425" t="str">
        <f t="shared" si="27"/>
        <v>Proposta Ok</v>
      </c>
    </row>
    <row r="426" spans="12:15" x14ac:dyDescent="0.25">
      <c r="L426">
        <f t="shared" si="24"/>
        <v>0</v>
      </c>
      <c r="M426">
        <f t="shared" si="25"/>
        <v>1</v>
      </c>
      <c r="N426">
        <f t="shared" si="26"/>
        <v>0</v>
      </c>
      <c r="O426" t="str">
        <f t="shared" si="27"/>
        <v>Proposta Ok</v>
      </c>
    </row>
    <row r="427" spans="12:15" x14ac:dyDescent="0.25">
      <c r="L427">
        <f t="shared" si="24"/>
        <v>0</v>
      </c>
      <c r="M427">
        <f t="shared" si="25"/>
        <v>1</v>
      </c>
      <c r="N427">
        <f t="shared" si="26"/>
        <v>0</v>
      </c>
      <c r="O427" t="str">
        <f t="shared" si="27"/>
        <v>Proposta Ok</v>
      </c>
    </row>
    <row r="428" spans="12:15" x14ac:dyDescent="0.25">
      <c r="L428">
        <f t="shared" si="24"/>
        <v>0</v>
      </c>
      <c r="M428">
        <f t="shared" si="25"/>
        <v>1</v>
      </c>
      <c r="N428">
        <f t="shared" si="26"/>
        <v>0</v>
      </c>
      <c r="O428" t="str">
        <f t="shared" si="27"/>
        <v>Proposta Ok</v>
      </c>
    </row>
    <row r="429" spans="12:15" x14ac:dyDescent="0.25">
      <c r="L429">
        <f t="shared" si="24"/>
        <v>0</v>
      </c>
      <c r="M429">
        <f t="shared" si="25"/>
        <v>1</v>
      </c>
      <c r="N429">
        <f t="shared" si="26"/>
        <v>0</v>
      </c>
      <c r="O429" t="str">
        <f t="shared" si="27"/>
        <v>Proposta Ok</v>
      </c>
    </row>
    <row r="430" spans="12:15" x14ac:dyDescent="0.25">
      <c r="L430">
        <f t="shared" si="24"/>
        <v>0</v>
      </c>
      <c r="M430">
        <f t="shared" si="25"/>
        <v>1</v>
      </c>
      <c r="N430">
        <f t="shared" si="26"/>
        <v>0</v>
      </c>
      <c r="O430" t="str">
        <f t="shared" si="27"/>
        <v>Proposta Ok</v>
      </c>
    </row>
    <row r="431" spans="12:15" x14ac:dyDescent="0.25">
      <c r="L431">
        <f t="shared" si="24"/>
        <v>0</v>
      </c>
      <c r="M431">
        <f t="shared" si="25"/>
        <v>1</v>
      </c>
      <c r="N431">
        <f t="shared" si="26"/>
        <v>0</v>
      </c>
      <c r="O431" t="str">
        <f t="shared" si="27"/>
        <v>Proposta Ok</v>
      </c>
    </row>
    <row r="432" spans="12:15" x14ac:dyDescent="0.25">
      <c r="L432">
        <f t="shared" si="24"/>
        <v>0</v>
      </c>
      <c r="M432">
        <f t="shared" si="25"/>
        <v>1</v>
      </c>
      <c r="N432">
        <f t="shared" si="26"/>
        <v>0</v>
      </c>
      <c r="O432" t="str">
        <f t="shared" si="27"/>
        <v>Proposta Ok</v>
      </c>
    </row>
    <row r="433" spans="12:15" x14ac:dyDescent="0.25">
      <c r="L433">
        <f t="shared" si="24"/>
        <v>0</v>
      </c>
      <c r="M433">
        <f t="shared" si="25"/>
        <v>1</v>
      </c>
      <c r="N433">
        <f t="shared" si="26"/>
        <v>0</v>
      </c>
      <c r="O433" t="str">
        <f t="shared" si="27"/>
        <v>Proposta Ok</v>
      </c>
    </row>
    <row r="434" spans="12:15" x14ac:dyDescent="0.25">
      <c r="L434">
        <f t="shared" si="24"/>
        <v>0</v>
      </c>
      <c r="M434">
        <f t="shared" si="25"/>
        <v>1</v>
      </c>
      <c r="N434">
        <f t="shared" si="26"/>
        <v>0</v>
      </c>
      <c r="O434" t="str">
        <f t="shared" si="27"/>
        <v>Proposta Ok</v>
      </c>
    </row>
    <row r="435" spans="12:15" x14ac:dyDescent="0.25">
      <c r="L435">
        <f t="shared" si="24"/>
        <v>0</v>
      </c>
      <c r="M435">
        <f t="shared" si="25"/>
        <v>1</v>
      </c>
      <c r="N435">
        <f t="shared" si="26"/>
        <v>0</v>
      </c>
      <c r="O435" t="str">
        <f t="shared" si="27"/>
        <v>Proposta Ok</v>
      </c>
    </row>
    <row r="436" spans="12:15" x14ac:dyDescent="0.25">
      <c r="L436">
        <f t="shared" si="24"/>
        <v>0</v>
      </c>
      <c r="M436">
        <f t="shared" si="25"/>
        <v>1</v>
      </c>
      <c r="N436">
        <f t="shared" si="26"/>
        <v>0</v>
      </c>
      <c r="O436" t="str">
        <f t="shared" si="27"/>
        <v>Proposta Ok</v>
      </c>
    </row>
    <row r="437" spans="12:15" x14ac:dyDescent="0.25">
      <c r="L437">
        <f t="shared" si="24"/>
        <v>0</v>
      </c>
      <c r="M437">
        <f t="shared" si="25"/>
        <v>1</v>
      </c>
      <c r="N437">
        <f t="shared" si="26"/>
        <v>0</v>
      </c>
      <c r="O437" t="str">
        <f t="shared" si="27"/>
        <v>Proposta Ok</v>
      </c>
    </row>
    <row r="438" spans="12:15" x14ac:dyDescent="0.25">
      <c r="L438">
        <f t="shared" si="24"/>
        <v>0</v>
      </c>
      <c r="M438">
        <f t="shared" si="25"/>
        <v>1</v>
      </c>
      <c r="N438">
        <f t="shared" si="26"/>
        <v>0</v>
      </c>
      <c r="O438" t="str">
        <f t="shared" si="27"/>
        <v>Proposta Ok</v>
      </c>
    </row>
    <row r="439" spans="12:15" x14ac:dyDescent="0.25">
      <c r="L439">
        <f t="shared" si="24"/>
        <v>0</v>
      </c>
      <c r="M439">
        <f t="shared" si="25"/>
        <v>1</v>
      </c>
      <c r="N439">
        <f t="shared" si="26"/>
        <v>0</v>
      </c>
      <c r="O439" t="str">
        <f t="shared" si="27"/>
        <v>Proposta Ok</v>
      </c>
    </row>
    <row r="440" spans="12:15" x14ac:dyDescent="0.25">
      <c r="L440">
        <f t="shared" si="24"/>
        <v>0</v>
      </c>
      <c r="M440">
        <f t="shared" si="25"/>
        <v>1</v>
      </c>
      <c r="N440">
        <f t="shared" si="26"/>
        <v>0</v>
      </c>
      <c r="O440" t="str">
        <f t="shared" si="27"/>
        <v>Proposta Ok</v>
      </c>
    </row>
    <row r="441" spans="12:15" x14ac:dyDescent="0.25">
      <c r="L441">
        <f t="shared" si="24"/>
        <v>0</v>
      </c>
      <c r="M441">
        <f t="shared" si="25"/>
        <v>1</v>
      </c>
      <c r="N441">
        <f t="shared" si="26"/>
        <v>0</v>
      </c>
      <c r="O441" t="str">
        <f t="shared" si="27"/>
        <v>Proposta Ok</v>
      </c>
    </row>
    <row r="442" spans="12:15" x14ac:dyDescent="0.25">
      <c r="L442">
        <f t="shared" si="24"/>
        <v>0</v>
      </c>
      <c r="M442">
        <f t="shared" si="25"/>
        <v>1</v>
      </c>
      <c r="N442">
        <f t="shared" si="26"/>
        <v>0</v>
      </c>
      <c r="O442" t="str">
        <f t="shared" si="27"/>
        <v>Proposta Ok</v>
      </c>
    </row>
    <row r="443" spans="12:15" x14ac:dyDescent="0.25">
      <c r="L443">
        <f t="shared" si="24"/>
        <v>0</v>
      </c>
      <c r="M443">
        <f t="shared" si="25"/>
        <v>1</v>
      </c>
      <c r="N443">
        <f t="shared" si="26"/>
        <v>0</v>
      </c>
      <c r="O443" t="str">
        <f t="shared" si="27"/>
        <v>Proposta Ok</v>
      </c>
    </row>
    <row r="444" spans="12:15" x14ac:dyDescent="0.25">
      <c r="L444">
        <f t="shared" si="24"/>
        <v>0</v>
      </c>
      <c r="M444">
        <f t="shared" si="25"/>
        <v>1</v>
      </c>
      <c r="N444">
        <f t="shared" si="26"/>
        <v>0</v>
      </c>
      <c r="O444" t="str">
        <f t="shared" si="27"/>
        <v>Proposta Ok</v>
      </c>
    </row>
    <row r="445" spans="12:15" x14ac:dyDescent="0.25">
      <c r="L445">
        <f t="shared" si="24"/>
        <v>0</v>
      </c>
      <c r="M445">
        <f t="shared" si="25"/>
        <v>1</v>
      </c>
      <c r="N445">
        <f t="shared" si="26"/>
        <v>0</v>
      </c>
      <c r="O445" t="str">
        <f t="shared" si="27"/>
        <v>Proposta Ok</v>
      </c>
    </row>
    <row r="446" spans="12:15" x14ac:dyDescent="0.25">
      <c r="L446">
        <f t="shared" ref="L446:L509" si="28">IF(OR(I446="Termo OK (Exceção)",I446="Termo OK"),1,0)</f>
        <v>0</v>
      </c>
      <c r="M446">
        <f t="shared" ref="M446:M509" si="29">IF(OR(I446="Termo OK (Exceção)",I446="Termo OK"),0,1)</f>
        <v>1</v>
      </c>
      <c r="N446">
        <f t="shared" ref="N446:N509" si="30">IF(J446="SIM",1,0)</f>
        <v>0</v>
      </c>
      <c r="O446" t="str">
        <f t="shared" si="27"/>
        <v>Proposta Ok</v>
      </c>
    </row>
    <row r="447" spans="12:15" x14ac:dyDescent="0.25">
      <c r="L447">
        <f t="shared" si="28"/>
        <v>0</v>
      </c>
      <c r="M447">
        <f t="shared" si="29"/>
        <v>1</v>
      </c>
      <c r="N447">
        <f t="shared" si="30"/>
        <v>0</v>
      </c>
      <c r="O447" t="str">
        <f t="shared" si="27"/>
        <v>Proposta Ok</v>
      </c>
    </row>
    <row r="448" spans="12:15" x14ac:dyDescent="0.25">
      <c r="L448">
        <f t="shared" si="28"/>
        <v>0</v>
      </c>
      <c r="M448">
        <f t="shared" si="29"/>
        <v>1</v>
      </c>
      <c r="N448">
        <f t="shared" si="30"/>
        <v>0</v>
      </c>
      <c r="O448" t="str">
        <f t="shared" si="27"/>
        <v>Proposta Ok</v>
      </c>
    </row>
    <row r="449" spans="12:15" x14ac:dyDescent="0.25">
      <c r="L449">
        <f t="shared" si="28"/>
        <v>0</v>
      </c>
      <c r="M449">
        <f t="shared" si="29"/>
        <v>1</v>
      </c>
      <c r="N449">
        <f t="shared" si="30"/>
        <v>0</v>
      </c>
      <c r="O449" t="str">
        <f t="shared" si="27"/>
        <v>Proposta Ok</v>
      </c>
    </row>
    <row r="450" spans="12:15" x14ac:dyDescent="0.25">
      <c r="L450">
        <f t="shared" si="28"/>
        <v>0</v>
      </c>
      <c r="M450">
        <f t="shared" si="29"/>
        <v>1</v>
      </c>
      <c r="N450">
        <f t="shared" si="30"/>
        <v>0</v>
      </c>
      <c r="O450" t="str">
        <f t="shared" si="27"/>
        <v>Proposta Ok</v>
      </c>
    </row>
    <row r="451" spans="12:15" x14ac:dyDescent="0.25">
      <c r="L451">
        <f t="shared" si="28"/>
        <v>0</v>
      </c>
      <c r="M451">
        <f t="shared" si="29"/>
        <v>1</v>
      </c>
      <c r="N451">
        <f t="shared" si="30"/>
        <v>0</v>
      </c>
      <c r="O451" t="str">
        <f t="shared" ref="O451:O514" si="31">IF(SUMIFS(M:M,A:A,A451)&gt;0,"Proposta não Ok","Proposta Ok")</f>
        <v>Proposta Ok</v>
      </c>
    </row>
    <row r="452" spans="12:15" x14ac:dyDescent="0.25">
      <c r="L452">
        <f t="shared" si="28"/>
        <v>0</v>
      </c>
      <c r="M452">
        <f t="shared" si="29"/>
        <v>1</v>
      </c>
      <c r="N452">
        <f t="shared" si="30"/>
        <v>0</v>
      </c>
      <c r="O452" t="str">
        <f t="shared" si="31"/>
        <v>Proposta Ok</v>
      </c>
    </row>
    <row r="453" spans="12:15" x14ac:dyDescent="0.25">
      <c r="L453">
        <f t="shared" si="28"/>
        <v>0</v>
      </c>
      <c r="M453">
        <f t="shared" si="29"/>
        <v>1</v>
      </c>
      <c r="N453">
        <f t="shared" si="30"/>
        <v>0</v>
      </c>
      <c r="O453" t="str">
        <f t="shared" si="31"/>
        <v>Proposta Ok</v>
      </c>
    </row>
    <row r="454" spans="12:15" x14ac:dyDescent="0.25">
      <c r="L454">
        <f t="shared" si="28"/>
        <v>0</v>
      </c>
      <c r="M454">
        <f t="shared" si="29"/>
        <v>1</v>
      </c>
      <c r="N454">
        <f t="shared" si="30"/>
        <v>0</v>
      </c>
      <c r="O454" t="str">
        <f t="shared" si="31"/>
        <v>Proposta Ok</v>
      </c>
    </row>
    <row r="455" spans="12:15" x14ac:dyDescent="0.25">
      <c r="L455">
        <f t="shared" si="28"/>
        <v>0</v>
      </c>
      <c r="M455">
        <f t="shared" si="29"/>
        <v>1</v>
      </c>
      <c r="N455">
        <f t="shared" si="30"/>
        <v>0</v>
      </c>
      <c r="O455" t="str">
        <f t="shared" si="31"/>
        <v>Proposta Ok</v>
      </c>
    </row>
    <row r="456" spans="12:15" x14ac:dyDescent="0.25">
      <c r="L456">
        <f t="shared" si="28"/>
        <v>0</v>
      </c>
      <c r="M456">
        <f t="shared" si="29"/>
        <v>1</v>
      </c>
      <c r="N456">
        <f t="shared" si="30"/>
        <v>0</v>
      </c>
      <c r="O456" t="str">
        <f t="shared" si="31"/>
        <v>Proposta Ok</v>
      </c>
    </row>
    <row r="457" spans="12:15" x14ac:dyDescent="0.25">
      <c r="L457">
        <f t="shared" si="28"/>
        <v>0</v>
      </c>
      <c r="M457">
        <f t="shared" si="29"/>
        <v>1</v>
      </c>
      <c r="N457">
        <f t="shared" si="30"/>
        <v>0</v>
      </c>
      <c r="O457" t="str">
        <f t="shared" si="31"/>
        <v>Proposta Ok</v>
      </c>
    </row>
    <row r="458" spans="12:15" x14ac:dyDescent="0.25">
      <c r="L458">
        <f t="shared" si="28"/>
        <v>0</v>
      </c>
      <c r="M458">
        <f t="shared" si="29"/>
        <v>1</v>
      </c>
      <c r="N458">
        <f t="shared" si="30"/>
        <v>0</v>
      </c>
      <c r="O458" t="str">
        <f t="shared" si="31"/>
        <v>Proposta Ok</v>
      </c>
    </row>
    <row r="459" spans="12:15" x14ac:dyDescent="0.25">
      <c r="L459">
        <f t="shared" si="28"/>
        <v>0</v>
      </c>
      <c r="M459">
        <f t="shared" si="29"/>
        <v>1</v>
      </c>
      <c r="N459">
        <f t="shared" si="30"/>
        <v>0</v>
      </c>
      <c r="O459" t="str">
        <f t="shared" si="31"/>
        <v>Proposta Ok</v>
      </c>
    </row>
    <row r="460" spans="12:15" x14ac:dyDescent="0.25">
      <c r="L460">
        <f t="shared" si="28"/>
        <v>0</v>
      </c>
      <c r="M460">
        <f t="shared" si="29"/>
        <v>1</v>
      </c>
      <c r="N460">
        <f t="shared" si="30"/>
        <v>0</v>
      </c>
      <c r="O460" t="str">
        <f t="shared" si="31"/>
        <v>Proposta Ok</v>
      </c>
    </row>
    <row r="461" spans="12:15" x14ac:dyDescent="0.25">
      <c r="L461">
        <f t="shared" si="28"/>
        <v>0</v>
      </c>
      <c r="M461">
        <f t="shared" si="29"/>
        <v>1</v>
      </c>
      <c r="N461">
        <f t="shared" si="30"/>
        <v>0</v>
      </c>
      <c r="O461" t="str">
        <f t="shared" si="31"/>
        <v>Proposta Ok</v>
      </c>
    </row>
    <row r="462" spans="12:15" x14ac:dyDescent="0.25">
      <c r="L462">
        <f t="shared" si="28"/>
        <v>0</v>
      </c>
      <c r="M462">
        <f t="shared" si="29"/>
        <v>1</v>
      </c>
      <c r="N462">
        <f t="shared" si="30"/>
        <v>0</v>
      </c>
      <c r="O462" t="str">
        <f t="shared" si="31"/>
        <v>Proposta Ok</v>
      </c>
    </row>
    <row r="463" spans="12:15" x14ac:dyDescent="0.25">
      <c r="L463">
        <f t="shared" si="28"/>
        <v>0</v>
      </c>
      <c r="M463">
        <f t="shared" si="29"/>
        <v>1</v>
      </c>
      <c r="N463">
        <f t="shared" si="30"/>
        <v>0</v>
      </c>
      <c r="O463" t="str">
        <f t="shared" si="31"/>
        <v>Proposta Ok</v>
      </c>
    </row>
    <row r="464" spans="12:15" x14ac:dyDescent="0.25">
      <c r="L464">
        <f t="shared" si="28"/>
        <v>0</v>
      </c>
      <c r="M464">
        <f t="shared" si="29"/>
        <v>1</v>
      </c>
      <c r="N464">
        <f t="shared" si="30"/>
        <v>0</v>
      </c>
      <c r="O464" t="str">
        <f t="shared" si="31"/>
        <v>Proposta Ok</v>
      </c>
    </row>
    <row r="465" spans="12:15" x14ac:dyDescent="0.25">
      <c r="L465">
        <f t="shared" si="28"/>
        <v>0</v>
      </c>
      <c r="M465">
        <f t="shared" si="29"/>
        <v>1</v>
      </c>
      <c r="N465">
        <f t="shared" si="30"/>
        <v>0</v>
      </c>
      <c r="O465" t="str">
        <f t="shared" si="31"/>
        <v>Proposta Ok</v>
      </c>
    </row>
    <row r="466" spans="12:15" x14ac:dyDescent="0.25">
      <c r="L466">
        <f t="shared" si="28"/>
        <v>0</v>
      </c>
      <c r="M466">
        <f t="shared" si="29"/>
        <v>1</v>
      </c>
      <c r="N466">
        <f t="shared" si="30"/>
        <v>0</v>
      </c>
      <c r="O466" t="str">
        <f t="shared" si="31"/>
        <v>Proposta Ok</v>
      </c>
    </row>
    <row r="467" spans="12:15" x14ac:dyDescent="0.25">
      <c r="L467">
        <f t="shared" si="28"/>
        <v>0</v>
      </c>
      <c r="M467">
        <f t="shared" si="29"/>
        <v>1</v>
      </c>
      <c r="N467">
        <f t="shared" si="30"/>
        <v>0</v>
      </c>
      <c r="O467" t="str">
        <f t="shared" si="31"/>
        <v>Proposta Ok</v>
      </c>
    </row>
    <row r="468" spans="12:15" x14ac:dyDescent="0.25">
      <c r="L468">
        <f t="shared" si="28"/>
        <v>0</v>
      </c>
      <c r="M468">
        <f t="shared" si="29"/>
        <v>1</v>
      </c>
      <c r="N468">
        <f t="shared" si="30"/>
        <v>0</v>
      </c>
      <c r="O468" t="str">
        <f t="shared" si="31"/>
        <v>Proposta Ok</v>
      </c>
    </row>
    <row r="469" spans="12:15" x14ac:dyDescent="0.25">
      <c r="L469">
        <f t="shared" si="28"/>
        <v>0</v>
      </c>
      <c r="M469">
        <f t="shared" si="29"/>
        <v>1</v>
      </c>
      <c r="N469">
        <f t="shared" si="30"/>
        <v>0</v>
      </c>
      <c r="O469" t="str">
        <f t="shared" si="31"/>
        <v>Proposta Ok</v>
      </c>
    </row>
    <row r="470" spans="12:15" x14ac:dyDescent="0.25">
      <c r="L470">
        <f t="shared" si="28"/>
        <v>0</v>
      </c>
      <c r="M470">
        <f t="shared" si="29"/>
        <v>1</v>
      </c>
      <c r="N470">
        <f t="shared" si="30"/>
        <v>0</v>
      </c>
      <c r="O470" t="str">
        <f t="shared" si="31"/>
        <v>Proposta Ok</v>
      </c>
    </row>
    <row r="471" spans="12:15" x14ac:dyDescent="0.25">
      <c r="L471">
        <f t="shared" si="28"/>
        <v>0</v>
      </c>
      <c r="M471">
        <f t="shared" si="29"/>
        <v>1</v>
      </c>
      <c r="N471">
        <f t="shared" si="30"/>
        <v>0</v>
      </c>
      <c r="O471" t="str">
        <f t="shared" si="31"/>
        <v>Proposta Ok</v>
      </c>
    </row>
    <row r="472" spans="12:15" x14ac:dyDescent="0.25">
      <c r="L472">
        <f t="shared" si="28"/>
        <v>0</v>
      </c>
      <c r="M472">
        <f t="shared" si="29"/>
        <v>1</v>
      </c>
      <c r="N472">
        <f t="shared" si="30"/>
        <v>0</v>
      </c>
      <c r="O472" t="str">
        <f t="shared" si="31"/>
        <v>Proposta Ok</v>
      </c>
    </row>
    <row r="473" spans="12:15" x14ac:dyDescent="0.25">
      <c r="L473">
        <f t="shared" si="28"/>
        <v>0</v>
      </c>
      <c r="M473">
        <f t="shared" si="29"/>
        <v>1</v>
      </c>
      <c r="N473">
        <f t="shared" si="30"/>
        <v>0</v>
      </c>
      <c r="O473" t="str">
        <f t="shared" si="31"/>
        <v>Proposta Ok</v>
      </c>
    </row>
    <row r="474" spans="12:15" x14ac:dyDescent="0.25">
      <c r="L474">
        <f t="shared" si="28"/>
        <v>0</v>
      </c>
      <c r="M474">
        <f t="shared" si="29"/>
        <v>1</v>
      </c>
      <c r="N474">
        <f t="shared" si="30"/>
        <v>0</v>
      </c>
      <c r="O474" t="str">
        <f t="shared" si="31"/>
        <v>Proposta Ok</v>
      </c>
    </row>
    <row r="475" spans="12:15" x14ac:dyDescent="0.25">
      <c r="L475">
        <f t="shared" si="28"/>
        <v>0</v>
      </c>
      <c r="M475">
        <f t="shared" si="29"/>
        <v>1</v>
      </c>
      <c r="N475">
        <f t="shared" si="30"/>
        <v>0</v>
      </c>
      <c r="O475" t="str">
        <f t="shared" si="31"/>
        <v>Proposta Ok</v>
      </c>
    </row>
    <row r="476" spans="12:15" x14ac:dyDescent="0.25">
      <c r="L476">
        <f t="shared" si="28"/>
        <v>0</v>
      </c>
      <c r="M476">
        <f t="shared" si="29"/>
        <v>1</v>
      </c>
      <c r="N476">
        <f t="shared" si="30"/>
        <v>0</v>
      </c>
      <c r="O476" t="str">
        <f t="shared" si="31"/>
        <v>Proposta Ok</v>
      </c>
    </row>
    <row r="477" spans="12:15" x14ac:dyDescent="0.25">
      <c r="L477">
        <f t="shared" si="28"/>
        <v>0</v>
      </c>
      <c r="M477">
        <f t="shared" si="29"/>
        <v>1</v>
      </c>
      <c r="N477">
        <f t="shared" si="30"/>
        <v>0</v>
      </c>
      <c r="O477" t="str">
        <f t="shared" si="31"/>
        <v>Proposta Ok</v>
      </c>
    </row>
    <row r="478" spans="12:15" x14ac:dyDescent="0.25">
      <c r="L478">
        <f t="shared" si="28"/>
        <v>0</v>
      </c>
      <c r="M478">
        <f t="shared" si="29"/>
        <v>1</v>
      </c>
      <c r="N478">
        <f t="shared" si="30"/>
        <v>0</v>
      </c>
      <c r="O478" t="str">
        <f t="shared" si="31"/>
        <v>Proposta Ok</v>
      </c>
    </row>
    <row r="479" spans="12:15" x14ac:dyDescent="0.25">
      <c r="L479">
        <f t="shared" si="28"/>
        <v>0</v>
      </c>
      <c r="M479">
        <f t="shared" si="29"/>
        <v>1</v>
      </c>
      <c r="N479">
        <f t="shared" si="30"/>
        <v>0</v>
      </c>
      <c r="O479" t="str">
        <f t="shared" si="31"/>
        <v>Proposta Ok</v>
      </c>
    </row>
    <row r="480" spans="12:15" x14ac:dyDescent="0.25">
      <c r="L480">
        <f t="shared" si="28"/>
        <v>0</v>
      </c>
      <c r="M480">
        <f t="shared" si="29"/>
        <v>1</v>
      </c>
      <c r="N480">
        <f t="shared" si="30"/>
        <v>0</v>
      </c>
      <c r="O480" t="str">
        <f t="shared" si="31"/>
        <v>Proposta Ok</v>
      </c>
    </row>
    <row r="481" spans="12:15" x14ac:dyDescent="0.25">
      <c r="L481">
        <f t="shared" si="28"/>
        <v>0</v>
      </c>
      <c r="M481">
        <f t="shared" si="29"/>
        <v>1</v>
      </c>
      <c r="N481">
        <f t="shared" si="30"/>
        <v>0</v>
      </c>
      <c r="O481" t="str">
        <f t="shared" si="31"/>
        <v>Proposta Ok</v>
      </c>
    </row>
    <row r="482" spans="12:15" x14ac:dyDescent="0.25">
      <c r="L482">
        <f t="shared" si="28"/>
        <v>0</v>
      </c>
      <c r="M482">
        <f t="shared" si="29"/>
        <v>1</v>
      </c>
      <c r="N482">
        <f t="shared" si="30"/>
        <v>0</v>
      </c>
      <c r="O482" t="str">
        <f t="shared" si="31"/>
        <v>Proposta Ok</v>
      </c>
    </row>
    <row r="483" spans="12:15" x14ac:dyDescent="0.25">
      <c r="L483">
        <f t="shared" si="28"/>
        <v>0</v>
      </c>
      <c r="M483">
        <f t="shared" si="29"/>
        <v>1</v>
      </c>
      <c r="N483">
        <f t="shared" si="30"/>
        <v>0</v>
      </c>
      <c r="O483" t="str">
        <f t="shared" si="31"/>
        <v>Proposta Ok</v>
      </c>
    </row>
    <row r="484" spans="12:15" x14ac:dyDescent="0.25">
      <c r="L484">
        <f t="shared" si="28"/>
        <v>0</v>
      </c>
      <c r="M484">
        <f t="shared" si="29"/>
        <v>1</v>
      </c>
      <c r="N484">
        <f t="shared" si="30"/>
        <v>0</v>
      </c>
      <c r="O484" t="str">
        <f t="shared" si="31"/>
        <v>Proposta Ok</v>
      </c>
    </row>
    <row r="485" spans="12:15" x14ac:dyDescent="0.25">
      <c r="L485">
        <f t="shared" si="28"/>
        <v>0</v>
      </c>
      <c r="M485">
        <f t="shared" si="29"/>
        <v>1</v>
      </c>
      <c r="N485">
        <f t="shared" si="30"/>
        <v>0</v>
      </c>
      <c r="O485" t="str">
        <f t="shared" si="31"/>
        <v>Proposta Ok</v>
      </c>
    </row>
    <row r="486" spans="12:15" x14ac:dyDescent="0.25">
      <c r="L486">
        <f t="shared" si="28"/>
        <v>0</v>
      </c>
      <c r="M486">
        <f t="shared" si="29"/>
        <v>1</v>
      </c>
      <c r="N486">
        <f t="shared" si="30"/>
        <v>0</v>
      </c>
      <c r="O486" t="str">
        <f t="shared" si="31"/>
        <v>Proposta Ok</v>
      </c>
    </row>
    <row r="487" spans="12:15" x14ac:dyDescent="0.25">
      <c r="L487">
        <f t="shared" si="28"/>
        <v>0</v>
      </c>
      <c r="M487">
        <f t="shared" si="29"/>
        <v>1</v>
      </c>
      <c r="N487">
        <f t="shared" si="30"/>
        <v>0</v>
      </c>
      <c r="O487" t="str">
        <f t="shared" si="31"/>
        <v>Proposta Ok</v>
      </c>
    </row>
    <row r="488" spans="12:15" x14ac:dyDescent="0.25">
      <c r="L488">
        <f t="shared" si="28"/>
        <v>0</v>
      </c>
      <c r="M488">
        <f t="shared" si="29"/>
        <v>1</v>
      </c>
      <c r="N488">
        <f t="shared" si="30"/>
        <v>0</v>
      </c>
      <c r="O488" t="str">
        <f t="shared" si="31"/>
        <v>Proposta Ok</v>
      </c>
    </row>
    <row r="489" spans="12:15" x14ac:dyDescent="0.25">
      <c r="L489">
        <f t="shared" si="28"/>
        <v>0</v>
      </c>
      <c r="M489">
        <f t="shared" si="29"/>
        <v>1</v>
      </c>
      <c r="N489">
        <f t="shared" si="30"/>
        <v>0</v>
      </c>
      <c r="O489" t="str">
        <f t="shared" si="31"/>
        <v>Proposta Ok</v>
      </c>
    </row>
    <row r="490" spans="12:15" x14ac:dyDescent="0.25">
      <c r="L490">
        <f t="shared" si="28"/>
        <v>0</v>
      </c>
      <c r="M490">
        <f t="shared" si="29"/>
        <v>1</v>
      </c>
      <c r="N490">
        <f t="shared" si="30"/>
        <v>0</v>
      </c>
      <c r="O490" t="str">
        <f t="shared" si="31"/>
        <v>Proposta Ok</v>
      </c>
    </row>
    <row r="491" spans="12:15" x14ac:dyDescent="0.25">
      <c r="L491">
        <f t="shared" si="28"/>
        <v>0</v>
      </c>
      <c r="M491">
        <f t="shared" si="29"/>
        <v>1</v>
      </c>
      <c r="N491">
        <f t="shared" si="30"/>
        <v>0</v>
      </c>
      <c r="O491" t="str">
        <f t="shared" si="31"/>
        <v>Proposta Ok</v>
      </c>
    </row>
    <row r="492" spans="12:15" x14ac:dyDescent="0.25">
      <c r="L492">
        <f t="shared" si="28"/>
        <v>0</v>
      </c>
      <c r="M492">
        <f t="shared" si="29"/>
        <v>1</v>
      </c>
      <c r="N492">
        <f t="shared" si="30"/>
        <v>0</v>
      </c>
      <c r="O492" t="str">
        <f t="shared" si="31"/>
        <v>Proposta Ok</v>
      </c>
    </row>
    <row r="493" spans="12:15" x14ac:dyDescent="0.25">
      <c r="L493">
        <f t="shared" si="28"/>
        <v>0</v>
      </c>
      <c r="M493">
        <f t="shared" si="29"/>
        <v>1</v>
      </c>
      <c r="N493">
        <f t="shared" si="30"/>
        <v>0</v>
      </c>
      <c r="O493" t="str">
        <f t="shared" si="31"/>
        <v>Proposta Ok</v>
      </c>
    </row>
    <row r="494" spans="12:15" x14ac:dyDescent="0.25">
      <c r="L494">
        <f t="shared" si="28"/>
        <v>0</v>
      </c>
      <c r="M494">
        <f t="shared" si="29"/>
        <v>1</v>
      </c>
      <c r="N494">
        <f t="shared" si="30"/>
        <v>0</v>
      </c>
      <c r="O494" t="str">
        <f t="shared" si="31"/>
        <v>Proposta Ok</v>
      </c>
    </row>
    <row r="495" spans="12:15" x14ac:dyDescent="0.25">
      <c r="L495">
        <f t="shared" si="28"/>
        <v>0</v>
      </c>
      <c r="M495">
        <f t="shared" si="29"/>
        <v>1</v>
      </c>
      <c r="N495">
        <f t="shared" si="30"/>
        <v>0</v>
      </c>
      <c r="O495" t="str">
        <f t="shared" si="31"/>
        <v>Proposta Ok</v>
      </c>
    </row>
    <row r="496" spans="12:15" x14ac:dyDescent="0.25">
      <c r="L496">
        <f t="shared" si="28"/>
        <v>0</v>
      </c>
      <c r="M496">
        <f t="shared" si="29"/>
        <v>1</v>
      </c>
      <c r="N496">
        <f t="shared" si="30"/>
        <v>0</v>
      </c>
      <c r="O496" t="str">
        <f t="shared" si="31"/>
        <v>Proposta Ok</v>
      </c>
    </row>
    <row r="497" spans="12:15" x14ac:dyDescent="0.25">
      <c r="L497">
        <f t="shared" si="28"/>
        <v>0</v>
      </c>
      <c r="M497">
        <f t="shared" si="29"/>
        <v>1</v>
      </c>
      <c r="N497">
        <f t="shared" si="30"/>
        <v>0</v>
      </c>
      <c r="O497" t="str">
        <f t="shared" si="31"/>
        <v>Proposta Ok</v>
      </c>
    </row>
    <row r="498" spans="12:15" x14ac:dyDescent="0.25">
      <c r="L498">
        <f t="shared" si="28"/>
        <v>0</v>
      </c>
      <c r="M498">
        <f t="shared" si="29"/>
        <v>1</v>
      </c>
      <c r="N498">
        <f t="shared" si="30"/>
        <v>0</v>
      </c>
      <c r="O498" t="str">
        <f t="shared" si="31"/>
        <v>Proposta Ok</v>
      </c>
    </row>
    <row r="499" spans="12:15" x14ac:dyDescent="0.25">
      <c r="L499">
        <f t="shared" si="28"/>
        <v>0</v>
      </c>
      <c r="M499">
        <f t="shared" si="29"/>
        <v>1</v>
      </c>
      <c r="N499">
        <f t="shared" si="30"/>
        <v>0</v>
      </c>
      <c r="O499" t="str">
        <f t="shared" si="31"/>
        <v>Proposta Ok</v>
      </c>
    </row>
    <row r="500" spans="12:15" x14ac:dyDescent="0.25">
      <c r="L500">
        <f t="shared" si="28"/>
        <v>0</v>
      </c>
      <c r="M500">
        <f t="shared" si="29"/>
        <v>1</v>
      </c>
      <c r="N500">
        <f t="shared" si="30"/>
        <v>0</v>
      </c>
      <c r="O500" t="str">
        <f t="shared" si="31"/>
        <v>Proposta Ok</v>
      </c>
    </row>
    <row r="501" spans="12:15" x14ac:dyDescent="0.25">
      <c r="L501">
        <f t="shared" si="28"/>
        <v>0</v>
      </c>
      <c r="M501">
        <f t="shared" si="29"/>
        <v>1</v>
      </c>
      <c r="N501">
        <f t="shared" si="30"/>
        <v>0</v>
      </c>
      <c r="O501" t="str">
        <f t="shared" si="31"/>
        <v>Proposta Ok</v>
      </c>
    </row>
    <row r="502" spans="12:15" x14ac:dyDescent="0.25">
      <c r="L502">
        <f t="shared" si="28"/>
        <v>0</v>
      </c>
      <c r="M502">
        <f t="shared" si="29"/>
        <v>1</v>
      </c>
      <c r="N502">
        <f t="shared" si="30"/>
        <v>0</v>
      </c>
      <c r="O502" t="str">
        <f t="shared" si="31"/>
        <v>Proposta Ok</v>
      </c>
    </row>
    <row r="503" spans="12:15" x14ac:dyDescent="0.25">
      <c r="L503">
        <f t="shared" si="28"/>
        <v>0</v>
      </c>
      <c r="M503">
        <f t="shared" si="29"/>
        <v>1</v>
      </c>
      <c r="N503">
        <f t="shared" si="30"/>
        <v>0</v>
      </c>
      <c r="O503" t="str">
        <f t="shared" si="31"/>
        <v>Proposta Ok</v>
      </c>
    </row>
    <row r="504" spans="12:15" x14ac:dyDescent="0.25">
      <c r="L504">
        <f t="shared" si="28"/>
        <v>0</v>
      </c>
      <c r="M504">
        <f t="shared" si="29"/>
        <v>1</v>
      </c>
      <c r="N504">
        <f t="shared" si="30"/>
        <v>0</v>
      </c>
      <c r="O504" t="str">
        <f t="shared" si="31"/>
        <v>Proposta Ok</v>
      </c>
    </row>
    <row r="505" spans="12:15" x14ac:dyDescent="0.25">
      <c r="L505">
        <f t="shared" si="28"/>
        <v>0</v>
      </c>
      <c r="M505">
        <f t="shared" si="29"/>
        <v>1</v>
      </c>
      <c r="N505">
        <f t="shared" si="30"/>
        <v>0</v>
      </c>
      <c r="O505" t="str">
        <f t="shared" si="31"/>
        <v>Proposta Ok</v>
      </c>
    </row>
    <row r="506" spans="12:15" x14ac:dyDescent="0.25">
      <c r="L506">
        <f t="shared" si="28"/>
        <v>0</v>
      </c>
      <c r="M506">
        <f t="shared" si="29"/>
        <v>1</v>
      </c>
      <c r="N506">
        <f t="shared" si="30"/>
        <v>0</v>
      </c>
      <c r="O506" t="str">
        <f t="shared" si="31"/>
        <v>Proposta Ok</v>
      </c>
    </row>
    <row r="507" spans="12:15" x14ac:dyDescent="0.25">
      <c r="L507">
        <f t="shared" si="28"/>
        <v>0</v>
      </c>
      <c r="M507">
        <f t="shared" si="29"/>
        <v>1</v>
      </c>
      <c r="N507">
        <f t="shared" si="30"/>
        <v>0</v>
      </c>
      <c r="O507" t="str">
        <f t="shared" si="31"/>
        <v>Proposta Ok</v>
      </c>
    </row>
    <row r="508" spans="12:15" x14ac:dyDescent="0.25">
      <c r="L508">
        <f t="shared" si="28"/>
        <v>0</v>
      </c>
      <c r="M508">
        <f t="shared" si="29"/>
        <v>1</v>
      </c>
      <c r="N508">
        <f t="shared" si="30"/>
        <v>0</v>
      </c>
      <c r="O508" t="str">
        <f t="shared" si="31"/>
        <v>Proposta Ok</v>
      </c>
    </row>
    <row r="509" spans="12:15" x14ac:dyDescent="0.25">
      <c r="L509">
        <f t="shared" si="28"/>
        <v>0</v>
      </c>
      <c r="M509">
        <f t="shared" si="29"/>
        <v>1</v>
      </c>
      <c r="N509">
        <f t="shared" si="30"/>
        <v>0</v>
      </c>
      <c r="O509" t="str">
        <f t="shared" si="31"/>
        <v>Proposta Ok</v>
      </c>
    </row>
    <row r="510" spans="12:15" x14ac:dyDescent="0.25">
      <c r="L510">
        <f t="shared" ref="L510:L573" si="32">IF(OR(I510="Termo OK (Exceção)",I510="Termo OK"),1,0)</f>
        <v>0</v>
      </c>
      <c r="M510">
        <f t="shared" ref="M510:M573" si="33">IF(OR(I510="Termo OK (Exceção)",I510="Termo OK"),0,1)</f>
        <v>1</v>
      </c>
      <c r="N510">
        <f t="shared" ref="N510:N573" si="34">IF(J510="SIM",1,0)</f>
        <v>0</v>
      </c>
      <c r="O510" t="str">
        <f t="shared" si="31"/>
        <v>Proposta Ok</v>
      </c>
    </row>
    <row r="511" spans="12:15" x14ac:dyDescent="0.25">
      <c r="L511">
        <f t="shared" si="32"/>
        <v>0</v>
      </c>
      <c r="M511">
        <f t="shared" si="33"/>
        <v>1</v>
      </c>
      <c r="N511">
        <f t="shared" si="34"/>
        <v>0</v>
      </c>
      <c r="O511" t="str">
        <f t="shared" si="31"/>
        <v>Proposta Ok</v>
      </c>
    </row>
    <row r="512" spans="12:15" x14ac:dyDescent="0.25">
      <c r="L512">
        <f t="shared" si="32"/>
        <v>0</v>
      </c>
      <c r="M512">
        <f t="shared" si="33"/>
        <v>1</v>
      </c>
      <c r="N512">
        <f t="shared" si="34"/>
        <v>0</v>
      </c>
      <c r="O512" t="str">
        <f t="shared" si="31"/>
        <v>Proposta Ok</v>
      </c>
    </row>
    <row r="513" spans="12:15" x14ac:dyDescent="0.25">
      <c r="L513">
        <f t="shared" si="32"/>
        <v>0</v>
      </c>
      <c r="M513">
        <f t="shared" si="33"/>
        <v>1</v>
      </c>
      <c r="N513">
        <f t="shared" si="34"/>
        <v>0</v>
      </c>
      <c r="O513" t="str">
        <f t="shared" si="31"/>
        <v>Proposta Ok</v>
      </c>
    </row>
    <row r="514" spans="12:15" x14ac:dyDescent="0.25">
      <c r="L514">
        <f t="shared" si="32"/>
        <v>0</v>
      </c>
      <c r="M514">
        <f t="shared" si="33"/>
        <v>1</v>
      </c>
      <c r="N514">
        <f t="shared" si="34"/>
        <v>0</v>
      </c>
      <c r="O514" t="str">
        <f t="shared" si="31"/>
        <v>Proposta Ok</v>
      </c>
    </row>
    <row r="515" spans="12:15" x14ac:dyDescent="0.25">
      <c r="L515">
        <f t="shared" si="32"/>
        <v>0</v>
      </c>
      <c r="M515">
        <f t="shared" si="33"/>
        <v>1</v>
      </c>
      <c r="N515">
        <f t="shared" si="34"/>
        <v>0</v>
      </c>
      <c r="O515" t="str">
        <f t="shared" ref="O515:O578" si="35">IF(SUMIFS(M:M,A:A,A515)&gt;0,"Proposta não Ok","Proposta Ok")</f>
        <v>Proposta Ok</v>
      </c>
    </row>
    <row r="516" spans="12:15" x14ac:dyDescent="0.25">
      <c r="L516">
        <f t="shared" si="32"/>
        <v>0</v>
      </c>
      <c r="M516">
        <f t="shared" si="33"/>
        <v>1</v>
      </c>
      <c r="N516">
        <f t="shared" si="34"/>
        <v>0</v>
      </c>
      <c r="O516" t="str">
        <f t="shared" si="35"/>
        <v>Proposta Ok</v>
      </c>
    </row>
    <row r="517" spans="12:15" x14ac:dyDescent="0.25">
      <c r="L517">
        <f t="shared" si="32"/>
        <v>0</v>
      </c>
      <c r="M517">
        <f t="shared" si="33"/>
        <v>1</v>
      </c>
      <c r="N517">
        <f t="shared" si="34"/>
        <v>0</v>
      </c>
      <c r="O517" t="str">
        <f t="shared" si="35"/>
        <v>Proposta Ok</v>
      </c>
    </row>
    <row r="518" spans="12:15" x14ac:dyDescent="0.25">
      <c r="L518">
        <f t="shared" si="32"/>
        <v>0</v>
      </c>
      <c r="M518">
        <f t="shared" si="33"/>
        <v>1</v>
      </c>
      <c r="N518">
        <f t="shared" si="34"/>
        <v>0</v>
      </c>
      <c r="O518" t="str">
        <f t="shared" si="35"/>
        <v>Proposta Ok</v>
      </c>
    </row>
    <row r="519" spans="12:15" x14ac:dyDescent="0.25">
      <c r="L519">
        <f t="shared" si="32"/>
        <v>0</v>
      </c>
      <c r="M519">
        <f t="shared" si="33"/>
        <v>1</v>
      </c>
      <c r="N519">
        <f t="shared" si="34"/>
        <v>0</v>
      </c>
      <c r="O519" t="str">
        <f t="shared" si="35"/>
        <v>Proposta Ok</v>
      </c>
    </row>
    <row r="520" spans="12:15" x14ac:dyDescent="0.25">
      <c r="L520">
        <f t="shared" si="32"/>
        <v>0</v>
      </c>
      <c r="M520">
        <f t="shared" si="33"/>
        <v>1</v>
      </c>
      <c r="N520">
        <f t="shared" si="34"/>
        <v>0</v>
      </c>
      <c r="O520" t="str">
        <f t="shared" si="35"/>
        <v>Proposta Ok</v>
      </c>
    </row>
    <row r="521" spans="12:15" x14ac:dyDescent="0.25">
      <c r="L521">
        <f t="shared" si="32"/>
        <v>0</v>
      </c>
      <c r="M521">
        <f t="shared" si="33"/>
        <v>1</v>
      </c>
      <c r="N521">
        <f t="shared" si="34"/>
        <v>0</v>
      </c>
      <c r="O521" t="str">
        <f t="shared" si="35"/>
        <v>Proposta Ok</v>
      </c>
    </row>
    <row r="522" spans="12:15" x14ac:dyDescent="0.25">
      <c r="L522">
        <f t="shared" si="32"/>
        <v>0</v>
      </c>
      <c r="M522">
        <f t="shared" si="33"/>
        <v>1</v>
      </c>
      <c r="N522">
        <f t="shared" si="34"/>
        <v>0</v>
      </c>
      <c r="O522" t="str">
        <f t="shared" si="35"/>
        <v>Proposta Ok</v>
      </c>
    </row>
    <row r="523" spans="12:15" x14ac:dyDescent="0.25">
      <c r="L523">
        <f t="shared" si="32"/>
        <v>0</v>
      </c>
      <c r="M523">
        <f t="shared" si="33"/>
        <v>1</v>
      </c>
      <c r="N523">
        <f t="shared" si="34"/>
        <v>0</v>
      </c>
      <c r="O523" t="str">
        <f t="shared" si="35"/>
        <v>Proposta Ok</v>
      </c>
    </row>
    <row r="524" spans="12:15" x14ac:dyDescent="0.25">
      <c r="L524">
        <f t="shared" si="32"/>
        <v>0</v>
      </c>
      <c r="M524">
        <f t="shared" si="33"/>
        <v>1</v>
      </c>
      <c r="N524">
        <f t="shared" si="34"/>
        <v>0</v>
      </c>
      <c r="O524" t="str">
        <f t="shared" si="35"/>
        <v>Proposta Ok</v>
      </c>
    </row>
    <row r="525" spans="12:15" x14ac:dyDescent="0.25">
      <c r="L525">
        <f t="shared" si="32"/>
        <v>0</v>
      </c>
      <c r="M525">
        <f t="shared" si="33"/>
        <v>1</v>
      </c>
      <c r="N525">
        <f t="shared" si="34"/>
        <v>0</v>
      </c>
      <c r="O525" t="str">
        <f t="shared" si="35"/>
        <v>Proposta Ok</v>
      </c>
    </row>
    <row r="526" spans="12:15" x14ac:dyDescent="0.25">
      <c r="L526">
        <f t="shared" si="32"/>
        <v>0</v>
      </c>
      <c r="M526">
        <f t="shared" si="33"/>
        <v>1</v>
      </c>
      <c r="N526">
        <f t="shared" si="34"/>
        <v>0</v>
      </c>
      <c r="O526" t="str">
        <f t="shared" si="35"/>
        <v>Proposta Ok</v>
      </c>
    </row>
    <row r="527" spans="12:15" x14ac:dyDescent="0.25">
      <c r="L527">
        <f t="shared" si="32"/>
        <v>0</v>
      </c>
      <c r="M527">
        <f t="shared" si="33"/>
        <v>1</v>
      </c>
      <c r="N527">
        <f t="shared" si="34"/>
        <v>0</v>
      </c>
      <c r="O527" t="str">
        <f t="shared" si="35"/>
        <v>Proposta Ok</v>
      </c>
    </row>
    <row r="528" spans="12:15" x14ac:dyDescent="0.25">
      <c r="L528">
        <f t="shared" si="32"/>
        <v>0</v>
      </c>
      <c r="M528">
        <f t="shared" si="33"/>
        <v>1</v>
      </c>
      <c r="N528">
        <f t="shared" si="34"/>
        <v>0</v>
      </c>
      <c r="O528" t="str">
        <f t="shared" si="35"/>
        <v>Proposta Ok</v>
      </c>
    </row>
    <row r="529" spans="12:15" x14ac:dyDescent="0.25">
      <c r="L529">
        <f t="shared" si="32"/>
        <v>0</v>
      </c>
      <c r="M529">
        <f t="shared" si="33"/>
        <v>1</v>
      </c>
      <c r="N529">
        <f t="shared" si="34"/>
        <v>0</v>
      </c>
      <c r="O529" t="str">
        <f t="shared" si="35"/>
        <v>Proposta Ok</v>
      </c>
    </row>
    <row r="530" spans="12:15" x14ac:dyDescent="0.25">
      <c r="L530">
        <f t="shared" si="32"/>
        <v>0</v>
      </c>
      <c r="M530">
        <f t="shared" si="33"/>
        <v>1</v>
      </c>
      <c r="N530">
        <f t="shared" si="34"/>
        <v>0</v>
      </c>
      <c r="O530" t="str">
        <f t="shared" si="35"/>
        <v>Proposta Ok</v>
      </c>
    </row>
    <row r="531" spans="12:15" x14ac:dyDescent="0.25">
      <c r="L531">
        <f t="shared" si="32"/>
        <v>0</v>
      </c>
      <c r="M531">
        <f t="shared" si="33"/>
        <v>1</v>
      </c>
      <c r="N531">
        <f t="shared" si="34"/>
        <v>0</v>
      </c>
      <c r="O531" t="str">
        <f t="shared" si="35"/>
        <v>Proposta Ok</v>
      </c>
    </row>
    <row r="532" spans="12:15" x14ac:dyDescent="0.25">
      <c r="L532">
        <f t="shared" si="32"/>
        <v>0</v>
      </c>
      <c r="M532">
        <f t="shared" si="33"/>
        <v>1</v>
      </c>
      <c r="N532">
        <f t="shared" si="34"/>
        <v>0</v>
      </c>
      <c r="O532" t="str">
        <f t="shared" si="35"/>
        <v>Proposta Ok</v>
      </c>
    </row>
    <row r="533" spans="12:15" x14ac:dyDescent="0.25">
      <c r="L533">
        <f t="shared" si="32"/>
        <v>0</v>
      </c>
      <c r="M533">
        <f t="shared" si="33"/>
        <v>1</v>
      </c>
      <c r="N533">
        <f t="shared" si="34"/>
        <v>0</v>
      </c>
      <c r="O533" t="str">
        <f t="shared" si="35"/>
        <v>Proposta Ok</v>
      </c>
    </row>
    <row r="534" spans="12:15" x14ac:dyDescent="0.25">
      <c r="L534">
        <f t="shared" si="32"/>
        <v>0</v>
      </c>
      <c r="M534">
        <f t="shared" si="33"/>
        <v>1</v>
      </c>
      <c r="N534">
        <f t="shared" si="34"/>
        <v>0</v>
      </c>
      <c r="O534" t="str">
        <f t="shared" si="35"/>
        <v>Proposta Ok</v>
      </c>
    </row>
    <row r="535" spans="12:15" x14ac:dyDescent="0.25">
      <c r="L535">
        <f t="shared" si="32"/>
        <v>0</v>
      </c>
      <c r="M535">
        <f t="shared" si="33"/>
        <v>1</v>
      </c>
      <c r="N535">
        <f t="shared" si="34"/>
        <v>0</v>
      </c>
      <c r="O535" t="str">
        <f t="shared" si="35"/>
        <v>Proposta Ok</v>
      </c>
    </row>
    <row r="536" spans="12:15" x14ac:dyDescent="0.25">
      <c r="L536">
        <f t="shared" si="32"/>
        <v>0</v>
      </c>
      <c r="M536">
        <f t="shared" si="33"/>
        <v>1</v>
      </c>
      <c r="N536">
        <f t="shared" si="34"/>
        <v>0</v>
      </c>
      <c r="O536" t="str">
        <f t="shared" si="35"/>
        <v>Proposta Ok</v>
      </c>
    </row>
    <row r="537" spans="12:15" x14ac:dyDescent="0.25">
      <c r="L537">
        <f t="shared" si="32"/>
        <v>0</v>
      </c>
      <c r="M537">
        <f t="shared" si="33"/>
        <v>1</v>
      </c>
      <c r="N537">
        <f t="shared" si="34"/>
        <v>0</v>
      </c>
      <c r="O537" t="str">
        <f t="shared" si="35"/>
        <v>Proposta Ok</v>
      </c>
    </row>
    <row r="538" spans="12:15" x14ac:dyDescent="0.25">
      <c r="L538">
        <f t="shared" si="32"/>
        <v>0</v>
      </c>
      <c r="M538">
        <f t="shared" si="33"/>
        <v>1</v>
      </c>
      <c r="N538">
        <f t="shared" si="34"/>
        <v>0</v>
      </c>
      <c r="O538" t="str">
        <f t="shared" si="35"/>
        <v>Proposta Ok</v>
      </c>
    </row>
    <row r="539" spans="12:15" x14ac:dyDescent="0.25">
      <c r="L539">
        <f t="shared" si="32"/>
        <v>0</v>
      </c>
      <c r="M539">
        <f t="shared" si="33"/>
        <v>1</v>
      </c>
      <c r="N539">
        <f t="shared" si="34"/>
        <v>0</v>
      </c>
      <c r="O539" t="str">
        <f t="shared" si="35"/>
        <v>Proposta Ok</v>
      </c>
    </row>
    <row r="540" spans="12:15" x14ac:dyDescent="0.25">
      <c r="L540">
        <f t="shared" si="32"/>
        <v>0</v>
      </c>
      <c r="M540">
        <f t="shared" si="33"/>
        <v>1</v>
      </c>
      <c r="N540">
        <f t="shared" si="34"/>
        <v>0</v>
      </c>
      <c r="O540" t="str">
        <f t="shared" si="35"/>
        <v>Proposta Ok</v>
      </c>
    </row>
    <row r="541" spans="12:15" x14ac:dyDescent="0.25">
      <c r="L541">
        <f t="shared" si="32"/>
        <v>0</v>
      </c>
      <c r="M541">
        <f t="shared" si="33"/>
        <v>1</v>
      </c>
      <c r="N541">
        <f t="shared" si="34"/>
        <v>0</v>
      </c>
      <c r="O541" t="str">
        <f t="shared" si="35"/>
        <v>Proposta Ok</v>
      </c>
    </row>
    <row r="542" spans="12:15" x14ac:dyDescent="0.25">
      <c r="L542">
        <f t="shared" si="32"/>
        <v>0</v>
      </c>
      <c r="M542">
        <f t="shared" si="33"/>
        <v>1</v>
      </c>
      <c r="N542">
        <f t="shared" si="34"/>
        <v>0</v>
      </c>
      <c r="O542" t="str">
        <f t="shared" si="35"/>
        <v>Proposta Ok</v>
      </c>
    </row>
    <row r="543" spans="12:15" x14ac:dyDescent="0.25">
      <c r="L543">
        <f t="shared" si="32"/>
        <v>0</v>
      </c>
      <c r="M543">
        <f t="shared" si="33"/>
        <v>1</v>
      </c>
      <c r="N543">
        <f t="shared" si="34"/>
        <v>0</v>
      </c>
      <c r="O543" t="str">
        <f t="shared" si="35"/>
        <v>Proposta Ok</v>
      </c>
    </row>
    <row r="544" spans="12:15" x14ac:dyDescent="0.25">
      <c r="L544">
        <f t="shared" si="32"/>
        <v>0</v>
      </c>
      <c r="M544">
        <f t="shared" si="33"/>
        <v>1</v>
      </c>
      <c r="N544">
        <f t="shared" si="34"/>
        <v>0</v>
      </c>
      <c r="O544" t="str">
        <f t="shared" si="35"/>
        <v>Proposta Ok</v>
      </c>
    </row>
    <row r="545" spans="12:15" x14ac:dyDescent="0.25">
      <c r="L545">
        <f t="shared" si="32"/>
        <v>0</v>
      </c>
      <c r="M545">
        <f t="shared" si="33"/>
        <v>1</v>
      </c>
      <c r="N545">
        <f t="shared" si="34"/>
        <v>0</v>
      </c>
      <c r="O545" t="str">
        <f t="shared" si="35"/>
        <v>Proposta Ok</v>
      </c>
    </row>
    <row r="546" spans="12:15" x14ac:dyDescent="0.25">
      <c r="L546">
        <f t="shared" si="32"/>
        <v>0</v>
      </c>
      <c r="M546">
        <f t="shared" si="33"/>
        <v>1</v>
      </c>
      <c r="N546">
        <f t="shared" si="34"/>
        <v>0</v>
      </c>
      <c r="O546" t="str">
        <f t="shared" si="35"/>
        <v>Proposta Ok</v>
      </c>
    </row>
    <row r="547" spans="12:15" x14ac:dyDescent="0.25">
      <c r="L547">
        <f t="shared" si="32"/>
        <v>0</v>
      </c>
      <c r="M547">
        <f t="shared" si="33"/>
        <v>1</v>
      </c>
      <c r="N547">
        <f t="shared" si="34"/>
        <v>0</v>
      </c>
      <c r="O547" t="str">
        <f t="shared" si="35"/>
        <v>Proposta Ok</v>
      </c>
    </row>
    <row r="548" spans="12:15" x14ac:dyDescent="0.25">
      <c r="L548">
        <f t="shared" si="32"/>
        <v>0</v>
      </c>
      <c r="M548">
        <f t="shared" si="33"/>
        <v>1</v>
      </c>
      <c r="N548">
        <f t="shared" si="34"/>
        <v>0</v>
      </c>
      <c r="O548" t="str">
        <f t="shared" si="35"/>
        <v>Proposta Ok</v>
      </c>
    </row>
    <row r="549" spans="12:15" x14ac:dyDescent="0.25">
      <c r="L549">
        <f t="shared" si="32"/>
        <v>0</v>
      </c>
      <c r="M549">
        <f t="shared" si="33"/>
        <v>1</v>
      </c>
      <c r="N549">
        <f t="shared" si="34"/>
        <v>0</v>
      </c>
      <c r="O549" t="str">
        <f t="shared" si="35"/>
        <v>Proposta Ok</v>
      </c>
    </row>
    <row r="550" spans="12:15" x14ac:dyDescent="0.25">
      <c r="L550">
        <f t="shared" si="32"/>
        <v>0</v>
      </c>
      <c r="M550">
        <f t="shared" si="33"/>
        <v>1</v>
      </c>
      <c r="N550">
        <f t="shared" si="34"/>
        <v>0</v>
      </c>
      <c r="O550" t="str">
        <f t="shared" si="35"/>
        <v>Proposta Ok</v>
      </c>
    </row>
    <row r="551" spans="12:15" x14ac:dyDescent="0.25">
      <c r="L551">
        <f t="shared" si="32"/>
        <v>0</v>
      </c>
      <c r="M551">
        <f t="shared" si="33"/>
        <v>1</v>
      </c>
      <c r="N551">
        <f t="shared" si="34"/>
        <v>0</v>
      </c>
      <c r="O551" t="str">
        <f t="shared" si="35"/>
        <v>Proposta Ok</v>
      </c>
    </row>
    <row r="552" spans="12:15" x14ac:dyDescent="0.25">
      <c r="L552">
        <f t="shared" si="32"/>
        <v>0</v>
      </c>
      <c r="M552">
        <f t="shared" si="33"/>
        <v>1</v>
      </c>
      <c r="N552">
        <f t="shared" si="34"/>
        <v>0</v>
      </c>
      <c r="O552" t="str">
        <f t="shared" si="35"/>
        <v>Proposta Ok</v>
      </c>
    </row>
    <row r="553" spans="12:15" x14ac:dyDescent="0.25">
      <c r="L553">
        <f t="shared" si="32"/>
        <v>0</v>
      </c>
      <c r="M553">
        <f t="shared" si="33"/>
        <v>1</v>
      </c>
      <c r="N553">
        <f t="shared" si="34"/>
        <v>0</v>
      </c>
      <c r="O553" t="str">
        <f t="shared" si="35"/>
        <v>Proposta Ok</v>
      </c>
    </row>
    <row r="554" spans="12:15" x14ac:dyDescent="0.25">
      <c r="L554">
        <f t="shared" si="32"/>
        <v>0</v>
      </c>
      <c r="M554">
        <f t="shared" si="33"/>
        <v>1</v>
      </c>
      <c r="N554">
        <f t="shared" si="34"/>
        <v>0</v>
      </c>
      <c r="O554" t="str">
        <f t="shared" si="35"/>
        <v>Proposta Ok</v>
      </c>
    </row>
    <row r="555" spans="12:15" x14ac:dyDescent="0.25">
      <c r="L555">
        <f t="shared" si="32"/>
        <v>0</v>
      </c>
      <c r="M555">
        <f t="shared" si="33"/>
        <v>1</v>
      </c>
      <c r="N555">
        <f t="shared" si="34"/>
        <v>0</v>
      </c>
      <c r="O555" t="str">
        <f t="shared" si="35"/>
        <v>Proposta Ok</v>
      </c>
    </row>
    <row r="556" spans="12:15" x14ac:dyDescent="0.25">
      <c r="L556">
        <f t="shared" si="32"/>
        <v>0</v>
      </c>
      <c r="M556">
        <f t="shared" si="33"/>
        <v>1</v>
      </c>
      <c r="N556">
        <f t="shared" si="34"/>
        <v>0</v>
      </c>
      <c r="O556" t="str">
        <f t="shared" si="35"/>
        <v>Proposta Ok</v>
      </c>
    </row>
    <row r="557" spans="12:15" x14ac:dyDescent="0.25">
      <c r="L557">
        <f t="shared" si="32"/>
        <v>0</v>
      </c>
      <c r="M557">
        <f t="shared" si="33"/>
        <v>1</v>
      </c>
      <c r="N557">
        <f t="shared" si="34"/>
        <v>0</v>
      </c>
      <c r="O557" t="str">
        <f t="shared" si="35"/>
        <v>Proposta Ok</v>
      </c>
    </row>
    <row r="558" spans="12:15" x14ac:dyDescent="0.25">
      <c r="L558">
        <f t="shared" si="32"/>
        <v>0</v>
      </c>
      <c r="M558">
        <f t="shared" si="33"/>
        <v>1</v>
      </c>
      <c r="N558">
        <f t="shared" si="34"/>
        <v>0</v>
      </c>
      <c r="O558" t="str">
        <f t="shared" si="35"/>
        <v>Proposta Ok</v>
      </c>
    </row>
    <row r="559" spans="12:15" x14ac:dyDescent="0.25">
      <c r="L559">
        <f t="shared" si="32"/>
        <v>0</v>
      </c>
      <c r="M559">
        <f t="shared" si="33"/>
        <v>1</v>
      </c>
      <c r="N559">
        <f t="shared" si="34"/>
        <v>0</v>
      </c>
      <c r="O559" t="str">
        <f t="shared" si="35"/>
        <v>Proposta Ok</v>
      </c>
    </row>
    <row r="560" spans="12:15" x14ac:dyDescent="0.25">
      <c r="L560">
        <f t="shared" si="32"/>
        <v>0</v>
      </c>
      <c r="M560">
        <f t="shared" si="33"/>
        <v>1</v>
      </c>
      <c r="N560">
        <f t="shared" si="34"/>
        <v>0</v>
      </c>
      <c r="O560" t="str">
        <f t="shared" si="35"/>
        <v>Proposta Ok</v>
      </c>
    </row>
    <row r="561" spans="12:15" x14ac:dyDescent="0.25">
      <c r="L561">
        <f t="shared" si="32"/>
        <v>0</v>
      </c>
      <c r="M561">
        <f t="shared" si="33"/>
        <v>1</v>
      </c>
      <c r="N561">
        <f t="shared" si="34"/>
        <v>0</v>
      </c>
      <c r="O561" t="str">
        <f t="shared" si="35"/>
        <v>Proposta Ok</v>
      </c>
    </row>
    <row r="562" spans="12:15" x14ac:dyDescent="0.25">
      <c r="L562">
        <f t="shared" si="32"/>
        <v>0</v>
      </c>
      <c r="M562">
        <f t="shared" si="33"/>
        <v>1</v>
      </c>
      <c r="N562">
        <f t="shared" si="34"/>
        <v>0</v>
      </c>
      <c r="O562" t="str">
        <f t="shared" si="35"/>
        <v>Proposta Ok</v>
      </c>
    </row>
    <row r="563" spans="12:15" x14ac:dyDescent="0.25">
      <c r="L563">
        <f t="shared" si="32"/>
        <v>0</v>
      </c>
      <c r="M563">
        <f t="shared" si="33"/>
        <v>1</v>
      </c>
      <c r="N563">
        <f t="shared" si="34"/>
        <v>0</v>
      </c>
      <c r="O563" t="str">
        <f t="shared" si="35"/>
        <v>Proposta Ok</v>
      </c>
    </row>
    <row r="564" spans="12:15" x14ac:dyDescent="0.25">
      <c r="L564">
        <f t="shared" si="32"/>
        <v>0</v>
      </c>
      <c r="M564">
        <f t="shared" si="33"/>
        <v>1</v>
      </c>
      <c r="N564">
        <f t="shared" si="34"/>
        <v>0</v>
      </c>
      <c r="O564" t="str">
        <f t="shared" si="35"/>
        <v>Proposta Ok</v>
      </c>
    </row>
    <row r="565" spans="12:15" x14ac:dyDescent="0.25">
      <c r="L565">
        <f t="shared" si="32"/>
        <v>0</v>
      </c>
      <c r="M565">
        <f t="shared" si="33"/>
        <v>1</v>
      </c>
      <c r="N565">
        <f t="shared" si="34"/>
        <v>0</v>
      </c>
      <c r="O565" t="str">
        <f t="shared" si="35"/>
        <v>Proposta Ok</v>
      </c>
    </row>
    <row r="566" spans="12:15" x14ac:dyDescent="0.25">
      <c r="L566">
        <f t="shared" si="32"/>
        <v>0</v>
      </c>
      <c r="M566">
        <f t="shared" si="33"/>
        <v>1</v>
      </c>
      <c r="N566">
        <f t="shared" si="34"/>
        <v>0</v>
      </c>
      <c r="O566" t="str">
        <f t="shared" si="35"/>
        <v>Proposta Ok</v>
      </c>
    </row>
    <row r="567" spans="12:15" x14ac:dyDescent="0.25">
      <c r="L567">
        <f t="shared" si="32"/>
        <v>0</v>
      </c>
      <c r="M567">
        <f t="shared" si="33"/>
        <v>1</v>
      </c>
      <c r="N567">
        <f t="shared" si="34"/>
        <v>0</v>
      </c>
      <c r="O567" t="str">
        <f t="shared" si="35"/>
        <v>Proposta Ok</v>
      </c>
    </row>
    <row r="568" spans="12:15" x14ac:dyDescent="0.25">
      <c r="L568">
        <f t="shared" si="32"/>
        <v>0</v>
      </c>
      <c r="M568">
        <f t="shared" si="33"/>
        <v>1</v>
      </c>
      <c r="N568">
        <f t="shared" si="34"/>
        <v>0</v>
      </c>
      <c r="O568" t="str">
        <f t="shared" si="35"/>
        <v>Proposta Ok</v>
      </c>
    </row>
    <row r="569" spans="12:15" x14ac:dyDescent="0.25">
      <c r="L569">
        <f t="shared" si="32"/>
        <v>0</v>
      </c>
      <c r="M569">
        <f t="shared" si="33"/>
        <v>1</v>
      </c>
      <c r="N569">
        <f t="shared" si="34"/>
        <v>0</v>
      </c>
      <c r="O569" t="str">
        <f t="shared" si="35"/>
        <v>Proposta Ok</v>
      </c>
    </row>
    <row r="570" spans="12:15" x14ac:dyDescent="0.25">
      <c r="L570">
        <f t="shared" si="32"/>
        <v>0</v>
      </c>
      <c r="M570">
        <f t="shared" si="33"/>
        <v>1</v>
      </c>
      <c r="N570">
        <f t="shared" si="34"/>
        <v>0</v>
      </c>
      <c r="O570" t="str">
        <f t="shared" si="35"/>
        <v>Proposta Ok</v>
      </c>
    </row>
    <row r="571" spans="12:15" x14ac:dyDescent="0.25">
      <c r="L571">
        <f t="shared" si="32"/>
        <v>0</v>
      </c>
      <c r="M571">
        <f t="shared" si="33"/>
        <v>1</v>
      </c>
      <c r="N571">
        <f t="shared" si="34"/>
        <v>0</v>
      </c>
      <c r="O571" t="str">
        <f t="shared" si="35"/>
        <v>Proposta Ok</v>
      </c>
    </row>
    <row r="572" spans="12:15" x14ac:dyDescent="0.25">
      <c r="L572">
        <f t="shared" si="32"/>
        <v>0</v>
      </c>
      <c r="M572">
        <f t="shared" si="33"/>
        <v>1</v>
      </c>
      <c r="N572">
        <f t="shared" si="34"/>
        <v>0</v>
      </c>
      <c r="O572" t="str">
        <f t="shared" si="35"/>
        <v>Proposta Ok</v>
      </c>
    </row>
    <row r="573" spans="12:15" x14ac:dyDescent="0.25">
      <c r="L573">
        <f t="shared" si="32"/>
        <v>0</v>
      </c>
      <c r="M573">
        <f t="shared" si="33"/>
        <v>1</v>
      </c>
      <c r="N573">
        <f t="shared" si="34"/>
        <v>0</v>
      </c>
      <c r="O573" t="str">
        <f t="shared" si="35"/>
        <v>Proposta Ok</v>
      </c>
    </row>
    <row r="574" spans="12:15" x14ac:dyDescent="0.25">
      <c r="L574">
        <f t="shared" ref="L574:L637" si="36">IF(OR(I574="Termo OK (Exceção)",I574="Termo OK"),1,0)</f>
        <v>0</v>
      </c>
      <c r="M574">
        <f t="shared" ref="M574:M637" si="37">IF(OR(I574="Termo OK (Exceção)",I574="Termo OK"),0,1)</f>
        <v>1</v>
      </c>
      <c r="N574">
        <f t="shared" ref="N574:N637" si="38">IF(J574="SIM",1,0)</f>
        <v>0</v>
      </c>
      <c r="O574" t="str">
        <f t="shared" si="35"/>
        <v>Proposta Ok</v>
      </c>
    </row>
    <row r="575" spans="12:15" x14ac:dyDescent="0.25">
      <c r="L575">
        <f t="shared" si="36"/>
        <v>0</v>
      </c>
      <c r="M575">
        <f t="shared" si="37"/>
        <v>1</v>
      </c>
      <c r="N575">
        <f t="shared" si="38"/>
        <v>0</v>
      </c>
      <c r="O575" t="str">
        <f t="shared" si="35"/>
        <v>Proposta Ok</v>
      </c>
    </row>
    <row r="576" spans="12:15" x14ac:dyDescent="0.25">
      <c r="L576">
        <f t="shared" si="36"/>
        <v>0</v>
      </c>
      <c r="M576">
        <f t="shared" si="37"/>
        <v>1</v>
      </c>
      <c r="N576">
        <f t="shared" si="38"/>
        <v>0</v>
      </c>
      <c r="O576" t="str">
        <f t="shared" si="35"/>
        <v>Proposta Ok</v>
      </c>
    </row>
    <row r="577" spans="12:15" x14ac:dyDescent="0.25">
      <c r="L577">
        <f t="shared" si="36"/>
        <v>0</v>
      </c>
      <c r="M577">
        <f t="shared" si="37"/>
        <v>1</v>
      </c>
      <c r="N577">
        <f t="shared" si="38"/>
        <v>0</v>
      </c>
      <c r="O577" t="str">
        <f t="shared" si="35"/>
        <v>Proposta Ok</v>
      </c>
    </row>
    <row r="578" spans="12:15" x14ac:dyDescent="0.25">
      <c r="L578">
        <f t="shared" si="36"/>
        <v>0</v>
      </c>
      <c r="M578">
        <f t="shared" si="37"/>
        <v>1</v>
      </c>
      <c r="N578">
        <f t="shared" si="38"/>
        <v>0</v>
      </c>
      <c r="O578" t="str">
        <f t="shared" si="35"/>
        <v>Proposta Ok</v>
      </c>
    </row>
    <row r="579" spans="12:15" x14ac:dyDescent="0.25">
      <c r="L579">
        <f t="shared" si="36"/>
        <v>0</v>
      </c>
      <c r="M579">
        <f t="shared" si="37"/>
        <v>1</v>
      </c>
      <c r="N579">
        <f t="shared" si="38"/>
        <v>0</v>
      </c>
      <c r="O579" t="str">
        <f t="shared" ref="O579:O642" si="39">IF(SUMIFS(M:M,A:A,A579)&gt;0,"Proposta não Ok","Proposta Ok")</f>
        <v>Proposta Ok</v>
      </c>
    </row>
    <row r="580" spans="12:15" x14ac:dyDescent="0.25">
      <c r="L580">
        <f t="shared" si="36"/>
        <v>0</v>
      </c>
      <c r="M580">
        <f t="shared" si="37"/>
        <v>1</v>
      </c>
      <c r="N580">
        <f t="shared" si="38"/>
        <v>0</v>
      </c>
      <c r="O580" t="str">
        <f t="shared" si="39"/>
        <v>Proposta Ok</v>
      </c>
    </row>
    <row r="581" spans="12:15" x14ac:dyDescent="0.25">
      <c r="L581">
        <f t="shared" si="36"/>
        <v>0</v>
      </c>
      <c r="M581">
        <f t="shared" si="37"/>
        <v>1</v>
      </c>
      <c r="N581">
        <f t="shared" si="38"/>
        <v>0</v>
      </c>
      <c r="O581" t="str">
        <f t="shared" si="39"/>
        <v>Proposta Ok</v>
      </c>
    </row>
    <row r="582" spans="12:15" x14ac:dyDescent="0.25">
      <c r="L582">
        <f t="shared" si="36"/>
        <v>0</v>
      </c>
      <c r="M582">
        <f t="shared" si="37"/>
        <v>1</v>
      </c>
      <c r="N582">
        <f t="shared" si="38"/>
        <v>0</v>
      </c>
      <c r="O582" t="str">
        <f t="shared" si="39"/>
        <v>Proposta Ok</v>
      </c>
    </row>
    <row r="583" spans="12:15" x14ac:dyDescent="0.25">
      <c r="L583">
        <f t="shared" si="36"/>
        <v>0</v>
      </c>
      <c r="M583">
        <f t="shared" si="37"/>
        <v>1</v>
      </c>
      <c r="N583">
        <f t="shared" si="38"/>
        <v>0</v>
      </c>
      <c r="O583" t="str">
        <f t="shared" si="39"/>
        <v>Proposta Ok</v>
      </c>
    </row>
    <row r="584" spans="12:15" x14ac:dyDescent="0.25">
      <c r="L584">
        <f t="shared" si="36"/>
        <v>0</v>
      </c>
      <c r="M584">
        <f t="shared" si="37"/>
        <v>1</v>
      </c>
      <c r="N584">
        <f t="shared" si="38"/>
        <v>0</v>
      </c>
      <c r="O584" t="str">
        <f t="shared" si="39"/>
        <v>Proposta Ok</v>
      </c>
    </row>
    <row r="585" spans="12:15" x14ac:dyDescent="0.25">
      <c r="L585">
        <f t="shared" si="36"/>
        <v>0</v>
      </c>
      <c r="M585">
        <f t="shared" si="37"/>
        <v>1</v>
      </c>
      <c r="N585">
        <f t="shared" si="38"/>
        <v>0</v>
      </c>
      <c r="O585" t="str">
        <f t="shared" si="39"/>
        <v>Proposta Ok</v>
      </c>
    </row>
    <row r="586" spans="12:15" x14ac:dyDescent="0.25">
      <c r="L586">
        <f t="shared" si="36"/>
        <v>0</v>
      </c>
      <c r="M586">
        <f t="shared" si="37"/>
        <v>1</v>
      </c>
      <c r="N586">
        <f t="shared" si="38"/>
        <v>0</v>
      </c>
      <c r="O586" t="str">
        <f t="shared" si="39"/>
        <v>Proposta Ok</v>
      </c>
    </row>
    <row r="587" spans="12:15" x14ac:dyDescent="0.25">
      <c r="L587">
        <f t="shared" si="36"/>
        <v>0</v>
      </c>
      <c r="M587">
        <f t="shared" si="37"/>
        <v>1</v>
      </c>
      <c r="N587">
        <f t="shared" si="38"/>
        <v>0</v>
      </c>
      <c r="O587" t="str">
        <f t="shared" si="39"/>
        <v>Proposta Ok</v>
      </c>
    </row>
    <row r="588" spans="12:15" x14ac:dyDescent="0.25">
      <c r="L588">
        <f t="shared" si="36"/>
        <v>0</v>
      </c>
      <c r="M588">
        <f t="shared" si="37"/>
        <v>1</v>
      </c>
      <c r="N588">
        <f t="shared" si="38"/>
        <v>0</v>
      </c>
      <c r="O588" t="str">
        <f t="shared" si="39"/>
        <v>Proposta Ok</v>
      </c>
    </row>
    <row r="589" spans="12:15" x14ac:dyDescent="0.25">
      <c r="L589">
        <f t="shared" si="36"/>
        <v>0</v>
      </c>
      <c r="M589">
        <f t="shared" si="37"/>
        <v>1</v>
      </c>
      <c r="N589">
        <f t="shared" si="38"/>
        <v>0</v>
      </c>
      <c r="O589" t="str">
        <f t="shared" si="39"/>
        <v>Proposta Ok</v>
      </c>
    </row>
    <row r="590" spans="12:15" x14ac:dyDescent="0.25">
      <c r="L590">
        <f t="shared" si="36"/>
        <v>0</v>
      </c>
      <c r="M590">
        <f t="shared" si="37"/>
        <v>1</v>
      </c>
      <c r="N590">
        <f t="shared" si="38"/>
        <v>0</v>
      </c>
      <c r="O590" t="str">
        <f t="shared" si="39"/>
        <v>Proposta Ok</v>
      </c>
    </row>
    <row r="591" spans="12:15" x14ac:dyDescent="0.25">
      <c r="L591">
        <f t="shared" si="36"/>
        <v>0</v>
      </c>
      <c r="M591">
        <f t="shared" si="37"/>
        <v>1</v>
      </c>
      <c r="N591">
        <f t="shared" si="38"/>
        <v>0</v>
      </c>
      <c r="O591" t="str">
        <f t="shared" si="39"/>
        <v>Proposta Ok</v>
      </c>
    </row>
    <row r="592" spans="12:15" x14ac:dyDescent="0.25">
      <c r="L592">
        <f t="shared" si="36"/>
        <v>0</v>
      </c>
      <c r="M592">
        <f t="shared" si="37"/>
        <v>1</v>
      </c>
      <c r="N592">
        <f t="shared" si="38"/>
        <v>0</v>
      </c>
      <c r="O592" t="str">
        <f t="shared" si="39"/>
        <v>Proposta Ok</v>
      </c>
    </row>
    <row r="593" spans="12:15" x14ac:dyDescent="0.25">
      <c r="L593">
        <f t="shared" si="36"/>
        <v>0</v>
      </c>
      <c r="M593">
        <f t="shared" si="37"/>
        <v>1</v>
      </c>
      <c r="N593">
        <f t="shared" si="38"/>
        <v>0</v>
      </c>
      <c r="O593" t="str">
        <f t="shared" si="39"/>
        <v>Proposta Ok</v>
      </c>
    </row>
    <row r="594" spans="12:15" x14ac:dyDescent="0.25">
      <c r="L594">
        <f t="shared" si="36"/>
        <v>0</v>
      </c>
      <c r="M594">
        <f t="shared" si="37"/>
        <v>1</v>
      </c>
      <c r="N594">
        <f t="shared" si="38"/>
        <v>0</v>
      </c>
      <c r="O594" t="str">
        <f t="shared" si="39"/>
        <v>Proposta Ok</v>
      </c>
    </row>
    <row r="595" spans="12:15" x14ac:dyDescent="0.25">
      <c r="L595">
        <f t="shared" si="36"/>
        <v>0</v>
      </c>
      <c r="M595">
        <f t="shared" si="37"/>
        <v>1</v>
      </c>
      <c r="N595">
        <f t="shared" si="38"/>
        <v>0</v>
      </c>
      <c r="O595" t="str">
        <f t="shared" si="39"/>
        <v>Proposta Ok</v>
      </c>
    </row>
    <row r="596" spans="12:15" x14ac:dyDescent="0.25">
      <c r="L596">
        <f t="shared" si="36"/>
        <v>0</v>
      </c>
      <c r="M596">
        <f t="shared" si="37"/>
        <v>1</v>
      </c>
      <c r="N596">
        <f t="shared" si="38"/>
        <v>0</v>
      </c>
      <c r="O596" t="str">
        <f t="shared" si="39"/>
        <v>Proposta Ok</v>
      </c>
    </row>
    <row r="597" spans="12:15" x14ac:dyDescent="0.25">
      <c r="L597">
        <f t="shared" si="36"/>
        <v>0</v>
      </c>
      <c r="M597">
        <f t="shared" si="37"/>
        <v>1</v>
      </c>
      <c r="N597">
        <f t="shared" si="38"/>
        <v>0</v>
      </c>
      <c r="O597" t="str">
        <f t="shared" si="39"/>
        <v>Proposta Ok</v>
      </c>
    </row>
    <row r="598" spans="12:15" x14ac:dyDescent="0.25">
      <c r="L598">
        <f t="shared" si="36"/>
        <v>0</v>
      </c>
      <c r="M598">
        <f t="shared" si="37"/>
        <v>1</v>
      </c>
      <c r="N598">
        <f t="shared" si="38"/>
        <v>0</v>
      </c>
      <c r="O598" t="str">
        <f t="shared" si="39"/>
        <v>Proposta Ok</v>
      </c>
    </row>
    <row r="599" spans="12:15" x14ac:dyDescent="0.25">
      <c r="L599">
        <f t="shared" si="36"/>
        <v>0</v>
      </c>
      <c r="M599">
        <f t="shared" si="37"/>
        <v>1</v>
      </c>
      <c r="N599">
        <f t="shared" si="38"/>
        <v>0</v>
      </c>
      <c r="O599" t="str">
        <f t="shared" si="39"/>
        <v>Proposta Ok</v>
      </c>
    </row>
    <row r="600" spans="12:15" x14ac:dyDescent="0.25">
      <c r="L600">
        <f t="shared" si="36"/>
        <v>0</v>
      </c>
      <c r="M600">
        <f t="shared" si="37"/>
        <v>1</v>
      </c>
      <c r="N600">
        <f t="shared" si="38"/>
        <v>0</v>
      </c>
      <c r="O600" t="str">
        <f t="shared" si="39"/>
        <v>Proposta Ok</v>
      </c>
    </row>
    <row r="601" spans="12:15" x14ac:dyDescent="0.25">
      <c r="L601">
        <f t="shared" si="36"/>
        <v>0</v>
      </c>
      <c r="M601">
        <f t="shared" si="37"/>
        <v>1</v>
      </c>
      <c r="N601">
        <f t="shared" si="38"/>
        <v>0</v>
      </c>
      <c r="O601" t="str">
        <f t="shared" si="39"/>
        <v>Proposta Ok</v>
      </c>
    </row>
    <row r="602" spans="12:15" x14ac:dyDescent="0.25">
      <c r="L602">
        <f t="shared" si="36"/>
        <v>0</v>
      </c>
      <c r="M602">
        <f t="shared" si="37"/>
        <v>1</v>
      </c>
      <c r="N602">
        <f t="shared" si="38"/>
        <v>0</v>
      </c>
      <c r="O602" t="str">
        <f t="shared" si="39"/>
        <v>Proposta Ok</v>
      </c>
    </row>
    <row r="603" spans="12:15" x14ac:dyDescent="0.25">
      <c r="L603">
        <f t="shared" si="36"/>
        <v>0</v>
      </c>
      <c r="M603">
        <f t="shared" si="37"/>
        <v>1</v>
      </c>
      <c r="N603">
        <f t="shared" si="38"/>
        <v>0</v>
      </c>
      <c r="O603" t="str">
        <f t="shared" si="39"/>
        <v>Proposta Ok</v>
      </c>
    </row>
    <row r="604" spans="12:15" x14ac:dyDescent="0.25">
      <c r="L604">
        <f t="shared" si="36"/>
        <v>0</v>
      </c>
      <c r="M604">
        <f t="shared" si="37"/>
        <v>1</v>
      </c>
      <c r="N604">
        <f t="shared" si="38"/>
        <v>0</v>
      </c>
      <c r="O604" t="str">
        <f t="shared" si="39"/>
        <v>Proposta Ok</v>
      </c>
    </row>
    <row r="605" spans="12:15" x14ac:dyDescent="0.25">
      <c r="L605">
        <f t="shared" si="36"/>
        <v>0</v>
      </c>
      <c r="M605">
        <f t="shared" si="37"/>
        <v>1</v>
      </c>
      <c r="N605">
        <f t="shared" si="38"/>
        <v>0</v>
      </c>
      <c r="O605" t="str">
        <f t="shared" si="39"/>
        <v>Proposta Ok</v>
      </c>
    </row>
    <row r="606" spans="12:15" x14ac:dyDescent="0.25">
      <c r="L606">
        <f t="shared" si="36"/>
        <v>0</v>
      </c>
      <c r="M606">
        <f t="shared" si="37"/>
        <v>1</v>
      </c>
      <c r="N606">
        <f t="shared" si="38"/>
        <v>0</v>
      </c>
      <c r="O606" t="str">
        <f t="shared" si="39"/>
        <v>Proposta Ok</v>
      </c>
    </row>
    <row r="607" spans="12:15" x14ac:dyDescent="0.25">
      <c r="L607">
        <f t="shared" si="36"/>
        <v>0</v>
      </c>
      <c r="M607">
        <f t="shared" si="37"/>
        <v>1</v>
      </c>
      <c r="N607">
        <f t="shared" si="38"/>
        <v>0</v>
      </c>
      <c r="O607" t="str">
        <f t="shared" si="39"/>
        <v>Proposta Ok</v>
      </c>
    </row>
    <row r="608" spans="12:15" x14ac:dyDescent="0.25">
      <c r="L608">
        <f t="shared" si="36"/>
        <v>0</v>
      </c>
      <c r="M608">
        <f t="shared" si="37"/>
        <v>1</v>
      </c>
      <c r="N608">
        <f t="shared" si="38"/>
        <v>0</v>
      </c>
      <c r="O608" t="str">
        <f t="shared" si="39"/>
        <v>Proposta Ok</v>
      </c>
    </row>
    <row r="609" spans="12:15" x14ac:dyDescent="0.25">
      <c r="L609">
        <f t="shared" si="36"/>
        <v>0</v>
      </c>
      <c r="M609">
        <f t="shared" si="37"/>
        <v>1</v>
      </c>
      <c r="N609">
        <f t="shared" si="38"/>
        <v>0</v>
      </c>
      <c r="O609" t="str">
        <f t="shared" si="39"/>
        <v>Proposta Ok</v>
      </c>
    </row>
    <row r="610" spans="12:15" x14ac:dyDescent="0.25">
      <c r="L610">
        <f t="shared" si="36"/>
        <v>0</v>
      </c>
      <c r="M610">
        <f t="shared" si="37"/>
        <v>1</v>
      </c>
      <c r="N610">
        <f t="shared" si="38"/>
        <v>0</v>
      </c>
      <c r="O610" t="str">
        <f t="shared" si="39"/>
        <v>Proposta Ok</v>
      </c>
    </row>
    <row r="611" spans="12:15" x14ac:dyDescent="0.25">
      <c r="L611">
        <f t="shared" si="36"/>
        <v>0</v>
      </c>
      <c r="M611">
        <f t="shared" si="37"/>
        <v>1</v>
      </c>
      <c r="N611">
        <f t="shared" si="38"/>
        <v>0</v>
      </c>
      <c r="O611" t="str">
        <f t="shared" si="39"/>
        <v>Proposta Ok</v>
      </c>
    </row>
    <row r="612" spans="12:15" x14ac:dyDescent="0.25">
      <c r="L612">
        <f t="shared" si="36"/>
        <v>0</v>
      </c>
      <c r="M612">
        <f t="shared" si="37"/>
        <v>1</v>
      </c>
      <c r="N612">
        <f t="shared" si="38"/>
        <v>0</v>
      </c>
      <c r="O612" t="str">
        <f t="shared" si="39"/>
        <v>Proposta Ok</v>
      </c>
    </row>
    <row r="613" spans="12:15" x14ac:dyDescent="0.25">
      <c r="L613">
        <f t="shared" si="36"/>
        <v>0</v>
      </c>
      <c r="M613">
        <f t="shared" si="37"/>
        <v>1</v>
      </c>
      <c r="N613">
        <f t="shared" si="38"/>
        <v>0</v>
      </c>
      <c r="O613" t="str">
        <f t="shared" si="39"/>
        <v>Proposta Ok</v>
      </c>
    </row>
    <row r="614" spans="12:15" x14ac:dyDescent="0.25">
      <c r="L614">
        <f t="shared" si="36"/>
        <v>0</v>
      </c>
      <c r="M614">
        <f t="shared" si="37"/>
        <v>1</v>
      </c>
      <c r="N614">
        <f t="shared" si="38"/>
        <v>0</v>
      </c>
      <c r="O614" t="str">
        <f t="shared" si="39"/>
        <v>Proposta Ok</v>
      </c>
    </row>
    <row r="615" spans="12:15" x14ac:dyDescent="0.25">
      <c r="L615">
        <f t="shared" si="36"/>
        <v>0</v>
      </c>
      <c r="M615">
        <f t="shared" si="37"/>
        <v>1</v>
      </c>
      <c r="N615">
        <f t="shared" si="38"/>
        <v>0</v>
      </c>
      <c r="O615" t="str">
        <f t="shared" si="39"/>
        <v>Proposta Ok</v>
      </c>
    </row>
    <row r="616" spans="12:15" x14ac:dyDescent="0.25">
      <c r="L616">
        <f t="shared" si="36"/>
        <v>0</v>
      </c>
      <c r="M616">
        <f t="shared" si="37"/>
        <v>1</v>
      </c>
      <c r="N616">
        <f t="shared" si="38"/>
        <v>0</v>
      </c>
      <c r="O616" t="str">
        <f t="shared" si="39"/>
        <v>Proposta Ok</v>
      </c>
    </row>
    <row r="617" spans="12:15" x14ac:dyDescent="0.25">
      <c r="L617">
        <f t="shared" si="36"/>
        <v>0</v>
      </c>
      <c r="M617">
        <f t="shared" si="37"/>
        <v>1</v>
      </c>
      <c r="N617">
        <f t="shared" si="38"/>
        <v>0</v>
      </c>
      <c r="O617" t="str">
        <f t="shared" si="39"/>
        <v>Proposta Ok</v>
      </c>
    </row>
    <row r="618" spans="12:15" x14ac:dyDescent="0.25">
      <c r="L618">
        <f t="shared" si="36"/>
        <v>0</v>
      </c>
      <c r="M618">
        <f t="shared" si="37"/>
        <v>1</v>
      </c>
      <c r="N618">
        <f t="shared" si="38"/>
        <v>0</v>
      </c>
      <c r="O618" t="str">
        <f t="shared" si="39"/>
        <v>Proposta Ok</v>
      </c>
    </row>
    <row r="619" spans="12:15" x14ac:dyDescent="0.25">
      <c r="L619">
        <f t="shared" si="36"/>
        <v>0</v>
      </c>
      <c r="M619">
        <f t="shared" si="37"/>
        <v>1</v>
      </c>
      <c r="N619">
        <f t="shared" si="38"/>
        <v>0</v>
      </c>
      <c r="O619" t="str">
        <f t="shared" si="39"/>
        <v>Proposta Ok</v>
      </c>
    </row>
    <row r="620" spans="12:15" x14ac:dyDescent="0.25">
      <c r="L620">
        <f t="shared" si="36"/>
        <v>0</v>
      </c>
      <c r="M620">
        <f t="shared" si="37"/>
        <v>1</v>
      </c>
      <c r="N620">
        <f t="shared" si="38"/>
        <v>0</v>
      </c>
      <c r="O620" t="str">
        <f t="shared" si="39"/>
        <v>Proposta Ok</v>
      </c>
    </row>
    <row r="621" spans="12:15" x14ac:dyDescent="0.25">
      <c r="L621">
        <f t="shared" si="36"/>
        <v>0</v>
      </c>
      <c r="M621">
        <f t="shared" si="37"/>
        <v>1</v>
      </c>
      <c r="N621">
        <f t="shared" si="38"/>
        <v>0</v>
      </c>
      <c r="O621" t="str">
        <f t="shared" si="39"/>
        <v>Proposta Ok</v>
      </c>
    </row>
    <row r="622" spans="12:15" x14ac:dyDescent="0.25">
      <c r="L622">
        <f t="shared" si="36"/>
        <v>0</v>
      </c>
      <c r="M622">
        <f t="shared" si="37"/>
        <v>1</v>
      </c>
      <c r="N622">
        <f t="shared" si="38"/>
        <v>0</v>
      </c>
      <c r="O622" t="str">
        <f t="shared" si="39"/>
        <v>Proposta Ok</v>
      </c>
    </row>
    <row r="623" spans="12:15" x14ac:dyDescent="0.25">
      <c r="L623">
        <f t="shared" si="36"/>
        <v>0</v>
      </c>
      <c r="M623">
        <f t="shared" si="37"/>
        <v>1</v>
      </c>
      <c r="N623">
        <f t="shared" si="38"/>
        <v>0</v>
      </c>
      <c r="O623" t="str">
        <f t="shared" si="39"/>
        <v>Proposta Ok</v>
      </c>
    </row>
    <row r="624" spans="12:15" x14ac:dyDescent="0.25">
      <c r="L624">
        <f t="shared" si="36"/>
        <v>0</v>
      </c>
      <c r="M624">
        <f t="shared" si="37"/>
        <v>1</v>
      </c>
      <c r="N624">
        <f t="shared" si="38"/>
        <v>0</v>
      </c>
      <c r="O624" t="str">
        <f t="shared" si="39"/>
        <v>Proposta Ok</v>
      </c>
    </row>
    <row r="625" spans="12:15" x14ac:dyDescent="0.25">
      <c r="L625">
        <f t="shared" si="36"/>
        <v>0</v>
      </c>
      <c r="M625">
        <f t="shared" si="37"/>
        <v>1</v>
      </c>
      <c r="N625">
        <f t="shared" si="38"/>
        <v>0</v>
      </c>
      <c r="O625" t="str">
        <f t="shared" si="39"/>
        <v>Proposta Ok</v>
      </c>
    </row>
    <row r="626" spans="12:15" x14ac:dyDescent="0.25">
      <c r="L626">
        <f t="shared" si="36"/>
        <v>0</v>
      </c>
      <c r="M626">
        <f t="shared" si="37"/>
        <v>1</v>
      </c>
      <c r="N626">
        <f t="shared" si="38"/>
        <v>0</v>
      </c>
      <c r="O626" t="str">
        <f t="shared" si="39"/>
        <v>Proposta Ok</v>
      </c>
    </row>
    <row r="627" spans="12:15" x14ac:dyDescent="0.25">
      <c r="L627">
        <f t="shared" si="36"/>
        <v>0</v>
      </c>
      <c r="M627">
        <f t="shared" si="37"/>
        <v>1</v>
      </c>
      <c r="N627">
        <f t="shared" si="38"/>
        <v>0</v>
      </c>
      <c r="O627" t="str">
        <f t="shared" si="39"/>
        <v>Proposta Ok</v>
      </c>
    </row>
    <row r="628" spans="12:15" x14ac:dyDescent="0.25">
      <c r="L628">
        <f t="shared" si="36"/>
        <v>0</v>
      </c>
      <c r="M628">
        <f t="shared" si="37"/>
        <v>1</v>
      </c>
      <c r="N628">
        <f t="shared" si="38"/>
        <v>0</v>
      </c>
      <c r="O628" t="str">
        <f t="shared" si="39"/>
        <v>Proposta Ok</v>
      </c>
    </row>
    <row r="629" spans="12:15" x14ac:dyDescent="0.25">
      <c r="L629">
        <f t="shared" si="36"/>
        <v>0</v>
      </c>
      <c r="M629">
        <f t="shared" si="37"/>
        <v>1</v>
      </c>
      <c r="N629">
        <f t="shared" si="38"/>
        <v>0</v>
      </c>
      <c r="O629" t="str">
        <f t="shared" si="39"/>
        <v>Proposta Ok</v>
      </c>
    </row>
    <row r="630" spans="12:15" x14ac:dyDescent="0.25">
      <c r="L630">
        <f t="shared" si="36"/>
        <v>0</v>
      </c>
      <c r="M630">
        <f t="shared" si="37"/>
        <v>1</v>
      </c>
      <c r="N630">
        <f t="shared" si="38"/>
        <v>0</v>
      </c>
      <c r="O630" t="str">
        <f t="shared" si="39"/>
        <v>Proposta Ok</v>
      </c>
    </row>
    <row r="631" spans="12:15" x14ac:dyDescent="0.25">
      <c r="L631">
        <f t="shared" si="36"/>
        <v>0</v>
      </c>
      <c r="M631">
        <f t="shared" si="37"/>
        <v>1</v>
      </c>
      <c r="N631">
        <f t="shared" si="38"/>
        <v>0</v>
      </c>
      <c r="O631" t="str">
        <f t="shared" si="39"/>
        <v>Proposta Ok</v>
      </c>
    </row>
    <row r="632" spans="12:15" x14ac:dyDescent="0.25">
      <c r="L632">
        <f t="shared" si="36"/>
        <v>0</v>
      </c>
      <c r="M632">
        <f t="shared" si="37"/>
        <v>1</v>
      </c>
      <c r="N632">
        <f t="shared" si="38"/>
        <v>0</v>
      </c>
      <c r="O632" t="str">
        <f t="shared" si="39"/>
        <v>Proposta Ok</v>
      </c>
    </row>
    <row r="633" spans="12:15" x14ac:dyDescent="0.25">
      <c r="L633">
        <f t="shared" si="36"/>
        <v>0</v>
      </c>
      <c r="M633">
        <f t="shared" si="37"/>
        <v>1</v>
      </c>
      <c r="N633">
        <f t="shared" si="38"/>
        <v>0</v>
      </c>
      <c r="O633" t="str">
        <f t="shared" si="39"/>
        <v>Proposta Ok</v>
      </c>
    </row>
    <row r="634" spans="12:15" x14ac:dyDescent="0.25">
      <c r="L634">
        <f t="shared" si="36"/>
        <v>0</v>
      </c>
      <c r="M634">
        <f t="shared" si="37"/>
        <v>1</v>
      </c>
      <c r="N634">
        <f t="shared" si="38"/>
        <v>0</v>
      </c>
      <c r="O634" t="str">
        <f t="shared" si="39"/>
        <v>Proposta Ok</v>
      </c>
    </row>
    <row r="635" spans="12:15" x14ac:dyDescent="0.25">
      <c r="L635">
        <f t="shared" si="36"/>
        <v>0</v>
      </c>
      <c r="M635">
        <f t="shared" si="37"/>
        <v>1</v>
      </c>
      <c r="N635">
        <f t="shared" si="38"/>
        <v>0</v>
      </c>
      <c r="O635" t="str">
        <f t="shared" si="39"/>
        <v>Proposta Ok</v>
      </c>
    </row>
    <row r="636" spans="12:15" x14ac:dyDescent="0.25">
      <c r="L636">
        <f t="shared" si="36"/>
        <v>0</v>
      </c>
      <c r="M636">
        <f t="shared" si="37"/>
        <v>1</v>
      </c>
      <c r="N636">
        <f t="shared" si="38"/>
        <v>0</v>
      </c>
      <c r="O636" t="str">
        <f t="shared" si="39"/>
        <v>Proposta Ok</v>
      </c>
    </row>
    <row r="637" spans="12:15" x14ac:dyDescent="0.25">
      <c r="L637">
        <f t="shared" si="36"/>
        <v>0</v>
      </c>
      <c r="M637">
        <f t="shared" si="37"/>
        <v>1</v>
      </c>
      <c r="N637">
        <f t="shared" si="38"/>
        <v>0</v>
      </c>
      <c r="O637" t="str">
        <f t="shared" si="39"/>
        <v>Proposta Ok</v>
      </c>
    </row>
    <row r="638" spans="12:15" x14ac:dyDescent="0.25">
      <c r="L638">
        <f t="shared" ref="L638:L701" si="40">IF(OR(I638="Termo OK (Exceção)",I638="Termo OK"),1,0)</f>
        <v>0</v>
      </c>
      <c r="M638">
        <f t="shared" ref="M638:M701" si="41">IF(OR(I638="Termo OK (Exceção)",I638="Termo OK"),0,1)</f>
        <v>1</v>
      </c>
      <c r="N638">
        <f t="shared" ref="N638:N701" si="42">IF(J638="SIM",1,0)</f>
        <v>0</v>
      </c>
      <c r="O638" t="str">
        <f t="shared" si="39"/>
        <v>Proposta Ok</v>
      </c>
    </row>
    <row r="639" spans="12:15" x14ac:dyDescent="0.25">
      <c r="L639">
        <f t="shared" si="40"/>
        <v>0</v>
      </c>
      <c r="M639">
        <f t="shared" si="41"/>
        <v>1</v>
      </c>
      <c r="N639">
        <f t="shared" si="42"/>
        <v>0</v>
      </c>
      <c r="O639" t="str">
        <f t="shared" si="39"/>
        <v>Proposta Ok</v>
      </c>
    </row>
    <row r="640" spans="12:15" x14ac:dyDescent="0.25">
      <c r="L640">
        <f t="shared" si="40"/>
        <v>0</v>
      </c>
      <c r="M640">
        <f t="shared" si="41"/>
        <v>1</v>
      </c>
      <c r="N640">
        <f t="shared" si="42"/>
        <v>0</v>
      </c>
      <c r="O640" t="str">
        <f t="shared" si="39"/>
        <v>Proposta Ok</v>
      </c>
    </row>
    <row r="641" spans="12:15" x14ac:dyDescent="0.25">
      <c r="L641">
        <f t="shared" si="40"/>
        <v>0</v>
      </c>
      <c r="M641">
        <f t="shared" si="41"/>
        <v>1</v>
      </c>
      <c r="N641">
        <f t="shared" si="42"/>
        <v>0</v>
      </c>
      <c r="O641" t="str">
        <f t="shared" si="39"/>
        <v>Proposta Ok</v>
      </c>
    </row>
    <row r="642" spans="12:15" x14ac:dyDescent="0.25">
      <c r="L642">
        <f t="shared" si="40"/>
        <v>0</v>
      </c>
      <c r="M642">
        <f t="shared" si="41"/>
        <v>1</v>
      </c>
      <c r="N642">
        <f t="shared" si="42"/>
        <v>0</v>
      </c>
      <c r="O642" t="str">
        <f t="shared" si="39"/>
        <v>Proposta Ok</v>
      </c>
    </row>
    <row r="643" spans="12:15" x14ac:dyDescent="0.25">
      <c r="L643">
        <f t="shared" si="40"/>
        <v>0</v>
      </c>
      <c r="M643">
        <f t="shared" si="41"/>
        <v>1</v>
      </c>
      <c r="N643">
        <f t="shared" si="42"/>
        <v>0</v>
      </c>
      <c r="O643" t="str">
        <f t="shared" ref="O643:O706" si="43">IF(SUMIFS(M:M,A:A,A643)&gt;0,"Proposta não Ok","Proposta Ok")</f>
        <v>Proposta Ok</v>
      </c>
    </row>
    <row r="644" spans="12:15" x14ac:dyDescent="0.25">
      <c r="L644">
        <f t="shared" si="40"/>
        <v>0</v>
      </c>
      <c r="M644">
        <f t="shared" si="41"/>
        <v>1</v>
      </c>
      <c r="N644">
        <f t="shared" si="42"/>
        <v>0</v>
      </c>
      <c r="O644" t="str">
        <f t="shared" si="43"/>
        <v>Proposta Ok</v>
      </c>
    </row>
    <row r="645" spans="12:15" x14ac:dyDescent="0.25">
      <c r="L645">
        <f t="shared" si="40"/>
        <v>0</v>
      </c>
      <c r="M645">
        <f t="shared" si="41"/>
        <v>1</v>
      </c>
      <c r="N645">
        <f t="shared" si="42"/>
        <v>0</v>
      </c>
      <c r="O645" t="str">
        <f t="shared" si="43"/>
        <v>Proposta Ok</v>
      </c>
    </row>
    <row r="646" spans="12:15" x14ac:dyDescent="0.25">
      <c r="L646">
        <f t="shared" si="40"/>
        <v>0</v>
      </c>
      <c r="M646">
        <f t="shared" si="41"/>
        <v>1</v>
      </c>
      <c r="N646">
        <f t="shared" si="42"/>
        <v>0</v>
      </c>
      <c r="O646" t="str">
        <f t="shared" si="43"/>
        <v>Proposta Ok</v>
      </c>
    </row>
    <row r="647" spans="12:15" x14ac:dyDescent="0.25">
      <c r="L647">
        <f t="shared" si="40"/>
        <v>0</v>
      </c>
      <c r="M647">
        <f t="shared" si="41"/>
        <v>1</v>
      </c>
      <c r="N647">
        <f t="shared" si="42"/>
        <v>0</v>
      </c>
      <c r="O647" t="str">
        <f t="shared" si="43"/>
        <v>Proposta Ok</v>
      </c>
    </row>
    <row r="648" spans="12:15" x14ac:dyDescent="0.25">
      <c r="L648">
        <f t="shared" si="40"/>
        <v>0</v>
      </c>
      <c r="M648">
        <f t="shared" si="41"/>
        <v>1</v>
      </c>
      <c r="N648">
        <f t="shared" si="42"/>
        <v>0</v>
      </c>
      <c r="O648" t="str">
        <f t="shared" si="43"/>
        <v>Proposta Ok</v>
      </c>
    </row>
    <row r="649" spans="12:15" x14ac:dyDescent="0.25">
      <c r="L649">
        <f t="shared" si="40"/>
        <v>0</v>
      </c>
      <c r="M649">
        <f t="shared" si="41"/>
        <v>1</v>
      </c>
      <c r="N649">
        <f t="shared" si="42"/>
        <v>0</v>
      </c>
      <c r="O649" t="str">
        <f t="shared" si="43"/>
        <v>Proposta Ok</v>
      </c>
    </row>
    <row r="650" spans="12:15" x14ac:dyDescent="0.25">
      <c r="L650">
        <f t="shared" si="40"/>
        <v>0</v>
      </c>
      <c r="M650">
        <f t="shared" si="41"/>
        <v>1</v>
      </c>
      <c r="N650">
        <f t="shared" si="42"/>
        <v>0</v>
      </c>
      <c r="O650" t="str">
        <f t="shared" si="43"/>
        <v>Proposta Ok</v>
      </c>
    </row>
    <row r="651" spans="12:15" x14ac:dyDescent="0.25">
      <c r="L651">
        <f t="shared" si="40"/>
        <v>0</v>
      </c>
      <c r="M651">
        <f t="shared" si="41"/>
        <v>1</v>
      </c>
      <c r="N651">
        <f t="shared" si="42"/>
        <v>0</v>
      </c>
      <c r="O651" t="str">
        <f t="shared" si="43"/>
        <v>Proposta Ok</v>
      </c>
    </row>
    <row r="652" spans="12:15" x14ac:dyDescent="0.25">
      <c r="L652">
        <f t="shared" si="40"/>
        <v>0</v>
      </c>
      <c r="M652">
        <f t="shared" si="41"/>
        <v>1</v>
      </c>
      <c r="N652">
        <f t="shared" si="42"/>
        <v>0</v>
      </c>
      <c r="O652" t="str">
        <f t="shared" si="43"/>
        <v>Proposta Ok</v>
      </c>
    </row>
    <row r="653" spans="12:15" x14ac:dyDescent="0.25">
      <c r="L653">
        <f t="shared" si="40"/>
        <v>0</v>
      </c>
      <c r="M653">
        <f t="shared" si="41"/>
        <v>1</v>
      </c>
      <c r="N653">
        <f t="shared" si="42"/>
        <v>0</v>
      </c>
      <c r="O653" t="str">
        <f t="shared" si="43"/>
        <v>Proposta Ok</v>
      </c>
    </row>
    <row r="654" spans="12:15" x14ac:dyDescent="0.25">
      <c r="L654">
        <f t="shared" si="40"/>
        <v>0</v>
      </c>
      <c r="M654">
        <f t="shared" si="41"/>
        <v>1</v>
      </c>
      <c r="N654">
        <f t="shared" si="42"/>
        <v>0</v>
      </c>
      <c r="O654" t="str">
        <f t="shared" si="43"/>
        <v>Proposta Ok</v>
      </c>
    </row>
    <row r="655" spans="12:15" x14ac:dyDescent="0.25">
      <c r="L655">
        <f t="shared" si="40"/>
        <v>0</v>
      </c>
      <c r="M655">
        <f t="shared" si="41"/>
        <v>1</v>
      </c>
      <c r="N655">
        <f t="shared" si="42"/>
        <v>0</v>
      </c>
      <c r="O655" t="str">
        <f t="shared" si="43"/>
        <v>Proposta Ok</v>
      </c>
    </row>
    <row r="656" spans="12:15" x14ac:dyDescent="0.25">
      <c r="L656">
        <f t="shared" si="40"/>
        <v>0</v>
      </c>
      <c r="M656">
        <f t="shared" si="41"/>
        <v>1</v>
      </c>
      <c r="N656">
        <f t="shared" si="42"/>
        <v>0</v>
      </c>
      <c r="O656" t="str">
        <f t="shared" si="43"/>
        <v>Proposta Ok</v>
      </c>
    </row>
    <row r="657" spans="12:15" x14ac:dyDescent="0.25">
      <c r="L657">
        <f t="shared" si="40"/>
        <v>0</v>
      </c>
      <c r="M657">
        <f t="shared" si="41"/>
        <v>1</v>
      </c>
      <c r="N657">
        <f t="shared" si="42"/>
        <v>0</v>
      </c>
      <c r="O657" t="str">
        <f t="shared" si="43"/>
        <v>Proposta Ok</v>
      </c>
    </row>
    <row r="658" spans="12:15" x14ac:dyDescent="0.25">
      <c r="L658">
        <f t="shared" si="40"/>
        <v>0</v>
      </c>
      <c r="M658">
        <f t="shared" si="41"/>
        <v>1</v>
      </c>
      <c r="N658">
        <f t="shared" si="42"/>
        <v>0</v>
      </c>
      <c r="O658" t="str">
        <f t="shared" si="43"/>
        <v>Proposta Ok</v>
      </c>
    </row>
    <row r="659" spans="12:15" x14ac:dyDescent="0.25">
      <c r="L659">
        <f t="shared" si="40"/>
        <v>0</v>
      </c>
      <c r="M659">
        <f t="shared" si="41"/>
        <v>1</v>
      </c>
      <c r="N659">
        <f t="shared" si="42"/>
        <v>0</v>
      </c>
      <c r="O659" t="str">
        <f t="shared" si="43"/>
        <v>Proposta Ok</v>
      </c>
    </row>
    <row r="660" spans="12:15" x14ac:dyDescent="0.25">
      <c r="L660">
        <f t="shared" si="40"/>
        <v>0</v>
      </c>
      <c r="M660">
        <f t="shared" si="41"/>
        <v>1</v>
      </c>
      <c r="N660">
        <f t="shared" si="42"/>
        <v>0</v>
      </c>
      <c r="O660" t="str">
        <f t="shared" si="43"/>
        <v>Proposta Ok</v>
      </c>
    </row>
    <row r="661" spans="12:15" x14ac:dyDescent="0.25">
      <c r="L661">
        <f t="shared" si="40"/>
        <v>0</v>
      </c>
      <c r="M661">
        <f t="shared" si="41"/>
        <v>1</v>
      </c>
      <c r="N661">
        <f t="shared" si="42"/>
        <v>0</v>
      </c>
      <c r="O661" t="str">
        <f t="shared" si="43"/>
        <v>Proposta Ok</v>
      </c>
    </row>
    <row r="662" spans="12:15" x14ac:dyDescent="0.25">
      <c r="L662">
        <f t="shared" si="40"/>
        <v>0</v>
      </c>
      <c r="M662">
        <f t="shared" si="41"/>
        <v>1</v>
      </c>
      <c r="N662">
        <f t="shared" si="42"/>
        <v>0</v>
      </c>
      <c r="O662" t="str">
        <f t="shared" si="43"/>
        <v>Proposta Ok</v>
      </c>
    </row>
    <row r="663" spans="12:15" x14ac:dyDescent="0.25">
      <c r="L663">
        <f t="shared" si="40"/>
        <v>0</v>
      </c>
      <c r="M663">
        <f t="shared" si="41"/>
        <v>1</v>
      </c>
      <c r="N663">
        <f t="shared" si="42"/>
        <v>0</v>
      </c>
      <c r="O663" t="str">
        <f t="shared" si="43"/>
        <v>Proposta Ok</v>
      </c>
    </row>
    <row r="664" spans="12:15" x14ac:dyDescent="0.25">
      <c r="L664">
        <f t="shared" si="40"/>
        <v>0</v>
      </c>
      <c r="M664">
        <f t="shared" si="41"/>
        <v>1</v>
      </c>
      <c r="N664">
        <f t="shared" si="42"/>
        <v>0</v>
      </c>
      <c r="O664" t="str">
        <f t="shared" si="43"/>
        <v>Proposta Ok</v>
      </c>
    </row>
    <row r="665" spans="12:15" x14ac:dyDescent="0.25">
      <c r="L665">
        <f t="shared" si="40"/>
        <v>0</v>
      </c>
      <c r="M665">
        <f t="shared" si="41"/>
        <v>1</v>
      </c>
      <c r="N665">
        <f t="shared" si="42"/>
        <v>0</v>
      </c>
      <c r="O665" t="str">
        <f t="shared" si="43"/>
        <v>Proposta Ok</v>
      </c>
    </row>
    <row r="666" spans="12:15" x14ac:dyDescent="0.25">
      <c r="L666">
        <f t="shared" si="40"/>
        <v>0</v>
      </c>
      <c r="M666">
        <f t="shared" si="41"/>
        <v>1</v>
      </c>
      <c r="N666">
        <f t="shared" si="42"/>
        <v>0</v>
      </c>
      <c r="O666" t="str">
        <f t="shared" si="43"/>
        <v>Proposta Ok</v>
      </c>
    </row>
    <row r="667" spans="12:15" x14ac:dyDescent="0.25">
      <c r="L667">
        <f t="shared" si="40"/>
        <v>0</v>
      </c>
      <c r="M667">
        <f t="shared" si="41"/>
        <v>1</v>
      </c>
      <c r="N667">
        <f t="shared" si="42"/>
        <v>0</v>
      </c>
      <c r="O667" t="str">
        <f t="shared" si="43"/>
        <v>Proposta Ok</v>
      </c>
    </row>
    <row r="668" spans="12:15" x14ac:dyDescent="0.25">
      <c r="L668">
        <f t="shared" si="40"/>
        <v>0</v>
      </c>
      <c r="M668">
        <f t="shared" si="41"/>
        <v>1</v>
      </c>
      <c r="N668">
        <f t="shared" si="42"/>
        <v>0</v>
      </c>
      <c r="O668" t="str">
        <f t="shared" si="43"/>
        <v>Proposta Ok</v>
      </c>
    </row>
    <row r="669" spans="12:15" x14ac:dyDescent="0.25">
      <c r="L669">
        <f t="shared" si="40"/>
        <v>0</v>
      </c>
      <c r="M669">
        <f t="shared" si="41"/>
        <v>1</v>
      </c>
      <c r="N669">
        <f t="shared" si="42"/>
        <v>0</v>
      </c>
      <c r="O669" t="str">
        <f t="shared" si="43"/>
        <v>Proposta Ok</v>
      </c>
    </row>
    <row r="670" spans="12:15" x14ac:dyDescent="0.25">
      <c r="L670">
        <f t="shared" si="40"/>
        <v>0</v>
      </c>
      <c r="M670">
        <f t="shared" si="41"/>
        <v>1</v>
      </c>
      <c r="N670">
        <f t="shared" si="42"/>
        <v>0</v>
      </c>
      <c r="O670" t="str">
        <f t="shared" si="43"/>
        <v>Proposta Ok</v>
      </c>
    </row>
    <row r="671" spans="12:15" x14ac:dyDescent="0.25">
      <c r="L671">
        <f t="shared" si="40"/>
        <v>0</v>
      </c>
      <c r="M671">
        <f t="shared" si="41"/>
        <v>1</v>
      </c>
      <c r="N671">
        <f t="shared" si="42"/>
        <v>0</v>
      </c>
      <c r="O671" t="str">
        <f t="shared" si="43"/>
        <v>Proposta Ok</v>
      </c>
    </row>
    <row r="672" spans="12:15" x14ac:dyDescent="0.25">
      <c r="L672">
        <f t="shared" si="40"/>
        <v>0</v>
      </c>
      <c r="M672">
        <f t="shared" si="41"/>
        <v>1</v>
      </c>
      <c r="N672">
        <f t="shared" si="42"/>
        <v>0</v>
      </c>
      <c r="O672" t="str">
        <f t="shared" si="43"/>
        <v>Proposta Ok</v>
      </c>
    </row>
    <row r="673" spans="12:15" x14ac:dyDescent="0.25">
      <c r="L673">
        <f t="shared" si="40"/>
        <v>0</v>
      </c>
      <c r="M673">
        <f t="shared" si="41"/>
        <v>1</v>
      </c>
      <c r="N673">
        <f t="shared" si="42"/>
        <v>0</v>
      </c>
      <c r="O673" t="str">
        <f t="shared" si="43"/>
        <v>Proposta Ok</v>
      </c>
    </row>
    <row r="674" spans="12:15" x14ac:dyDescent="0.25">
      <c r="L674">
        <f t="shared" si="40"/>
        <v>0</v>
      </c>
      <c r="M674">
        <f t="shared" si="41"/>
        <v>1</v>
      </c>
      <c r="N674">
        <f t="shared" si="42"/>
        <v>0</v>
      </c>
      <c r="O674" t="str">
        <f t="shared" si="43"/>
        <v>Proposta Ok</v>
      </c>
    </row>
    <row r="675" spans="12:15" x14ac:dyDescent="0.25">
      <c r="L675">
        <f t="shared" si="40"/>
        <v>0</v>
      </c>
      <c r="M675">
        <f t="shared" si="41"/>
        <v>1</v>
      </c>
      <c r="N675">
        <f t="shared" si="42"/>
        <v>0</v>
      </c>
      <c r="O675" t="str">
        <f t="shared" si="43"/>
        <v>Proposta Ok</v>
      </c>
    </row>
    <row r="676" spans="12:15" x14ac:dyDescent="0.25">
      <c r="L676">
        <f t="shared" si="40"/>
        <v>0</v>
      </c>
      <c r="M676">
        <f t="shared" si="41"/>
        <v>1</v>
      </c>
      <c r="N676">
        <f t="shared" si="42"/>
        <v>0</v>
      </c>
      <c r="O676" t="str">
        <f t="shared" si="43"/>
        <v>Proposta Ok</v>
      </c>
    </row>
    <row r="677" spans="12:15" x14ac:dyDescent="0.25">
      <c r="L677">
        <f t="shared" si="40"/>
        <v>0</v>
      </c>
      <c r="M677">
        <f t="shared" si="41"/>
        <v>1</v>
      </c>
      <c r="N677">
        <f t="shared" si="42"/>
        <v>0</v>
      </c>
      <c r="O677" t="str">
        <f t="shared" si="43"/>
        <v>Proposta Ok</v>
      </c>
    </row>
    <row r="678" spans="12:15" x14ac:dyDescent="0.25">
      <c r="L678">
        <f t="shared" si="40"/>
        <v>0</v>
      </c>
      <c r="M678">
        <f t="shared" si="41"/>
        <v>1</v>
      </c>
      <c r="N678">
        <f t="shared" si="42"/>
        <v>0</v>
      </c>
      <c r="O678" t="str">
        <f t="shared" si="43"/>
        <v>Proposta Ok</v>
      </c>
    </row>
    <row r="679" spans="12:15" x14ac:dyDescent="0.25">
      <c r="L679">
        <f t="shared" si="40"/>
        <v>0</v>
      </c>
      <c r="M679">
        <f t="shared" si="41"/>
        <v>1</v>
      </c>
      <c r="N679">
        <f t="shared" si="42"/>
        <v>0</v>
      </c>
      <c r="O679" t="str">
        <f t="shared" si="43"/>
        <v>Proposta Ok</v>
      </c>
    </row>
    <row r="680" spans="12:15" x14ac:dyDescent="0.25">
      <c r="L680">
        <f t="shared" si="40"/>
        <v>0</v>
      </c>
      <c r="M680">
        <f t="shared" si="41"/>
        <v>1</v>
      </c>
      <c r="N680">
        <f t="shared" si="42"/>
        <v>0</v>
      </c>
      <c r="O680" t="str">
        <f t="shared" si="43"/>
        <v>Proposta Ok</v>
      </c>
    </row>
    <row r="681" spans="12:15" x14ac:dyDescent="0.25">
      <c r="L681">
        <f t="shared" si="40"/>
        <v>0</v>
      </c>
      <c r="M681">
        <f t="shared" si="41"/>
        <v>1</v>
      </c>
      <c r="N681">
        <f t="shared" si="42"/>
        <v>0</v>
      </c>
      <c r="O681" t="str">
        <f t="shared" si="43"/>
        <v>Proposta Ok</v>
      </c>
    </row>
    <row r="682" spans="12:15" x14ac:dyDescent="0.25">
      <c r="L682">
        <f t="shared" si="40"/>
        <v>0</v>
      </c>
      <c r="M682">
        <f t="shared" si="41"/>
        <v>1</v>
      </c>
      <c r="N682">
        <f t="shared" si="42"/>
        <v>0</v>
      </c>
      <c r="O682" t="str">
        <f t="shared" si="43"/>
        <v>Proposta Ok</v>
      </c>
    </row>
    <row r="683" spans="12:15" x14ac:dyDescent="0.25">
      <c r="L683">
        <f t="shared" si="40"/>
        <v>0</v>
      </c>
      <c r="M683">
        <f t="shared" si="41"/>
        <v>1</v>
      </c>
      <c r="N683">
        <f t="shared" si="42"/>
        <v>0</v>
      </c>
      <c r="O683" t="str">
        <f t="shared" si="43"/>
        <v>Proposta Ok</v>
      </c>
    </row>
    <row r="684" spans="12:15" x14ac:dyDescent="0.25">
      <c r="L684">
        <f t="shared" si="40"/>
        <v>0</v>
      </c>
      <c r="M684">
        <f t="shared" si="41"/>
        <v>1</v>
      </c>
      <c r="N684">
        <f t="shared" si="42"/>
        <v>0</v>
      </c>
      <c r="O684" t="str">
        <f t="shared" si="43"/>
        <v>Proposta Ok</v>
      </c>
    </row>
    <row r="685" spans="12:15" x14ac:dyDescent="0.25">
      <c r="L685">
        <f t="shared" si="40"/>
        <v>0</v>
      </c>
      <c r="M685">
        <f t="shared" si="41"/>
        <v>1</v>
      </c>
      <c r="N685">
        <f t="shared" si="42"/>
        <v>0</v>
      </c>
      <c r="O685" t="str">
        <f t="shared" si="43"/>
        <v>Proposta Ok</v>
      </c>
    </row>
    <row r="686" spans="12:15" x14ac:dyDescent="0.25">
      <c r="L686">
        <f t="shared" si="40"/>
        <v>0</v>
      </c>
      <c r="M686">
        <f t="shared" si="41"/>
        <v>1</v>
      </c>
      <c r="N686">
        <f t="shared" si="42"/>
        <v>0</v>
      </c>
      <c r="O686" t="str">
        <f t="shared" si="43"/>
        <v>Proposta Ok</v>
      </c>
    </row>
    <row r="687" spans="12:15" x14ac:dyDescent="0.25">
      <c r="L687">
        <f t="shared" si="40"/>
        <v>0</v>
      </c>
      <c r="M687">
        <f t="shared" si="41"/>
        <v>1</v>
      </c>
      <c r="N687">
        <f t="shared" si="42"/>
        <v>0</v>
      </c>
      <c r="O687" t="str">
        <f t="shared" si="43"/>
        <v>Proposta Ok</v>
      </c>
    </row>
    <row r="688" spans="12:15" x14ac:dyDescent="0.25">
      <c r="L688">
        <f t="shared" si="40"/>
        <v>0</v>
      </c>
      <c r="M688">
        <f t="shared" si="41"/>
        <v>1</v>
      </c>
      <c r="N688">
        <f t="shared" si="42"/>
        <v>0</v>
      </c>
      <c r="O688" t="str">
        <f t="shared" si="43"/>
        <v>Proposta Ok</v>
      </c>
    </row>
    <row r="689" spans="12:15" x14ac:dyDescent="0.25">
      <c r="L689">
        <f t="shared" si="40"/>
        <v>0</v>
      </c>
      <c r="M689">
        <f t="shared" si="41"/>
        <v>1</v>
      </c>
      <c r="N689">
        <f t="shared" si="42"/>
        <v>0</v>
      </c>
      <c r="O689" t="str">
        <f t="shared" si="43"/>
        <v>Proposta Ok</v>
      </c>
    </row>
    <row r="690" spans="12:15" x14ac:dyDescent="0.25">
      <c r="L690">
        <f t="shared" si="40"/>
        <v>0</v>
      </c>
      <c r="M690">
        <f t="shared" si="41"/>
        <v>1</v>
      </c>
      <c r="N690">
        <f t="shared" si="42"/>
        <v>0</v>
      </c>
      <c r="O690" t="str">
        <f t="shared" si="43"/>
        <v>Proposta Ok</v>
      </c>
    </row>
    <row r="691" spans="12:15" x14ac:dyDescent="0.25">
      <c r="L691">
        <f t="shared" si="40"/>
        <v>0</v>
      </c>
      <c r="M691">
        <f t="shared" si="41"/>
        <v>1</v>
      </c>
      <c r="N691">
        <f t="shared" si="42"/>
        <v>0</v>
      </c>
      <c r="O691" t="str">
        <f t="shared" si="43"/>
        <v>Proposta Ok</v>
      </c>
    </row>
    <row r="692" spans="12:15" x14ac:dyDescent="0.25">
      <c r="L692">
        <f t="shared" si="40"/>
        <v>0</v>
      </c>
      <c r="M692">
        <f t="shared" si="41"/>
        <v>1</v>
      </c>
      <c r="N692">
        <f t="shared" si="42"/>
        <v>0</v>
      </c>
      <c r="O692" t="str">
        <f t="shared" si="43"/>
        <v>Proposta Ok</v>
      </c>
    </row>
    <row r="693" spans="12:15" x14ac:dyDescent="0.25">
      <c r="L693">
        <f t="shared" si="40"/>
        <v>0</v>
      </c>
      <c r="M693">
        <f t="shared" si="41"/>
        <v>1</v>
      </c>
      <c r="N693">
        <f t="shared" si="42"/>
        <v>0</v>
      </c>
      <c r="O693" t="str">
        <f t="shared" si="43"/>
        <v>Proposta Ok</v>
      </c>
    </row>
    <row r="694" spans="12:15" x14ac:dyDescent="0.25">
      <c r="L694">
        <f t="shared" si="40"/>
        <v>0</v>
      </c>
      <c r="M694">
        <f t="shared" si="41"/>
        <v>1</v>
      </c>
      <c r="N694">
        <f t="shared" si="42"/>
        <v>0</v>
      </c>
      <c r="O694" t="str">
        <f t="shared" si="43"/>
        <v>Proposta Ok</v>
      </c>
    </row>
    <row r="695" spans="12:15" x14ac:dyDescent="0.25">
      <c r="L695">
        <f t="shared" si="40"/>
        <v>0</v>
      </c>
      <c r="M695">
        <f t="shared" si="41"/>
        <v>1</v>
      </c>
      <c r="N695">
        <f t="shared" si="42"/>
        <v>0</v>
      </c>
      <c r="O695" t="str">
        <f t="shared" si="43"/>
        <v>Proposta Ok</v>
      </c>
    </row>
    <row r="696" spans="12:15" x14ac:dyDescent="0.25">
      <c r="L696">
        <f t="shared" si="40"/>
        <v>0</v>
      </c>
      <c r="M696">
        <f t="shared" si="41"/>
        <v>1</v>
      </c>
      <c r="N696">
        <f t="shared" si="42"/>
        <v>0</v>
      </c>
      <c r="O696" t="str">
        <f t="shared" si="43"/>
        <v>Proposta Ok</v>
      </c>
    </row>
    <row r="697" spans="12:15" x14ac:dyDescent="0.25">
      <c r="L697">
        <f t="shared" si="40"/>
        <v>0</v>
      </c>
      <c r="M697">
        <f t="shared" si="41"/>
        <v>1</v>
      </c>
      <c r="N697">
        <f t="shared" si="42"/>
        <v>0</v>
      </c>
      <c r="O697" t="str">
        <f t="shared" si="43"/>
        <v>Proposta Ok</v>
      </c>
    </row>
    <row r="698" spans="12:15" x14ac:dyDescent="0.25">
      <c r="L698">
        <f t="shared" si="40"/>
        <v>0</v>
      </c>
      <c r="M698">
        <f t="shared" si="41"/>
        <v>1</v>
      </c>
      <c r="N698">
        <f t="shared" si="42"/>
        <v>0</v>
      </c>
      <c r="O698" t="str">
        <f t="shared" si="43"/>
        <v>Proposta Ok</v>
      </c>
    </row>
    <row r="699" spans="12:15" x14ac:dyDescent="0.25">
      <c r="L699">
        <f t="shared" si="40"/>
        <v>0</v>
      </c>
      <c r="M699">
        <f t="shared" si="41"/>
        <v>1</v>
      </c>
      <c r="N699">
        <f t="shared" si="42"/>
        <v>0</v>
      </c>
      <c r="O699" t="str">
        <f t="shared" si="43"/>
        <v>Proposta Ok</v>
      </c>
    </row>
    <row r="700" spans="12:15" x14ac:dyDescent="0.25">
      <c r="L700">
        <f t="shared" si="40"/>
        <v>0</v>
      </c>
      <c r="M700">
        <f t="shared" si="41"/>
        <v>1</v>
      </c>
      <c r="N700">
        <f t="shared" si="42"/>
        <v>0</v>
      </c>
      <c r="O700" t="str">
        <f t="shared" si="43"/>
        <v>Proposta Ok</v>
      </c>
    </row>
    <row r="701" spans="12:15" x14ac:dyDescent="0.25">
      <c r="L701">
        <f t="shared" si="40"/>
        <v>0</v>
      </c>
      <c r="M701">
        <f t="shared" si="41"/>
        <v>1</v>
      </c>
      <c r="N701">
        <f t="shared" si="42"/>
        <v>0</v>
      </c>
      <c r="O701" t="str">
        <f t="shared" si="43"/>
        <v>Proposta Ok</v>
      </c>
    </row>
    <row r="702" spans="12:15" x14ac:dyDescent="0.25">
      <c r="L702">
        <f t="shared" ref="L702:L765" si="44">IF(OR(I702="Termo OK (Exceção)",I702="Termo OK"),1,0)</f>
        <v>0</v>
      </c>
      <c r="M702">
        <f t="shared" ref="M702:M765" si="45">IF(OR(I702="Termo OK (Exceção)",I702="Termo OK"),0,1)</f>
        <v>1</v>
      </c>
      <c r="N702">
        <f t="shared" ref="N702:N765" si="46">IF(J702="SIM",1,0)</f>
        <v>0</v>
      </c>
      <c r="O702" t="str">
        <f t="shared" si="43"/>
        <v>Proposta Ok</v>
      </c>
    </row>
    <row r="703" spans="12:15" x14ac:dyDescent="0.25">
      <c r="L703">
        <f t="shared" si="44"/>
        <v>0</v>
      </c>
      <c r="M703">
        <f t="shared" si="45"/>
        <v>1</v>
      </c>
      <c r="N703">
        <f t="shared" si="46"/>
        <v>0</v>
      </c>
      <c r="O703" t="str">
        <f t="shared" si="43"/>
        <v>Proposta Ok</v>
      </c>
    </row>
    <row r="704" spans="12:15" x14ac:dyDescent="0.25">
      <c r="L704">
        <f t="shared" si="44"/>
        <v>0</v>
      </c>
      <c r="M704">
        <f t="shared" si="45"/>
        <v>1</v>
      </c>
      <c r="N704">
        <f t="shared" si="46"/>
        <v>0</v>
      </c>
      <c r="O704" t="str">
        <f t="shared" si="43"/>
        <v>Proposta Ok</v>
      </c>
    </row>
    <row r="705" spans="12:15" x14ac:dyDescent="0.25">
      <c r="L705">
        <f t="shared" si="44"/>
        <v>0</v>
      </c>
      <c r="M705">
        <f t="shared" si="45"/>
        <v>1</v>
      </c>
      <c r="N705">
        <f t="shared" si="46"/>
        <v>0</v>
      </c>
      <c r="O705" t="str">
        <f t="shared" si="43"/>
        <v>Proposta Ok</v>
      </c>
    </row>
    <row r="706" spans="12:15" x14ac:dyDescent="0.25">
      <c r="L706">
        <f t="shared" si="44"/>
        <v>0</v>
      </c>
      <c r="M706">
        <f t="shared" si="45"/>
        <v>1</v>
      </c>
      <c r="N706">
        <f t="shared" si="46"/>
        <v>0</v>
      </c>
      <c r="O706" t="str">
        <f t="shared" si="43"/>
        <v>Proposta Ok</v>
      </c>
    </row>
    <row r="707" spans="12:15" x14ac:dyDescent="0.25">
      <c r="L707">
        <f t="shared" si="44"/>
        <v>0</v>
      </c>
      <c r="M707">
        <f t="shared" si="45"/>
        <v>1</v>
      </c>
      <c r="N707">
        <f t="shared" si="46"/>
        <v>0</v>
      </c>
      <c r="O707" t="str">
        <f t="shared" ref="O707:O770" si="47">IF(SUMIFS(M:M,A:A,A707)&gt;0,"Proposta não Ok","Proposta Ok")</f>
        <v>Proposta Ok</v>
      </c>
    </row>
    <row r="708" spans="12:15" x14ac:dyDescent="0.25">
      <c r="L708">
        <f t="shared" si="44"/>
        <v>0</v>
      </c>
      <c r="M708">
        <f t="shared" si="45"/>
        <v>1</v>
      </c>
      <c r="N708">
        <f t="shared" si="46"/>
        <v>0</v>
      </c>
      <c r="O708" t="str">
        <f t="shared" si="47"/>
        <v>Proposta Ok</v>
      </c>
    </row>
    <row r="709" spans="12:15" x14ac:dyDescent="0.25">
      <c r="L709">
        <f t="shared" si="44"/>
        <v>0</v>
      </c>
      <c r="M709">
        <f t="shared" si="45"/>
        <v>1</v>
      </c>
      <c r="N709">
        <f t="shared" si="46"/>
        <v>0</v>
      </c>
      <c r="O709" t="str">
        <f t="shared" si="47"/>
        <v>Proposta Ok</v>
      </c>
    </row>
    <row r="710" spans="12:15" x14ac:dyDescent="0.25">
      <c r="L710">
        <f t="shared" si="44"/>
        <v>0</v>
      </c>
      <c r="M710">
        <f t="shared" si="45"/>
        <v>1</v>
      </c>
      <c r="N710">
        <f t="shared" si="46"/>
        <v>0</v>
      </c>
      <c r="O710" t="str">
        <f t="shared" si="47"/>
        <v>Proposta Ok</v>
      </c>
    </row>
    <row r="711" spans="12:15" x14ac:dyDescent="0.25">
      <c r="L711">
        <f t="shared" si="44"/>
        <v>0</v>
      </c>
      <c r="M711">
        <f t="shared" si="45"/>
        <v>1</v>
      </c>
      <c r="N711">
        <f t="shared" si="46"/>
        <v>0</v>
      </c>
      <c r="O711" t="str">
        <f t="shared" si="47"/>
        <v>Proposta Ok</v>
      </c>
    </row>
    <row r="712" spans="12:15" x14ac:dyDescent="0.25">
      <c r="L712">
        <f t="shared" si="44"/>
        <v>0</v>
      </c>
      <c r="M712">
        <f t="shared" si="45"/>
        <v>1</v>
      </c>
      <c r="N712">
        <f t="shared" si="46"/>
        <v>0</v>
      </c>
      <c r="O712" t="str">
        <f t="shared" si="47"/>
        <v>Proposta Ok</v>
      </c>
    </row>
    <row r="713" spans="12:15" x14ac:dyDescent="0.25">
      <c r="L713">
        <f t="shared" si="44"/>
        <v>0</v>
      </c>
      <c r="M713">
        <f t="shared" si="45"/>
        <v>1</v>
      </c>
      <c r="N713">
        <f t="shared" si="46"/>
        <v>0</v>
      </c>
      <c r="O713" t="str">
        <f t="shared" si="47"/>
        <v>Proposta Ok</v>
      </c>
    </row>
    <row r="714" spans="12:15" x14ac:dyDescent="0.25">
      <c r="L714">
        <f t="shared" si="44"/>
        <v>0</v>
      </c>
      <c r="M714">
        <f t="shared" si="45"/>
        <v>1</v>
      </c>
      <c r="N714">
        <f t="shared" si="46"/>
        <v>0</v>
      </c>
      <c r="O714" t="str">
        <f t="shared" si="47"/>
        <v>Proposta Ok</v>
      </c>
    </row>
    <row r="715" spans="12:15" x14ac:dyDescent="0.25">
      <c r="L715">
        <f t="shared" si="44"/>
        <v>0</v>
      </c>
      <c r="M715">
        <f t="shared" si="45"/>
        <v>1</v>
      </c>
      <c r="N715">
        <f t="shared" si="46"/>
        <v>0</v>
      </c>
      <c r="O715" t="str">
        <f t="shared" si="47"/>
        <v>Proposta Ok</v>
      </c>
    </row>
    <row r="716" spans="12:15" x14ac:dyDescent="0.25">
      <c r="L716">
        <f t="shared" si="44"/>
        <v>0</v>
      </c>
      <c r="M716">
        <f t="shared" si="45"/>
        <v>1</v>
      </c>
      <c r="N716">
        <f t="shared" si="46"/>
        <v>0</v>
      </c>
      <c r="O716" t="str">
        <f t="shared" si="47"/>
        <v>Proposta Ok</v>
      </c>
    </row>
    <row r="717" spans="12:15" x14ac:dyDescent="0.25">
      <c r="L717">
        <f t="shared" si="44"/>
        <v>0</v>
      </c>
      <c r="M717">
        <f t="shared" si="45"/>
        <v>1</v>
      </c>
      <c r="N717">
        <f t="shared" si="46"/>
        <v>0</v>
      </c>
      <c r="O717" t="str">
        <f t="shared" si="47"/>
        <v>Proposta Ok</v>
      </c>
    </row>
    <row r="718" spans="12:15" x14ac:dyDescent="0.25">
      <c r="L718">
        <f t="shared" si="44"/>
        <v>0</v>
      </c>
      <c r="M718">
        <f t="shared" si="45"/>
        <v>1</v>
      </c>
      <c r="N718">
        <f t="shared" si="46"/>
        <v>0</v>
      </c>
      <c r="O718" t="str">
        <f t="shared" si="47"/>
        <v>Proposta Ok</v>
      </c>
    </row>
    <row r="719" spans="12:15" x14ac:dyDescent="0.25">
      <c r="L719">
        <f t="shared" si="44"/>
        <v>0</v>
      </c>
      <c r="M719">
        <f t="shared" si="45"/>
        <v>1</v>
      </c>
      <c r="N719">
        <f t="shared" si="46"/>
        <v>0</v>
      </c>
      <c r="O719" t="str">
        <f t="shared" si="47"/>
        <v>Proposta Ok</v>
      </c>
    </row>
    <row r="720" spans="12:15" x14ac:dyDescent="0.25">
      <c r="L720">
        <f t="shared" si="44"/>
        <v>0</v>
      </c>
      <c r="M720">
        <f t="shared" si="45"/>
        <v>1</v>
      </c>
      <c r="N720">
        <f t="shared" si="46"/>
        <v>0</v>
      </c>
      <c r="O720" t="str">
        <f t="shared" si="47"/>
        <v>Proposta Ok</v>
      </c>
    </row>
    <row r="721" spans="12:15" x14ac:dyDescent="0.25">
      <c r="L721">
        <f t="shared" si="44"/>
        <v>0</v>
      </c>
      <c r="M721">
        <f t="shared" si="45"/>
        <v>1</v>
      </c>
      <c r="N721">
        <f t="shared" si="46"/>
        <v>0</v>
      </c>
      <c r="O721" t="str">
        <f t="shared" si="47"/>
        <v>Proposta Ok</v>
      </c>
    </row>
    <row r="722" spans="12:15" x14ac:dyDescent="0.25">
      <c r="L722">
        <f t="shared" si="44"/>
        <v>0</v>
      </c>
      <c r="M722">
        <f t="shared" si="45"/>
        <v>1</v>
      </c>
      <c r="N722">
        <f t="shared" si="46"/>
        <v>0</v>
      </c>
      <c r="O722" t="str">
        <f t="shared" si="47"/>
        <v>Proposta Ok</v>
      </c>
    </row>
    <row r="723" spans="12:15" x14ac:dyDescent="0.25">
      <c r="L723">
        <f t="shared" si="44"/>
        <v>0</v>
      </c>
      <c r="M723">
        <f t="shared" si="45"/>
        <v>1</v>
      </c>
      <c r="N723">
        <f t="shared" si="46"/>
        <v>0</v>
      </c>
      <c r="O723" t="str">
        <f t="shared" si="47"/>
        <v>Proposta Ok</v>
      </c>
    </row>
    <row r="724" spans="12:15" x14ac:dyDescent="0.25">
      <c r="L724">
        <f t="shared" si="44"/>
        <v>0</v>
      </c>
      <c r="M724">
        <f t="shared" si="45"/>
        <v>1</v>
      </c>
      <c r="N724">
        <f t="shared" si="46"/>
        <v>0</v>
      </c>
      <c r="O724" t="str">
        <f t="shared" si="47"/>
        <v>Proposta Ok</v>
      </c>
    </row>
    <row r="725" spans="12:15" x14ac:dyDescent="0.25">
      <c r="L725">
        <f t="shared" si="44"/>
        <v>0</v>
      </c>
      <c r="M725">
        <f t="shared" si="45"/>
        <v>1</v>
      </c>
      <c r="N725">
        <f t="shared" si="46"/>
        <v>0</v>
      </c>
      <c r="O725" t="str">
        <f t="shared" si="47"/>
        <v>Proposta Ok</v>
      </c>
    </row>
    <row r="726" spans="12:15" x14ac:dyDescent="0.25">
      <c r="L726">
        <f t="shared" si="44"/>
        <v>0</v>
      </c>
      <c r="M726">
        <f t="shared" si="45"/>
        <v>1</v>
      </c>
      <c r="N726">
        <f t="shared" si="46"/>
        <v>0</v>
      </c>
      <c r="O726" t="str">
        <f t="shared" si="47"/>
        <v>Proposta Ok</v>
      </c>
    </row>
    <row r="727" spans="12:15" x14ac:dyDescent="0.25">
      <c r="L727">
        <f t="shared" si="44"/>
        <v>0</v>
      </c>
      <c r="M727">
        <f t="shared" si="45"/>
        <v>1</v>
      </c>
      <c r="N727">
        <f t="shared" si="46"/>
        <v>0</v>
      </c>
      <c r="O727" t="str">
        <f t="shared" si="47"/>
        <v>Proposta Ok</v>
      </c>
    </row>
    <row r="728" spans="12:15" x14ac:dyDescent="0.25">
      <c r="L728">
        <f t="shared" si="44"/>
        <v>0</v>
      </c>
      <c r="M728">
        <f t="shared" si="45"/>
        <v>1</v>
      </c>
      <c r="N728">
        <f t="shared" si="46"/>
        <v>0</v>
      </c>
      <c r="O728" t="str">
        <f t="shared" si="47"/>
        <v>Proposta Ok</v>
      </c>
    </row>
    <row r="729" spans="12:15" x14ac:dyDescent="0.25">
      <c r="L729">
        <f t="shared" si="44"/>
        <v>0</v>
      </c>
      <c r="M729">
        <f t="shared" si="45"/>
        <v>1</v>
      </c>
      <c r="N729">
        <f t="shared" si="46"/>
        <v>0</v>
      </c>
      <c r="O729" t="str">
        <f t="shared" si="47"/>
        <v>Proposta Ok</v>
      </c>
    </row>
    <row r="730" spans="12:15" x14ac:dyDescent="0.25">
      <c r="L730">
        <f t="shared" si="44"/>
        <v>0</v>
      </c>
      <c r="M730">
        <f t="shared" si="45"/>
        <v>1</v>
      </c>
      <c r="N730">
        <f t="shared" si="46"/>
        <v>0</v>
      </c>
      <c r="O730" t="str">
        <f t="shared" si="47"/>
        <v>Proposta Ok</v>
      </c>
    </row>
    <row r="731" spans="12:15" x14ac:dyDescent="0.25">
      <c r="L731">
        <f t="shared" si="44"/>
        <v>0</v>
      </c>
      <c r="M731">
        <f t="shared" si="45"/>
        <v>1</v>
      </c>
      <c r="N731">
        <f t="shared" si="46"/>
        <v>0</v>
      </c>
      <c r="O731" t="str">
        <f t="shared" si="47"/>
        <v>Proposta Ok</v>
      </c>
    </row>
    <row r="732" spans="12:15" x14ac:dyDescent="0.25">
      <c r="L732">
        <f t="shared" si="44"/>
        <v>0</v>
      </c>
      <c r="M732">
        <f t="shared" si="45"/>
        <v>1</v>
      </c>
      <c r="N732">
        <f t="shared" si="46"/>
        <v>0</v>
      </c>
      <c r="O732" t="str">
        <f t="shared" si="47"/>
        <v>Proposta Ok</v>
      </c>
    </row>
    <row r="733" spans="12:15" x14ac:dyDescent="0.25">
      <c r="L733">
        <f t="shared" si="44"/>
        <v>0</v>
      </c>
      <c r="M733">
        <f t="shared" si="45"/>
        <v>1</v>
      </c>
      <c r="N733">
        <f t="shared" si="46"/>
        <v>0</v>
      </c>
      <c r="O733" t="str">
        <f t="shared" si="47"/>
        <v>Proposta Ok</v>
      </c>
    </row>
    <row r="734" spans="12:15" x14ac:dyDescent="0.25">
      <c r="L734">
        <f t="shared" si="44"/>
        <v>0</v>
      </c>
      <c r="M734">
        <f t="shared" si="45"/>
        <v>1</v>
      </c>
      <c r="N734">
        <f t="shared" si="46"/>
        <v>0</v>
      </c>
      <c r="O734" t="str">
        <f t="shared" si="47"/>
        <v>Proposta Ok</v>
      </c>
    </row>
    <row r="735" spans="12:15" x14ac:dyDescent="0.25">
      <c r="L735">
        <f t="shared" si="44"/>
        <v>0</v>
      </c>
      <c r="M735">
        <f t="shared" si="45"/>
        <v>1</v>
      </c>
      <c r="N735">
        <f t="shared" si="46"/>
        <v>0</v>
      </c>
      <c r="O735" t="str">
        <f t="shared" si="47"/>
        <v>Proposta Ok</v>
      </c>
    </row>
    <row r="736" spans="12:15" x14ac:dyDescent="0.25">
      <c r="L736">
        <f t="shared" si="44"/>
        <v>0</v>
      </c>
      <c r="M736">
        <f t="shared" si="45"/>
        <v>1</v>
      </c>
      <c r="N736">
        <f t="shared" si="46"/>
        <v>0</v>
      </c>
      <c r="O736" t="str">
        <f t="shared" si="47"/>
        <v>Proposta Ok</v>
      </c>
    </row>
    <row r="737" spans="12:15" x14ac:dyDescent="0.25">
      <c r="L737">
        <f t="shared" si="44"/>
        <v>0</v>
      </c>
      <c r="M737">
        <f t="shared" si="45"/>
        <v>1</v>
      </c>
      <c r="N737">
        <f t="shared" si="46"/>
        <v>0</v>
      </c>
      <c r="O737" t="str">
        <f t="shared" si="47"/>
        <v>Proposta Ok</v>
      </c>
    </row>
    <row r="738" spans="12:15" x14ac:dyDescent="0.25">
      <c r="L738">
        <f t="shared" si="44"/>
        <v>0</v>
      </c>
      <c r="M738">
        <f t="shared" si="45"/>
        <v>1</v>
      </c>
      <c r="N738">
        <f t="shared" si="46"/>
        <v>0</v>
      </c>
      <c r="O738" t="str">
        <f t="shared" si="47"/>
        <v>Proposta Ok</v>
      </c>
    </row>
    <row r="739" spans="12:15" x14ac:dyDescent="0.25">
      <c r="L739">
        <f t="shared" si="44"/>
        <v>0</v>
      </c>
      <c r="M739">
        <f t="shared" si="45"/>
        <v>1</v>
      </c>
      <c r="N739">
        <f t="shared" si="46"/>
        <v>0</v>
      </c>
      <c r="O739" t="str">
        <f t="shared" si="47"/>
        <v>Proposta Ok</v>
      </c>
    </row>
    <row r="740" spans="12:15" x14ac:dyDescent="0.25">
      <c r="L740">
        <f t="shared" si="44"/>
        <v>0</v>
      </c>
      <c r="M740">
        <f t="shared" si="45"/>
        <v>1</v>
      </c>
      <c r="N740">
        <f t="shared" si="46"/>
        <v>0</v>
      </c>
      <c r="O740" t="str">
        <f t="shared" si="47"/>
        <v>Proposta Ok</v>
      </c>
    </row>
    <row r="741" spans="12:15" x14ac:dyDescent="0.25">
      <c r="L741">
        <f t="shared" si="44"/>
        <v>0</v>
      </c>
      <c r="M741">
        <f t="shared" si="45"/>
        <v>1</v>
      </c>
      <c r="N741">
        <f t="shared" si="46"/>
        <v>0</v>
      </c>
      <c r="O741" t="str">
        <f t="shared" si="47"/>
        <v>Proposta Ok</v>
      </c>
    </row>
    <row r="742" spans="12:15" x14ac:dyDescent="0.25">
      <c r="L742">
        <f t="shared" si="44"/>
        <v>0</v>
      </c>
      <c r="M742">
        <f t="shared" si="45"/>
        <v>1</v>
      </c>
      <c r="N742">
        <f t="shared" si="46"/>
        <v>0</v>
      </c>
      <c r="O742" t="str">
        <f t="shared" si="47"/>
        <v>Proposta Ok</v>
      </c>
    </row>
    <row r="743" spans="12:15" x14ac:dyDescent="0.25">
      <c r="L743">
        <f t="shared" si="44"/>
        <v>0</v>
      </c>
      <c r="M743">
        <f t="shared" si="45"/>
        <v>1</v>
      </c>
      <c r="N743">
        <f t="shared" si="46"/>
        <v>0</v>
      </c>
      <c r="O743" t="str">
        <f t="shared" si="47"/>
        <v>Proposta Ok</v>
      </c>
    </row>
    <row r="744" spans="12:15" x14ac:dyDescent="0.25">
      <c r="L744">
        <f t="shared" si="44"/>
        <v>0</v>
      </c>
      <c r="M744">
        <f t="shared" si="45"/>
        <v>1</v>
      </c>
      <c r="N744">
        <f t="shared" si="46"/>
        <v>0</v>
      </c>
      <c r="O744" t="str">
        <f t="shared" si="47"/>
        <v>Proposta Ok</v>
      </c>
    </row>
    <row r="745" spans="12:15" x14ac:dyDescent="0.25">
      <c r="L745">
        <f t="shared" si="44"/>
        <v>0</v>
      </c>
      <c r="M745">
        <f t="shared" si="45"/>
        <v>1</v>
      </c>
      <c r="N745">
        <f t="shared" si="46"/>
        <v>0</v>
      </c>
      <c r="O745" t="str">
        <f t="shared" si="47"/>
        <v>Proposta Ok</v>
      </c>
    </row>
    <row r="746" spans="12:15" x14ac:dyDescent="0.25">
      <c r="L746">
        <f t="shared" si="44"/>
        <v>0</v>
      </c>
      <c r="M746">
        <f t="shared" si="45"/>
        <v>1</v>
      </c>
      <c r="N746">
        <f t="shared" si="46"/>
        <v>0</v>
      </c>
      <c r="O746" t="str">
        <f t="shared" si="47"/>
        <v>Proposta Ok</v>
      </c>
    </row>
    <row r="747" spans="12:15" x14ac:dyDescent="0.25">
      <c r="L747">
        <f t="shared" si="44"/>
        <v>0</v>
      </c>
      <c r="M747">
        <f t="shared" si="45"/>
        <v>1</v>
      </c>
      <c r="N747">
        <f t="shared" si="46"/>
        <v>0</v>
      </c>
      <c r="O747" t="str">
        <f t="shared" si="47"/>
        <v>Proposta Ok</v>
      </c>
    </row>
    <row r="748" spans="12:15" x14ac:dyDescent="0.25">
      <c r="L748">
        <f t="shared" si="44"/>
        <v>0</v>
      </c>
      <c r="M748">
        <f t="shared" si="45"/>
        <v>1</v>
      </c>
      <c r="N748">
        <f t="shared" si="46"/>
        <v>0</v>
      </c>
      <c r="O748" t="str">
        <f t="shared" si="47"/>
        <v>Proposta Ok</v>
      </c>
    </row>
    <row r="749" spans="12:15" x14ac:dyDescent="0.25">
      <c r="L749">
        <f t="shared" si="44"/>
        <v>0</v>
      </c>
      <c r="M749">
        <f t="shared" si="45"/>
        <v>1</v>
      </c>
      <c r="N749">
        <f t="shared" si="46"/>
        <v>0</v>
      </c>
      <c r="O749" t="str">
        <f t="shared" si="47"/>
        <v>Proposta Ok</v>
      </c>
    </row>
    <row r="750" spans="12:15" x14ac:dyDescent="0.25">
      <c r="L750">
        <f t="shared" si="44"/>
        <v>0</v>
      </c>
      <c r="M750">
        <f t="shared" si="45"/>
        <v>1</v>
      </c>
      <c r="N750">
        <f t="shared" si="46"/>
        <v>0</v>
      </c>
      <c r="O750" t="str">
        <f t="shared" si="47"/>
        <v>Proposta Ok</v>
      </c>
    </row>
    <row r="751" spans="12:15" x14ac:dyDescent="0.25">
      <c r="L751">
        <f t="shared" si="44"/>
        <v>0</v>
      </c>
      <c r="M751">
        <f t="shared" si="45"/>
        <v>1</v>
      </c>
      <c r="N751">
        <f t="shared" si="46"/>
        <v>0</v>
      </c>
      <c r="O751" t="str">
        <f t="shared" si="47"/>
        <v>Proposta Ok</v>
      </c>
    </row>
    <row r="752" spans="12:15" x14ac:dyDescent="0.25">
      <c r="L752">
        <f t="shared" si="44"/>
        <v>0</v>
      </c>
      <c r="M752">
        <f t="shared" si="45"/>
        <v>1</v>
      </c>
      <c r="N752">
        <f t="shared" si="46"/>
        <v>0</v>
      </c>
      <c r="O752" t="str">
        <f t="shared" si="47"/>
        <v>Proposta Ok</v>
      </c>
    </row>
    <row r="753" spans="12:15" x14ac:dyDescent="0.25">
      <c r="L753">
        <f t="shared" si="44"/>
        <v>0</v>
      </c>
      <c r="M753">
        <f t="shared" si="45"/>
        <v>1</v>
      </c>
      <c r="N753">
        <f t="shared" si="46"/>
        <v>0</v>
      </c>
      <c r="O753" t="str">
        <f t="shared" si="47"/>
        <v>Proposta Ok</v>
      </c>
    </row>
    <row r="754" spans="12:15" x14ac:dyDescent="0.25">
      <c r="L754">
        <f t="shared" si="44"/>
        <v>0</v>
      </c>
      <c r="M754">
        <f t="shared" si="45"/>
        <v>1</v>
      </c>
      <c r="N754">
        <f t="shared" si="46"/>
        <v>0</v>
      </c>
      <c r="O754" t="str">
        <f t="shared" si="47"/>
        <v>Proposta Ok</v>
      </c>
    </row>
    <row r="755" spans="12:15" x14ac:dyDescent="0.25">
      <c r="L755">
        <f t="shared" si="44"/>
        <v>0</v>
      </c>
      <c r="M755">
        <f t="shared" si="45"/>
        <v>1</v>
      </c>
      <c r="N755">
        <f t="shared" si="46"/>
        <v>0</v>
      </c>
      <c r="O755" t="str">
        <f t="shared" si="47"/>
        <v>Proposta Ok</v>
      </c>
    </row>
    <row r="756" spans="12:15" x14ac:dyDescent="0.25">
      <c r="L756">
        <f t="shared" si="44"/>
        <v>0</v>
      </c>
      <c r="M756">
        <f t="shared" si="45"/>
        <v>1</v>
      </c>
      <c r="N756">
        <f t="shared" si="46"/>
        <v>0</v>
      </c>
      <c r="O756" t="str">
        <f t="shared" si="47"/>
        <v>Proposta Ok</v>
      </c>
    </row>
    <row r="757" spans="12:15" x14ac:dyDescent="0.25">
      <c r="L757">
        <f t="shared" si="44"/>
        <v>0</v>
      </c>
      <c r="M757">
        <f t="shared" si="45"/>
        <v>1</v>
      </c>
      <c r="N757">
        <f t="shared" si="46"/>
        <v>0</v>
      </c>
      <c r="O757" t="str">
        <f t="shared" si="47"/>
        <v>Proposta Ok</v>
      </c>
    </row>
    <row r="758" spans="12:15" x14ac:dyDescent="0.25">
      <c r="L758">
        <f t="shared" si="44"/>
        <v>0</v>
      </c>
      <c r="M758">
        <f t="shared" si="45"/>
        <v>1</v>
      </c>
      <c r="N758">
        <f t="shared" si="46"/>
        <v>0</v>
      </c>
      <c r="O758" t="str">
        <f t="shared" si="47"/>
        <v>Proposta Ok</v>
      </c>
    </row>
    <row r="759" spans="12:15" x14ac:dyDescent="0.25">
      <c r="L759">
        <f t="shared" si="44"/>
        <v>0</v>
      </c>
      <c r="M759">
        <f t="shared" si="45"/>
        <v>1</v>
      </c>
      <c r="N759">
        <f t="shared" si="46"/>
        <v>0</v>
      </c>
      <c r="O759" t="str">
        <f t="shared" si="47"/>
        <v>Proposta Ok</v>
      </c>
    </row>
    <row r="760" spans="12:15" x14ac:dyDescent="0.25">
      <c r="L760">
        <f t="shared" si="44"/>
        <v>0</v>
      </c>
      <c r="M760">
        <f t="shared" si="45"/>
        <v>1</v>
      </c>
      <c r="N760">
        <f t="shared" si="46"/>
        <v>0</v>
      </c>
      <c r="O760" t="str">
        <f t="shared" si="47"/>
        <v>Proposta Ok</v>
      </c>
    </row>
    <row r="761" spans="12:15" x14ac:dyDescent="0.25">
      <c r="L761">
        <f t="shared" si="44"/>
        <v>0</v>
      </c>
      <c r="M761">
        <f t="shared" si="45"/>
        <v>1</v>
      </c>
      <c r="N761">
        <f t="shared" si="46"/>
        <v>0</v>
      </c>
      <c r="O761" t="str">
        <f t="shared" si="47"/>
        <v>Proposta Ok</v>
      </c>
    </row>
    <row r="762" spans="12:15" x14ac:dyDescent="0.25">
      <c r="L762">
        <f t="shared" si="44"/>
        <v>0</v>
      </c>
      <c r="M762">
        <f t="shared" si="45"/>
        <v>1</v>
      </c>
      <c r="N762">
        <f t="shared" si="46"/>
        <v>0</v>
      </c>
      <c r="O762" t="str">
        <f t="shared" si="47"/>
        <v>Proposta Ok</v>
      </c>
    </row>
    <row r="763" spans="12:15" x14ac:dyDescent="0.25">
      <c r="L763">
        <f t="shared" si="44"/>
        <v>0</v>
      </c>
      <c r="M763">
        <f t="shared" si="45"/>
        <v>1</v>
      </c>
      <c r="N763">
        <f t="shared" si="46"/>
        <v>0</v>
      </c>
      <c r="O763" t="str">
        <f t="shared" si="47"/>
        <v>Proposta Ok</v>
      </c>
    </row>
    <row r="764" spans="12:15" x14ac:dyDescent="0.25">
      <c r="L764">
        <f t="shared" si="44"/>
        <v>0</v>
      </c>
      <c r="M764">
        <f t="shared" si="45"/>
        <v>1</v>
      </c>
      <c r="N764">
        <f t="shared" si="46"/>
        <v>0</v>
      </c>
      <c r="O764" t="str">
        <f t="shared" si="47"/>
        <v>Proposta Ok</v>
      </c>
    </row>
    <row r="765" spans="12:15" x14ac:dyDescent="0.25">
      <c r="L765">
        <f t="shared" si="44"/>
        <v>0</v>
      </c>
      <c r="M765">
        <f t="shared" si="45"/>
        <v>1</v>
      </c>
      <c r="N765">
        <f t="shared" si="46"/>
        <v>0</v>
      </c>
      <c r="O765" t="str">
        <f t="shared" si="47"/>
        <v>Proposta Ok</v>
      </c>
    </row>
    <row r="766" spans="12:15" x14ac:dyDescent="0.25">
      <c r="L766">
        <f t="shared" ref="L766:L829" si="48">IF(OR(I766="Termo OK (Exceção)",I766="Termo OK"),1,0)</f>
        <v>0</v>
      </c>
      <c r="M766">
        <f t="shared" ref="M766:M829" si="49">IF(OR(I766="Termo OK (Exceção)",I766="Termo OK"),0,1)</f>
        <v>1</v>
      </c>
      <c r="N766">
        <f t="shared" ref="N766:N829" si="50">IF(J766="SIM",1,0)</f>
        <v>0</v>
      </c>
      <c r="O766" t="str">
        <f t="shared" si="47"/>
        <v>Proposta Ok</v>
      </c>
    </row>
    <row r="767" spans="12:15" x14ac:dyDescent="0.25">
      <c r="L767">
        <f t="shared" si="48"/>
        <v>0</v>
      </c>
      <c r="M767">
        <f t="shared" si="49"/>
        <v>1</v>
      </c>
      <c r="N767">
        <f t="shared" si="50"/>
        <v>0</v>
      </c>
      <c r="O767" t="str">
        <f t="shared" si="47"/>
        <v>Proposta Ok</v>
      </c>
    </row>
    <row r="768" spans="12:15" x14ac:dyDescent="0.25">
      <c r="L768">
        <f t="shared" si="48"/>
        <v>0</v>
      </c>
      <c r="M768">
        <f t="shared" si="49"/>
        <v>1</v>
      </c>
      <c r="N768">
        <f t="shared" si="50"/>
        <v>0</v>
      </c>
      <c r="O768" t="str">
        <f t="shared" si="47"/>
        <v>Proposta Ok</v>
      </c>
    </row>
    <row r="769" spans="12:15" x14ac:dyDescent="0.25">
      <c r="L769">
        <f t="shared" si="48"/>
        <v>0</v>
      </c>
      <c r="M769">
        <f t="shared" si="49"/>
        <v>1</v>
      </c>
      <c r="N769">
        <f t="shared" si="50"/>
        <v>0</v>
      </c>
      <c r="O769" t="str">
        <f t="shared" si="47"/>
        <v>Proposta Ok</v>
      </c>
    </row>
    <row r="770" spans="12:15" x14ac:dyDescent="0.25">
      <c r="L770">
        <f t="shared" si="48"/>
        <v>0</v>
      </c>
      <c r="M770">
        <f t="shared" si="49"/>
        <v>1</v>
      </c>
      <c r="N770">
        <f t="shared" si="50"/>
        <v>0</v>
      </c>
      <c r="O770" t="str">
        <f t="shared" si="47"/>
        <v>Proposta Ok</v>
      </c>
    </row>
    <row r="771" spans="12:15" x14ac:dyDescent="0.25">
      <c r="L771">
        <f t="shared" si="48"/>
        <v>0</v>
      </c>
      <c r="M771">
        <f t="shared" si="49"/>
        <v>1</v>
      </c>
      <c r="N771">
        <f t="shared" si="50"/>
        <v>0</v>
      </c>
      <c r="O771" t="str">
        <f t="shared" ref="O771:O834" si="51">IF(SUMIFS(M:M,A:A,A771)&gt;0,"Proposta não Ok","Proposta Ok")</f>
        <v>Proposta Ok</v>
      </c>
    </row>
    <row r="772" spans="12:15" x14ac:dyDescent="0.25">
      <c r="L772">
        <f t="shared" si="48"/>
        <v>0</v>
      </c>
      <c r="M772">
        <f t="shared" si="49"/>
        <v>1</v>
      </c>
      <c r="N772">
        <f t="shared" si="50"/>
        <v>0</v>
      </c>
      <c r="O772" t="str">
        <f t="shared" si="51"/>
        <v>Proposta Ok</v>
      </c>
    </row>
    <row r="773" spans="12:15" x14ac:dyDescent="0.25">
      <c r="L773">
        <f t="shared" si="48"/>
        <v>0</v>
      </c>
      <c r="M773">
        <f t="shared" si="49"/>
        <v>1</v>
      </c>
      <c r="N773">
        <f t="shared" si="50"/>
        <v>0</v>
      </c>
      <c r="O773" t="str">
        <f t="shared" si="51"/>
        <v>Proposta Ok</v>
      </c>
    </row>
    <row r="774" spans="12:15" x14ac:dyDescent="0.25">
      <c r="L774">
        <f t="shared" si="48"/>
        <v>0</v>
      </c>
      <c r="M774">
        <f t="shared" si="49"/>
        <v>1</v>
      </c>
      <c r="N774">
        <f t="shared" si="50"/>
        <v>0</v>
      </c>
      <c r="O774" t="str">
        <f t="shared" si="51"/>
        <v>Proposta Ok</v>
      </c>
    </row>
    <row r="775" spans="12:15" x14ac:dyDescent="0.25">
      <c r="L775">
        <f t="shared" si="48"/>
        <v>0</v>
      </c>
      <c r="M775">
        <f t="shared" si="49"/>
        <v>1</v>
      </c>
      <c r="N775">
        <f t="shared" si="50"/>
        <v>0</v>
      </c>
      <c r="O775" t="str">
        <f t="shared" si="51"/>
        <v>Proposta Ok</v>
      </c>
    </row>
    <row r="776" spans="12:15" x14ac:dyDescent="0.25">
      <c r="L776">
        <f t="shared" si="48"/>
        <v>0</v>
      </c>
      <c r="M776">
        <f t="shared" si="49"/>
        <v>1</v>
      </c>
      <c r="N776">
        <f t="shared" si="50"/>
        <v>0</v>
      </c>
      <c r="O776" t="str">
        <f t="shared" si="51"/>
        <v>Proposta Ok</v>
      </c>
    </row>
    <row r="777" spans="12:15" x14ac:dyDescent="0.25">
      <c r="L777">
        <f t="shared" si="48"/>
        <v>0</v>
      </c>
      <c r="M777">
        <f t="shared" si="49"/>
        <v>1</v>
      </c>
      <c r="N777">
        <f t="shared" si="50"/>
        <v>0</v>
      </c>
      <c r="O777" t="str">
        <f t="shared" si="51"/>
        <v>Proposta Ok</v>
      </c>
    </row>
    <row r="778" spans="12:15" x14ac:dyDescent="0.25">
      <c r="L778">
        <f t="shared" si="48"/>
        <v>0</v>
      </c>
      <c r="M778">
        <f t="shared" si="49"/>
        <v>1</v>
      </c>
      <c r="N778">
        <f t="shared" si="50"/>
        <v>0</v>
      </c>
      <c r="O778" t="str">
        <f t="shared" si="51"/>
        <v>Proposta Ok</v>
      </c>
    </row>
    <row r="779" spans="12:15" x14ac:dyDescent="0.25">
      <c r="L779">
        <f t="shared" si="48"/>
        <v>0</v>
      </c>
      <c r="M779">
        <f t="shared" si="49"/>
        <v>1</v>
      </c>
      <c r="N779">
        <f t="shared" si="50"/>
        <v>0</v>
      </c>
      <c r="O779" t="str">
        <f t="shared" si="51"/>
        <v>Proposta Ok</v>
      </c>
    </row>
    <row r="780" spans="12:15" x14ac:dyDescent="0.25">
      <c r="L780">
        <f t="shared" si="48"/>
        <v>0</v>
      </c>
      <c r="M780">
        <f t="shared" si="49"/>
        <v>1</v>
      </c>
      <c r="N780">
        <f t="shared" si="50"/>
        <v>0</v>
      </c>
      <c r="O780" t="str">
        <f t="shared" si="51"/>
        <v>Proposta Ok</v>
      </c>
    </row>
    <row r="781" spans="12:15" x14ac:dyDescent="0.25">
      <c r="L781">
        <f t="shared" si="48"/>
        <v>0</v>
      </c>
      <c r="M781">
        <f t="shared" si="49"/>
        <v>1</v>
      </c>
      <c r="N781">
        <f t="shared" si="50"/>
        <v>0</v>
      </c>
      <c r="O781" t="str">
        <f t="shared" si="51"/>
        <v>Proposta Ok</v>
      </c>
    </row>
    <row r="782" spans="12:15" x14ac:dyDescent="0.25">
      <c r="L782">
        <f t="shared" si="48"/>
        <v>0</v>
      </c>
      <c r="M782">
        <f t="shared" si="49"/>
        <v>1</v>
      </c>
      <c r="N782">
        <f t="shared" si="50"/>
        <v>0</v>
      </c>
      <c r="O782" t="str">
        <f t="shared" si="51"/>
        <v>Proposta Ok</v>
      </c>
    </row>
    <row r="783" spans="12:15" x14ac:dyDescent="0.25">
      <c r="L783">
        <f t="shared" si="48"/>
        <v>0</v>
      </c>
      <c r="M783">
        <f t="shared" si="49"/>
        <v>1</v>
      </c>
      <c r="N783">
        <f t="shared" si="50"/>
        <v>0</v>
      </c>
      <c r="O783" t="str">
        <f t="shared" si="51"/>
        <v>Proposta Ok</v>
      </c>
    </row>
    <row r="784" spans="12:15" x14ac:dyDescent="0.25">
      <c r="L784">
        <f t="shared" si="48"/>
        <v>0</v>
      </c>
      <c r="M784">
        <f t="shared" si="49"/>
        <v>1</v>
      </c>
      <c r="N784">
        <f t="shared" si="50"/>
        <v>0</v>
      </c>
      <c r="O784" t="str">
        <f t="shared" si="51"/>
        <v>Proposta Ok</v>
      </c>
    </row>
    <row r="785" spans="12:15" x14ac:dyDescent="0.25">
      <c r="L785">
        <f t="shared" si="48"/>
        <v>0</v>
      </c>
      <c r="M785">
        <f t="shared" si="49"/>
        <v>1</v>
      </c>
      <c r="N785">
        <f t="shared" si="50"/>
        <v>0</v>
      </c>
      <c r="O785" t="str">
        <f t="shared" si="51"/>
        <v>Proposta Ok</v>
      </c>
    </row>
    <row r="786" spans="12:15" x14ac:dyDescent="0.25">
      <c r="L786">
        <f t="shared" si="48"/>
        <v>0</v>
      </c>
      <c r="M786">
        <f t="shared" si="49"/>
        <v>1</v>
      </c>
      <c r="N786">
        <f t="shared" si="50"/>
        <v>0</v>
      </c>
      <c r="O786" t="str">
        <f t="shared" si="51"/>
        <v>Proposta Ok</v>
      </c>
    </row>
    <row r="787" spans="12:15" x14ac:dyDescent="0.25">
      <c r="L787">
        <f t="shared" si="48"/>
        <v>0</v>
      </c>
      <c r="M787">
        <f t="shared" si="49"/>
        <v>1</v>
      </c>
      <c r="N787">
        <f t="shared" si="50"/>
        <v>0</v>
      </c>
      <c r="O787" t="str">
        <f t="shared" si="51"/>
        <v>Proposta Ok</v>
      </c>
    </row>
    <row r="788" spans="12:15" x14ac:dyDescent="0.25">
      <c r="L788">
        <f t="shared" si="48"/>
        <v>0</v>
      </c>
      <c r="M788">
        <f t="shared" si="49"/>
        <v>1</v>
      </c>
      <c r="N788">
        <f t="shared" si="50"/>
        <v>0</v>
      </c>
      <c r="O788" t="str">
        <f t="shared" si="51"/>
        <v>Proposta Ok</v>
      </c>
    </row>
    <row r="789" spans="12:15" x14ac:dyDescent="0.25">
      <c r="L789">
        <f t="shared" si="48"/>
        <v>0</v>
      </c>
      <c r="M789">
        <f t="shared" si="49"/>
        <v>1</v>
      </c>
      <c r="N789">
        <f t="shared" si="50"/>
        <v>0</v>
      </c>
      <c r="O789" t="str">
        <f t="shared" si="51"/>
        <v>Proposta Ok</v>
      </c>
    </row>
    <row r="790" spans="12:15" x14ac:dyDescent="0.25">
      <c r="L790">
        <f t="shared" si="48"/>
        <v>0</v>
      </c>
      <c r="M790">
        <f t="shared" si="49"/>
        <v>1</v>
      </c>
      <c r="N790">
        <f t="shared" si="50"/>
        <v>0</v>
      </c>
      <c r="O790" t="str">
        <f t="shared" si="51"/>
        <v>Proposta Ok</v>
      </c>
    </row>
    <row r="791" spans="12:15" x14ac:dyDescent="0.25">
      <c r="L791">
        <f t="shared" si="48"/>
        <v>0</v>
      </c>
      <c r="M791">
        <f t="shared" si="49"/>
        <v>1</v>
      </c>
      <c r="N791">
        <f t="shared" si="50"/>
        <v>0</v>
      </c>
      <c r="O791" t="str">
        <f t="shared" si="51"/>
        <v>Proposta Ok</v>
      </c>
    </row>
    <row r="792" spans="12:15" x14ac:dyDescent="0.25">
      <c r="L792">
        <f t="shared" si="48"/>
        <v>0</v>
      </c>
      <c r="M792">
        <f t="shared" si="49"/>
        <v>1</v>
      </c>
      <c r="N792">
        <f t="shared" si="50"/>
        <v>0</v>
      </c>
      <c r="O792" t="str">
        <f t="shared" si="51"/>
        <v>Proposta Ok</v>
      </c>
    </row>
    <row r="793" spans="12:15" x14ac:dyDescent="0.25">
      <c r="L793">
        <f t="shared" si="48"/>
        <v>0</v>
      </c>
      <c r="M793">
        <f t="shared" si="49"/>
        <v>1</v>
      </c>
      <c r="N793">
        <f t="shared" si="50"/>
        <v>0</v>
      </c>
      <c r="O793" t="str">
        <f t="shared" si="51"/>
        <v>Proposta Ok</v>
      </c>
    </row>
    <row r="794" spans="12:15" x14ac:dyDescent="0.25">
      <c r="L794">
        <f t="shared" si="48"/>
        <v>0</v>
      </c>
      <c r="M794">
        <f t="shared" si="49"/>
        <v>1</v>
      </c>
      <c r="N794">
        <f t="shared" si="50"/>
        <v>0</v>
      </c>
      <c r="O794" t="str">
        <f t="shared" si="51"/>
        <v>Proposta Ok</v>
      </c>
    </row>
    <row r="795" spans="12:15" x14ac:dyDescent="0.25">
      <c r="L795">
        <f t="shared" si="48"/>
        <v>0</v>
      </c>
      <c r="M795">
        <f t="shared" si="49"/>
        <v>1</v>
      </c>
      <c r="N795">
        <f t="shared" si="50"/>
        <v>0</v>
      </c>
      <c r="O795" t="str">
        <f t="shared" si="51"/>
        <v>Proposta Ok</v>
      </c>
    </row>
    <row r="796" spans="12:15" x14ac:dyDescent="0.25">
      <c r="L796">
        <f t="shared" si="48"/>
        <v>0</v>
      </c>
      <c r="M796">
        <f t="shared" si="49"/>
        <v>1</v>
      </c>
      <c r="N796">
        <f t="shared" si="50"/>
        <v>0</v>
      </c>
      <c r="O796" t="str">
        <f t="shared" si="51"/>
        <v>Proposta Ok</v>
      </c>
    </row>
    <row r="797" spans="12:15" x14ac:dyDescent="0.25">
      <c r="L797">
        <f t="shared" si="48"/>
        <v>0</v>
      </c>
      <c r="M797">
        <f t="shared" si="49"/>
        <v>1</v>
      </c>
      <c r="N797">
        <f t="shared" si="50"/>
        <v>0</v>
      </c>
      <c r="O797" t="str">
        <f t="shared" si="51"/>
        <v>Proposta Ok</v>
      </c>
    </row>
    <row r="798" spans="12:15" x14ac:dyDescent="0.25">
      <c r="L798">
        <f t="shared" si="48"/>
        <v>0</v>
      </c>
      <c r="M798">
        <f t="shared" si="49"/>
        <v>1</v>
      </c>
      <c r="N798">
        <f t="shared" si="50"/>
        <v>0</v>
      </c>
      <c r="O798" t="str">
        <f t="shared" si="51"/>
        <v>Proposta Ok</v>
      </c>
    </row>
    <row r="799" spans="12:15" x14ac:dyDescent="0.25">
      <c r="L799">
        <f t="shared" si="48"/>
        <v>0</v>
      </c>
      <c r="M799">
        <f t="shared" si="49"/>
        <v>1</v>
      </c>
      <c r="N799">
        <f t="shared" si="50"/>
        <v>0</v>
      </c>
      <c r="O799" t="str">
        <f t="shared" si="51"/>
        <v>Proposta Ok</v>
      </c>
    </row>
    <row r="800" spans="12:15" x14ac:dyDescent="0.25">
      <c r="L800">
        <f t="shared" si="48"/>
        <v>0</v>
      </c>
      <c r="M800">
        <f t="shared" si="49"/>
        <v>1</v>
      </c>
      <c r="N800">
        <f t="shared" si="50"/>
        <v>0</v>
      </c>
      <c r="O800" t="str">
        <f t="shared" si="51"/>
        <v>Proposta Ok</v>
      </c>
    </row>
    <row r="801" spans="12:15" x14ac:dyDescent="0.25">
      <c r="L801">
        <f t="shared" si="48"/>
        <v>0</v>
      </c>
      <c r="M801">
        <f t="shared" si="49"/>
        <v>1</v>
      </c>
      <c r="N801">
        <f t="shared" si="50"/>
        <v>0</v>
      </c>
      <c r="O801" t="str">
        <f t="shared" si="51"/>
        <v>Proposta Ok</v>
      </c>
    </row>
    <row r="802" spans="12:15" x14ac:dyDescent="0.25">
      <c r="L802">
        <f t="shared" si="48"/>
        <v>0</v>
      </c>
      <c r="M802">
        <f t="shared" si="49"/>
        <v>1</v>
      </c>
      <c r="N802">
        <f t="shared" si="50"/>
        <v>0</v>
      </c>
      <c r="O802" t="str">
        <f t="shared" si="51"/>
        <v>Proposta Ok</v>
      </c>
    </row>
    <row r="803" spans="12:15" x14ac:dyDescent="0.25">
      <c r="L803">
        <f t="shared" si="48"/>
        <v>0</v>
      </c>
      <c r="M803">
        <f t="shared" si="49"/>
        <v>1</v>
      </c>
      <c r="N803">
        <f t="shared" si="50"/>
        <v>0</v>
      </c>
      <c r="O803" t="str">
        <f t="shared" si="51"/>
        <v>Proposta Ok</v>
      </c>
    </row>
    <row r="804" spans="12:15" x14ac:dyDescent="0.25">
      <c r="L804">
        <f t="shared" si="48"/>
        <v>0</v>
      </c>
      <c r="M804">
        <f t="shared" si="49"/>
        <v>1</v>
      </c>
      <c r="N804">
        <f t="shared" si="50"/>
        <v>0</v>
      </c>
      <c r="O804" t="str">
        <f t="shared" si="51"/>
        <v>Proposta Ok</v>
      </c>
    </row>
    <row r="805" spans="12:15" x14ac:dyDescent="0.25">
      <c r="L805">
        <f t="shared" si="48"/>
        <v>0</v>
      </c>
      <c r="M805">
        <f t="shared" si="49"/>
        <v>1</v>
      </c>
      <c r="N805">
        <f t="shared" si="50"/>
        <v>0</v>
      </c>
      <c r="O805" t="str">
        <f t="shared" si="51"/>
        <v>Proposta Ok</v>
      </c>
    </row>
    <row r="806" spans="12:15" x14ac:dyDescent="0.25">
      <c r="L806">
        <f t="shared" si="48"/>
        <v>0</v>
      </c>
      <c r="M806">
        <f t="shared" si="49"/>
        <v>1</v>
      </c>
      <c r="N806">
        <f t="shared" si="50"/>
        <v>0</v>
      </c>
      <c r="O806" t="str">
        <f t="shared" si="51"/>
        <v>Proposta Ok</v>
      </c>
    </row>
    <row r="807" spans="12:15" x14ac:dyDescent="0.25">
      <c r="L807">
        <f t="shared" si="48"/>
        <v>0</v>
      </c>
      <c r="M807">
        <f t="shared" si="49"/>
        <v>1</v>
      </c>
      <c r="N807">
        <f t="shared" si="50"/>
        <v>0</v>
      </c>
      <c r="O807" t="str">
        <f t="shared" si="51"/>
        <v>Proposta Ok</v>
      </c>
    </row>
    <row r="808" spans="12:15" x14ac:dyDescent="0.25">
      <c r="L808">
        <f t="shared" si="48"/>
        <v>0</v>
      </c>
      <c r="M808">
        <f t="shared" si="49"/>
        <v>1</v>
      </c>
      <c r="N808">
        <f t="shared" si="50"/>
        <v>0</v>
      </c>
      <c r="O808" t="str">
        <f t="shared" si="51"/>
        <v>Proposta Ok</v>
      </c>
    </row>
    <row r="809" spans="12:15" x14ac:dyDescent="0.25">
      <c r="L809">
        <f t="shared" si="48"/>
        <v>0</v>
      </c>
      <c r="M809">
        <f t="shared" si="49"/>
        <v>1</v>
      </c>
      <c r="N809">
        <f t="shared" si="50"/>
        <v>0</v>
      </c>
      <c r="O809" t="str">
        <f t="shared" si="51"/>
        <v>Proposta Ok</v>
      </c>
    </row>
    <row r="810" spans="12:15" x14ac:dyDescent="0.25">
      <c r="L810">
        <f t="shared" si="48"/>
        <v>0</v>
      </c>
      <c r="M810">
        <f t="shared" si="49"/>
        <v>1</v>
      </c>
      <c r="N810">
        <f t="shared" si="50"/>
        <v>0</v>
      </c>
      <c r="O810" t="str">
        <f t="shared" si="51"/>
        <v>Proposta Ok</v>
      </c>
    </row>
    <row r="811" spans="12:15" x14ac:dyDescent="0.25">
      <c r="L811">
        <f t="shared" si="48"/>
        <v>0</v>
      </c>
      <c r="M811">
        <f t="shared" si="49"/>
        <v>1</v>
      </c>
      <c r="N811">
        <f t="shared" si="50"/>
        <v>0</v>
      </c>
      <c r="O811" t="str">
        <f t="shared" si="51"/>
        <v>Proposta Ok</v>
      </c>
    </row>
    <row r="812" spans="12:15" x14ac:dyDescent="0.25">
      <c r="L812">
        <f t="shared" si="48"/>
        <v>0</v>
      </c>
      <c r="M812">
        <f t="shared" si="49"/>
        <v>1</v>
      </c>
      <c r="N812">
        <f t="shared" si="50"/>
        <v>0</v>
      </c>
      <c r="O812" t="str">
        <f t="shared" si="51"/>
        <v>Proposta Ok</v>
      </c>
    </row>
    <row r="813" spans="12:15" x14ac:dyDescent="0.25">
      <c r="L813">
        <f t="shared" si="48"/>
        <v>0</v>
      </c>
      <c r="M813">
        <f t="shared" si="49"/>
        <v>1</v>
      </c>
      <c r="N813">
        <f t="shared" si="50"/>
        <v>0</v>
      </c>
      <c r="O813" t="str">
        <f t="shared" si="51"/>
        <v>Proposta Ok</v>
      </c>
    </row>
    <row r="814" spans="12:15" x14ac:dyDescent="0.25">
      <c r="L814">
        <f t="shared" si="48"/>
        <v>0</v>
      </c>
      <c r="M814">
        <f t="shared" si="49"/>
        <v>1</v>
      </c>
      <c r="N814">
        <f t="shared" si="50"/>
        <v>0</v>
      </c>
      <c r="O814" t="str">
        <f t="shared" si="51"/>
        <v>Proposta Ok</v>
      </c>
    </row>
    <row r="815" spans="12:15" x14ac:dyDescent="0.25">
      <c r="L815">
        <f t="shared" si="48"/>
        <v>0</v>
      </c>
      <c r="M815">
        <f t="shared" si="49"/>
        <v>1</v>
      </c>
      <c r="N815">
        <f t="shared" si="50"/>
        <v>0</v>
      </c>
      <c r="O815" t="str">
        <f t="shared" si="51"/>
        <v>Proposta Ok</v>
      </c>
    </row>
    <row r="816" spans="12:15" x14ac:dyDescent="0.25">
      <c r="L816">
        <f t="shared" si="48"/>
        <v>0</v>
      </c>
      <c r="M816">
        <f t="shared" si="49"/>
        <v>1</v>
      </c>
      <c r="N816">
        <f t="shared" si="50"/>
        <v>0</v>
      </c>
      <c r="O816" t="str">
        <f t="shared" si="51"/>
        <v>Proposta Ok</v>
      </c>
    </row>
    <row r="817" spans="12:15" x14ac:dyDescent="0.25">
      <c r="L817">
        <f t="shared" si="48"/>
        <v>0</v>
      </c>
      <c r="M817">
        <f t="shared" si="49"/>
        <v>1</v>
      </c>
      <c r="N817">
        <f t="shared" si="50"/>
        <v>0</v>
      </c>
      <c r="O817" t="str">
        <f t="shared" si="51"/>
        <v>Proposta Ok</v>
      </c>
    </row>
    <row r="818" spans="12:15" x14ac:dyDescent="0.25">
      <c r="L818">
        <f t="shared" si="48"/>
        <v>0</v>
      </c>
      <c r="M818">
        <f t="shared" si="49"/>
        <v>1</v>
      </c>
      <c r="N818">
        <f t="shared" si="50"/>
        <v>0</v>
      </c>
      <c r="O818" t="str">
        <f t="shared" si="51"/>
        <v>Proposta Ok</v>
      </c>
    </row>
    <row r="819" spans="12:15" x14ac:dyDescent="0.25">
      <c r="L819">
        <f t="shared" si="48"/>
        <v>0</v>
      </c>
      <c r="M819">
        <f t="shared" si="49"/>
        <v>1</v>
      </c>
      <c r="N819">
        <f t="shared" si="50"/>
        <v>0</v>
      </c>
      <c r="O819" t="str">
        <f t="shared" si="51"/>
        <v>Proposta Ok</v>
      </c>
    </row>
    <row r="820" spans="12:15" x14ac:dyDescent="0.25">
      <c r="L820">
        <f t="shared" si="48"/>
        <v>0</v>
      </c>
      <c r="M820">
        <f t="shared" si="49"/>
        <v>1</v>
      </c>
      <c r="N820">
        <f t="shared" si="50"/>
        <v>0</v>
      </c>
      <c r="O820" t="str">
        <f t="shared" si="51"/>
        <v>Proposta Ok</v>
      </c>
    </row>
    <row r="821" spans="12:15" x14ac:dyDescent="0.25">
      <c r="L821">
        <f t="shared" si="48"/>
        <v>0</v>
      </c>
      <c r="M821">
        <f t="shared" si="49"/>
        <v>1</v>
      </c>
      <c r="N821">
        <f t="shared" si="50"/>
        <v>0</v>
      </c>
      <c r="O821" t="str">
        <f t="shared" si="51"/>
        <v>Proposta Ok</v>
      </c>
    </row>
    <row r="822" spans="12:15" x14ac:dyDescent="0.25">
      <c r="L822">
        <f t="shared" si="48"/>
        <v>0</v>
      </c>
      <c r="M822">
        <f t="shared" si="49"/>
        <v>1</v>
      </c>
      <c r="N822">
        <f t="shared" si="50"/>
        <v>0</v>
      </c>
      <c r="O822" t="str">
        <f t="shared" si="51"/>
        <v>Proposta Ok</v>
      </c>
    </row>
    <row r="823" spans="12:15" x14ac:dyDescent="0.25">
      <c r="L823">
        <f t="shared" si="48"/>
        <v>0</v>
      </c>
      <c r="M823">
        <f t="shared" si="49"/>
        <v>1</v>
      </c>
      <c r="N823">
        <f t="shared" si="50"/>
        <v>0</v>
      </c>
      <c r="O823" t="str">
        <f t="shared" si="51"/>
        <v>Proposta Ok</v>
      </c>
    </row>
    <row r="824" spans="12:15" x14ac:dyDescent="0.25">
      <c r="L824">
        <f t="shared" si="48"/>
        <v>0</v>
      </c>
      <c r="M824">
        <f t="shared" si="49"/>
        <v>1</v>
      </c>
      <c r="N824">
        <f t="shared" si="50"/>
        <v>0</v>
      </c>
      <c r="O824" t="str">
        <f t="shared" si="51"/>
        <v>Proposta Ok</v>
      </c>
    </row>
    <row r="825" spans="12:15" x14ac:dyDescent="0.25">
      <c r="L825">
        <f t="shared" si="48"/>
        <v>0</v>
      </c>
      <c r="M825">
        <f t="shared" si="49"/>
        <v>1</v>
      </c>
      <c r="N825">
        <f t="shared" si="50"/>
        <v>0</v>
      </c>
      <c r="O825" t="str">
        <f t="shared" si="51"/>
        <v>Proposta Ok</v>
      </c>
    </row>
    <row r="826" spans="12:15" x14ac:dyDescent="0.25">
      <c r="L826">
        <f t="shared" si="48"/>
        <v>0</v>
      </c>
      <c r="M826">
        <f t="shared" si="49"/>
        <v>1</v>
      </c>
      <c r="N826">
        <f t="shared" si="50"/>
        <v>0</v>
      </c>
      <c r="O826" t="str">
        <f t="shared" si="51"/>
        <v>Proposta Ok</v>
      </c>
    </row>
    <row r="827" spans="12:15" x14ac:dyDescent="0.25">
      <c r="L827">
        <f t="shared" si="48"/>
        <v>0</v>
      </c>
      <c r="M827">
        <f t="shared" si="49"/>
        <v>1</v>
      </c>
      <c r="N827">
        <f t="shared" si="50"/>
        <v>0</v>
      </c>
      <c r="O827" t="str">
        <f t="shared" si="51"/>
        <v>Proposta Ok</v>
      </c>
    </row>
    <row r="828" spans="12:15" x14ac:dyDescent="0.25">
      <c r="L828">
        <f t="shared" si="48"/>
        <v>0</v>
      </c>
      <c r="M828">
        <f t="shared" si="49"/>
        <v>1</v>
      </c>
      <c r="N828">
        <f t="shared" si="50"/>
        <v>0</v>
      </c>
      <c r="O828" t="str">
        <f t="shared" si="51"/>
        <v>Proposta Ok</v>
      </c>
    </row>
    <row r="829" spans="12:15" x14ac:dyDescent="0.25">
      <c r="L829">
        <f t="shared" si="48"/>
        <v>0</v>
      </c>
      <c r="M829">
        <f t="shared" si="49"/>
        <v>1</v>
      </c>
      <c r="N829">
        <f t="shared" si="50"/>
        <v>0</v>
      </c>
      <c r="O829" t="str">
        <f t="shared" si="51"/>
        <v>Proposta Ok</v>
      </c>
    </row>
    <row r="830" spans="12:15" x14ac:dyDescent="0.25">
      <c r="L830">
        <f t="shared" ref="L830:L893" si="52">IF(OR(I830="Termo OK (Exceção)",I830="Termo OK"),1,0)</f>
        <v>0</v>
      </c>
      <c r="M830">
        <f t="shared" ref="M830:M893" si="53">IF(OR(I830="Termo OK (Exceção)",I830="Termo OK"),0,1)</f>
        <v>1</v>
      </c>
      <c r="N830">
        <f t="shared" ref="N830:N893" si="54">IF(J830="SIM",1,0)</f>
        <v>0</v>
      </c>
      <c r="O830" t="str">
        <f t="shared" si="51"/>
        <v>Proposta Ok</v>
      </c>
    </row>
    <row r="831" spans="12:15" x14ac:dyDescent="0.25">
      <c r="L831">
        <f t="shared" si="52"/>
        <v>0</v>
      </c>
      <c r="M831">
        <f t="shared" si="53"/>
        <v>1</v>
      </c>
      <c r="N831">
        <f t="shared" si="54"/>
        <v>0</v>
      </c>
      <c r="O831" t="str">
        <f t="shared" si="51"/>
        <v>Proposta Ok</v>
      </c>
    </row>
    <row r="832" spans="12:15" x14ac:dyDescent="0.25">
      <c r="L832">
        <f t="shared" si="52"/>
        <v>0</v>
      </c>
      <c r="M832">
        <f t="shared" si="53"/>
        <v>1</v>
      </c>
      <c r="N832">
        <f t="shared" si="54"/>
        <v>0</v>
      </c>
      <c r="O832" t="str">
        <f t="shared" si="51"/>
        <v>Proposta Ok</v>
      </c>
    </row>
    <row r="833" spans="12:15" x14ac:dyDescent="0.25">
      <c r="L833">
        <f t="shared" si="52"/>
        <v>0</v>
      </c>
      <c r="M833">
        <f t="shared" si="53"/>
        <v>1</v>
      </c>
      <c r="N833">
        <f t="shared" si="54"/>
        <v>0</v>
      </c>
      <c r="O833" t="str">
        <f t="shared" si="51"/>
        <v>Proposta Ok</v>
      </c>
    </row>
    <row r="834" spans="12:15" x14ac:dyDescent="0.25">
      <c r="L834">
        <f t="shared" si="52"/>
        <v>0</v>
      </c>
      <c r="M834">
        <f t="shared" si="53"/>
        <v>1</v>
      </c>
      <c r="N834">
        <f t="shared" si="54"/>
        <v>0</v>
      </c>
      <c r="O834" t="str">
        <f t="shared" si="51"/>
        <v>Proposta Ok</v>
      </c>
    </row>
    <row r="835" spans="12:15" x14ac:dyDescent="0.25">
      <c r="L835">
        <f t="shared" si="52"/>
        <v>0</v>
      </c>
      <c r="M835">
        <f t="shared" si="53"/>
        <v>1</v>
      </c>
      <c r="N835">
        <f t="shared" si="54"/>
        <v>0</v>
      </c>
      <c r="O835" t="str">
        <f t="shared" ref="O835:O898" si="55">IF(SUMIFS(M:M,A:A,A835)&gt;0,"Proposta não Ok","Proposta Ok")</f>
        <v>Proposta Ok</v>
      </c>
    </row>
    <row r="836" spans="12:15" x14ac:dyDescent="0.25">
      <c r="L836">
        <f t="shared" si="52"/>
        <v>0</v>
      </c>
      <c r="M836">
        <f t="shared" si="53"/>
        <v>1</v>
      </c>
      <c r="N836">
        <f t="shared" si="54"/>
        <v>0</v>
      </c>
      <c r="O836" t="str">
        <f t="shared" si="55"/>
        <v>Proposta Ok</v>
      </c>
    </row>
    <row r="837" spans="12:15" x14ac:dyDescent="0.25">
      <c r="L837">
        <f t="shared" si="52"/>
        <v>0</v>
      </c>
      <c r="M837">
        <f t="shared" si="53"/>
        <v>1</v>
      </c>
      <c r="N837">
        <f t="shared" si="54"/>
        <v>0</v>
      </c>
      <c r="O837" t="str">
        <f t="shared" si="55"/>
        <v>Proposta Ok</v>
      </c>
    </row>
    <row r="838" spans="12:15" x14ac:dyDescent="0.25">
      <c r="L838">
        <f t="shared" si="52"/>
        <v>0</v>
      </c>
      <c r="M838">
        <f t="shared" si="53"/>
        <v>1</v>
      </c>
      <c r="N838">
        <f t="shared" si="54"/>
        <v>0</v>
      </c>
      <c r="O838" t="str">
        <f t="shared" si="55"/>
        <v>Proposta Ok</v>
      </c>
    </row>
    <row r="839" spans="12:15" x14ac:dyDescent="0.25">
      <c r="L839">
        <f t="shared" si="52"/>
        <v>0</v>
      </c>
      <c r="M839">
        <f t="shared" si="53"/>
        <v>1</v>
      </c>
      <c r="N839">
        <f t="shared" si="54"/>
        <v>0</v>
      </c>
      <c r="O839" t="str">
        <f t="shared" si="55"/>
        <v>Proposta Ok</v>
      </c>
    </row>
    <row r="840" spans="12:15" x14ac:dyDescent="0.25">
      <c r="L840">
        <f t="shared" si="52"/>
        <v>0</v>
      </c>
      <c r="M840">
        <f t="shared" si="53"/>
        <v>1</v>
      </c>
      <c r="N840">
        <f t="shared" si="54"/>
        <v>0</v>
      </c>
      <c r="O840" t="str">
        <f t="shared" si="55"/>
        <v>Proposta Ok</v>
      </c>
    </row>
    <row r="841" spans="12:15" x14ac:dyDescent="0.25">
      <c r="L841">
        <f t="shared" si="52"/>
        <v>0</v>
      </c>
      <c r="M841">
        <f t="shared" si="53"/>
        <v>1</v>
      </c>
      <c r="N841">
        <f t="shared" si="54"/>
        <v>0</v>
      </c>
      <c r="O841" t="str">
        <f t="shared" si="55"/>
        <v>Proposta Ok</v>
      </c>
    </row>
    <row r="842" spans="12:15" x14ac:dyDescent="0.25">
      <c r="L842">
        <f t="shared" si="52"/>
        <v>0</v>
      </c>
      <c r="M842">
        <f t="shared" si="53"/>
        <v>1</v>
      </c>
      <c r="N842">
        <f t="shared" si="54"/>
        <v>0</v>
      </c>
      <c r="O842" t="str">
        <f t="shared" si="55"/>
        <v>Proposta Ok</v>
      </c>
    </row>
    <row r="843" spans="12:15" x14ac:dyDescent="0.25">
      <c r="L843">
        <f t="shared" si="52"/>
        <v>0</v>
      </c>
      <c r="M843">
        <f t="shared" si="53"/>
        <v>1</v>
      </c>
      <c r="N843">
        <f t="shared" si="54"/>
        <v>0</v>
      </c>
      <c r="O843" t="str">
        <f t="shared" si="55"/>
        <v>Proposta Ok</v>
      </c>
    </row>
    <row r="844" spans="12:15" x14ac:dyDescent="0.25">
      <c r="L844">
        <f t="shared" si="52"/>
        <v>0</v>
      </c>
      <c r="M844">
        <f t="shared" si="53"/>
        <v>1</v>
      </c>
      <c r="N844">
        <f t="shared" si="54"/>
        <v>0</v>
      </c>
      <c r="O844" t="str">
        <f t="shared" si="55"/>
        <v>Proposta Ok</v>
      </c>
    </row>
    <row r="845" spans="12:15" x14ac:dyDescent="0.25">
      <c r="L845">
        <f t="shared" si="52"/>
        <v>0</v>
      </c>
      <c r="M845">
        <f t="shared" si="53"/>
        <v>1</v>
      </c>
      <c r="N845">
        <f t="shared" si="54"/>
        <v>0</v>
      </c>
      <c r="O845" t="str">
        <f t="shared" si="55"/>
        <v>Proposta Ok</v>
      </c>
    </row>
    <row r="846" spans="12:15" x14ac:dyDescent="0.25">
      <c r="L846">
        <f t="shared" si="52"/>
        <v>0</v>
      </c>
      <c r="M846">
        <f t="shared" si="53"/>
        <v>1</v>
      </c>
      <c r="N846">
        <f t="shared" si="54"/>
        <v>0</v>
      </c>
      <c r="O846" t="str">
        <f t="shared" si="55"/>
        <v>Proposta Ok</v>
      </c>
    </row>
    <row r="847" spans="12:15" x14ac:dyDescent="0.25">
      <c r="L847">
        <f t="shared" si="52"/>
        <v>0</v>
      </c>
      <c r="M847">
        <f t="shared" si="53"/>
        <v>1</v>
      </c>
      <c r="N847">
        <f t="shared" si="54"/>
        <v>0</v>
      </c>
      <c r="O847" t="str">
        <f t="shared" si="55"/>
        <v>Proposta Ok</v>
      </c>
    </row>
    <row r="848" spans="12:15" x14ac:dyDescent="0.25">
      <c r="L848">
        <f t="shared" si="52"/>
        <v>0</v>
      </c>
      <c r="M848">
        <f t="shared" si="53"/>
        <v>1</v>
      </c>
      <c r="N848">
        <f t="shared" si="54"/>
        <v>0</v>
      </c>
      <c r="O848" t="str">
        <f t="shared" si="55"/>
        <v>Proposta Ok</v>
      </c>
    </row>
    <row r="849" spans="12:15" x14ac:dyDescent="0.25">
      <c r="L849">
        <f t="shared" si="52"/>
        <v>0</v>
      </c>
      <c r="M849">
        <f t="shared" si="53"/>
        <v>1</v>
      </c>
      <c r="N849">
        <f t="shared" si="54"/>
        <v>0</v>
      </c>
      <c r="O849" t="str">
        <f t="shared" si="55"/>
        <v>Proposta Ok</v>
      </c>
    </row>
    <row r="850" spans="12:15" x14ac:dyDescent="0.25">
      <c r="L850">
        <f t="shared" si="52"/>
        <v>0</v>
      </c>
      <c r="M850">
        <f t="shared" si="53"/>
        <v>1</v>
      </c>
      <c r="N850">
        <f t="shared" si="54"/>
        <v>0</v>
      </c>
      <c r="O850" t="str">
        <f t="shared" si="55"/>
        <v>Proposta Ok</v>
      </c>
    </row>
    <row r="851" spans="12:15" x14ac:dyDescent="0.25">
      <c r="L851">
        <f t="shared" si="52"/>
        <v>0</v>
      </c>
      <c r="M851">
        <f t="shared" si="53"/>
        <v>1</v>
      </c>
      <c r="N851">
        <f t="shared" si="54"/>
        <v>0</v>
      </c>
      <c r="O851" t="str">
        <f t="shared" si="55"/>
        <v>Proposta Ok</v>
      </c>
    </row>
    <row r="852" spans="12:15" x14ac:dyDescent="0.25">
      <c r="L852">
        <f t="shared" si="52"/>
        <v>0</v>
      </c>
      <c r="M852">
        <f t="shared" si="53"/>
        <v>1</v>
      </c>
      <c r="N852">
        <f t="shared" si="54"/>
        <v>0</v>
      </c>
      <c r="O852" t="str">
        <f t="shared" si="55"/>
        <v>Proposta Ok</v>
      </c>
    </row>
    <row r="853" spans="12:15" x14ac:dyDescent="0.25">
      <c r="L853">
        <f t="shared" si="52"/>
        <v>0</v>
      </c>
      <c r="M853">
        <f t="shared" si="53"/>
        <v>1</v>
      </c>
      <c r="N853">
        <f t="shared" si="54"/>
        <v>0</v>
      </c>
      <c r="O853" t="str">
        <f t="shared" si="55"/>
        <v>Proposta Ok</v>
      </c>
    </row>
    <row r="854" spans="12:15" x14ac:dyDescent="0.25">
      <c r="L854">
        <f t="shared" si="52"/>
        <v>0</v>
      </c>
      <c r="M854">
        <f t="shared" si="53"/>
        <v>1</v>
      </c>
      <c r="N854">
        <f t="shared" si="54"/>
        <v>0</v>
      </c>
      <c r="O854" t="str">
        <f t="shared" si="55"/>
        <v>Proposta Ok</v>
      </c>
    </row>
    <row r="855" spans="12:15" x14ac:dyDescent="0.25">
      <c r="L855">
        <f t="shared" si="52"/>
        <v>0</v>
      </c>
      <c r="M855">
        <f t="shared" si="53"/>
        <v>1</v>
      </c>
      <c r="N855">
        <f t="shared" si="54"/>
        <v>0</v>
      </c>
      <c r="O855" t="str">
        <f t="shared" si="55"/>
        <v>Proposta Ok</v>
      </c>
    </row>
    <row r="856" spans="12:15" x14ac:dyDescent="0.25">
      <c r="L856">
        <f t="shared" si="52"/>
        <v>0</v>
      </c>
      <c r="M856">
        <f t="shared" si="53"/>
        <v>1</v>
      </c>
      <c r="N856">
        <f t="shared" si="54"/>
        <v>0</v>
      </c>
      <c r="O856" t="str">
        <f t="shared" si="55"/>
        <v>Proposta Ok</v>
      </c>
    </row>
    <row r="857" spans="12:15" x14ac:dyDescent="0.25">
      <c r="L857">
        <f t="shared" si="52"/>
        <v>0</v>
      </c>
      <c r="M857">
        <f t="shared" si="53"/>
        <v>1</v>
      </c>
      <c r="N857">
        <f t="shared" si="54"/>
        <v>0</v>
      </c>
      <c r="O857" t="str">
        <f t="shared" si="55"/>
        <v>Proposta Ok</v>
      </c>
    </row>
    <row r="858" spans="12:15" x14ac:dyDescent="0.25">
      <c r="L858">
        <f t="shared" si="52"/>
        <v>0</v>
      </c>
      <c r="M858">
        <f t="shared" si="53"/>
        <v>1</v>
      </c>
      <c r="N858">
        <f t="shared" si="54"/>
        <v>0</v>
      </c>
      <c r="O858" t="str">
        <f t="shared" si="55"/>
        <v>Proposta Ok</v>
      </c>
    </row>
    <row r="859" spans="12:15" x14ac:dyDescent="0.25">
      <c r="L859">
        <f t="shared" si="52"/>
        <v>0</v>
      </c>
      <c r="M859">
        <f t="shared" si="53"/>
        <v>1</v>
      </c>
      <c r="N859">
        <f t="shared" si="54"/>
        <v>0</v>
      </c>
      <c r="O859" t="str">
        <f t="shared" si="55"/>
        <v>Proposta Ok</v>
      </c>
    </row>
    <row r="860" spans="12:15" x14ac:dyDescent="0.25">
      <c r="L860">
        <f t="shared" si="52"/>
        <v>0</v>
      </c>
      <c r="M860">
        <f t="shared" si="53"/>
        <v>1</v>
      </c>
      <c r="N860">
        <f t="shared" si="54"/>
        <v>0</v>
      </c>
      <c r="O860" t="str">
        <f t="shared" si="55"/>
        <v>Proposta Ok</v>
      </c>
    </row>
    <row r="861" spans="12:15" x14ac:dyDescent="0.25">
      <c r="L861">
        <f t="shared" si="52"/>
        <v>0</v>
      </c>
      <c r="M861">
        <f t="shared" si="53"/>
        <v>1</v>
      </c>
      <c r="N861">
        <f t="shared" si="54"/>
        <v>0</v>
      </c>
      <c r="O861" t="str">
        <f t="shared" si="55"/>
        <v>Proposta Ok</v>
      </c>
    </row>
    <row r="862" spans="12:15" x14ac:dyDescent="0.25">
      <c r="L862">
        <f t="shared" si="52"/>
        <v>0</v>
      </c>
      <c r="M862">
        <f t="shared" si="53"/>
        <v>1</v>
      </c>
      <c r="N862">
        <f t="shared" si="54"/>
        <v>0</v>
      </c>
      <c r="O862" t="str">
        <f t="shared" si="55"/>
        <v>Proposta Ok</v>
      </c>
    </row>
    <row r="863" spans="12:15" x14ac:dyDescent="0.25">
      <c r="L863">
        <f t="shared" si="52"/>
        <v>0</v>
      </c>
      <c r="M863">
        <f t="shared" si="53"/>
        <v>1</v>
      </c>
      <c r="N863">
        <f t="shared" si="54"/>
        <v>0</v>
      </c>
      <c r="O863" t="str">
        <f t="shared" si="55"/>
        <v>Proposta Ok</v>
      </c>
    </row>
    <row r="864" spans="12:15" x14ac:dyDescent="0.25">
      <c r="L864">
        <f t="shared" si="52"/>
        <v>0</v>
      </c>
      <c r="M864">
        <f t="shared" si="53"/>
        <v>1</v>
      </c>
      <c r="N864">
        <f t="shared" si="54"/>
        <v>0</v>
      </c>
      <c r="O864" t="str">
        <f t="shared" si="55"/>
        <v>Proposta Ok</v>
      </c>
    </row>
    <row r="865" spans="12:15" x14ac:dyDescent="0.25">
      <c r="L865">
        <f t="shared" si="52"/>
        <v>0</v>
      </c>
      <c r="M865">
        <f t="shared" si="53"/>
        <v>1</v>
      </c>
      <c r="N865">
        <f t="shared" si="54"/>
        <v>0</v>
      </c>
      <c r="O865" t="str">
        <f t="shared" si="55"/>
        <v>Proposta Ok</v>
      </c>
    </row>
    <row r="866" spans="12:15" x14ac:dyDescent="0.25">
      <c r="L866">
        <f t="shared" si="52"/>
        <v>0</v>
      </c>
      <c r="M866">
        <f t="shared" si="53"/>
        <v>1</v>
      </c>
      <c r="N866">
        <f t="shared" si="54"/>
        <v>0</v>
      </c>
      <c r="O866" t="str">
        <f t="shared" si="55"/>
        <v>Proposta Ok</v>
      </c>
    </row>
    <row r="867" spans="12:15" x14ac:dyDescent="0.25">
      <c r="L867">
        <f t="shared" si="52"/>
        <v>0</v>
      </c>
      <c r="M867">
        <f t="shared" si="53"/>
        <v>1</v>
      </c>
      <c r="N867">
        <f t="shared" si="54"/>
        <v>0</v>
      </c>
      <c r="O867" t="str">
        <f t="shared" si="55"/>
        <v>Proposta Ok</v>
      </c>
    </row>
    <row r="868" spans="12:15" x14ac:dyDescent="0.25">
      <c r="L868">
        <f t="shared" si="52"/>
        <v>0</v>
      </c>
      <c r="M868">
        <f t="shared" si="53"/>
        <v>1</v>
      </c>
      <c r="N868">
        <f t="shared" si="54"/>
        <v>0</v>
      </c>
      <c r="O868" t="str">
        <f t="shared" si="55"/>
        <v>Proposta Ok</v>
      </c>
    </row>
    <row r="869" spans="12:15" x14ac:dyDescent="0.25">
      <c r="L869">
        <f t="shared" si="52"/>
        <v>0</v>
      </c>
      <c r="M869">
        <f t="shared" si="53"/>
        <v>1</v>
      </c>
      <c r="N869">
        <f t="shared" si="54"/>
        <v>0</v>
      </c>
      <c r="O869" t="str">
        <f t="shared" si="55"/>
        <v>Proposta Ok</v>
      </c>
    </row>
    <row r="870" spans="12:15" x14ac:dyDescent="0.25">
      <c r="L870">
        <f t="shared" si="52"/>
        <v>0</v>
      </c>
      <c r="M870">
        <f t="shared" si="53"/>
        <v>1</v>
      </c>
      <c r="N870">
        <f t="shared" si="54"/>
        <v>0</v>
      </c>
      <c r="O870" t="str">
        <f t="shared" si="55"/>
        <v>Proposta Ok</v>
      </c>
    </row>
    <row r="871" spans="12:15" x14ac:dyDescent="0.25">
      <c r="L871">
        <f t="shared" si="52"/>
        <v>0</v>
      </c>
      <c r="M871">
        <f t="shared" si="53"/>
        <v>1</v>
      </c>
      <c r="N871">
        <f t="shared" si="54"/>
        <v>0</v>
      </c>
      <c r="O871" t="str">
        <f t="shared" si="55"/>
        <v>Proposta Ok</v>
      </c>
    </row>
    <row r="872" spans="12:15" x14ac:dyDescent="0.25">
      <c r="L872">
        <f t="shared" si="52"/>
        <v>0</v>
      </c>
      <c r="M872">
        <f t="shared" si="53"/>
        <v>1</v>
      </c>
      <c r="N872">
        <f t="shared" si="54"/>
        <v>0</v>
      </c>
      <c r="O872" t="str">
        <f t="shared" si="55"/>
        <v>Proposta Ok</v>
      </c>
    </row>
    <row r="873" spans="12:15" x14ac:dyDescent="0.25">
      <c r="L873">
        <f t="shared" si="52"/>
        <v>0</v>
      </c>
      <c r="M873">
        <f t="shared" si="53"/>
        <v>1</v>
      </c>
      <c r="N873">
        <f t="shared" si="54"/>
        <v>0</v>
      </c>
      <c r="O873" t="str">
        <f t="shared" si="55"/>
        <v>Proposta Ok</v>
      </c>
    </row>
    <row r="874" spans="12:15" x14ac:dyDescent="0.25">
      <c r="L874">
        <f t="shared" si="52"/>
        <v>0</v>
      </c>
      <c r="M874">
        <f t="shared" si="53"/>
        <v>1</v>
      </c>
      <c r="N874">
        <f t="shared" si="54"/>
        <v>0</v>
      </c>
      <c r="O874" t="str">
        <f t="shared" si="55"/>
        <v>Proposta Ok</v>
      </c>
    </row>
    <row r="875" spans="12:15" x14ac:dyDescent="0.25">
      <c r="L875">
        <f t="shared" si="52"/>
        <v>0</v>
      </c>
      <c r="M875">
        <f t="shared" si="53"/>
        <v>1</v>
      </c>
      <c r="N875">
        <f t="shared" si="54"/>
        <v>0</v>
      </c>
      <c r="O875" t="str">
        <f t="shared" si="55"/>
        <v>Proposta Ok</v>
      </c>
    </row>
    <row r="876" spans="12:15" x14ac:dyDescent="0.25">
      <c r="L876">
        <f t="shared" si="52"/>
        <v>0</v>
      </c>
      <c r="M876">
        <f t="shared" si="53"/>
        <v>1</v>
      </c>
      <c r="N876">
        <f t="shared" si="54"/>
        <v>0</v>
      </c>
      <c r="O876" t="str">
        <f t="shared" si="55"/>
        <v>Proposta Ok</v>
      </c>
    </row>
    <row r="877" spans="12:15" x14ac:dyDescent="0.25">
      <c r="L877">
        <f t="shared" si="52"/>
        <v>0</v>
      </c>
      <c r="M877">
        <f t="shared" si="53"/>
        <v>1</v>
      </c>
      <c r="N877">
        <f t="shared" si="54"/>
        <v>0</v>
      </c>
      <c r="O877" t="str">
        <f t="shared" si="55"/>
        <v>Proposta Ok</v>
      </c>
    </row>
    <row r="878" spans="12:15" x14ac:dyDescent="0.25">
      <c r="L878">
        <f t="shared" si="52"/>
        <v>0</v>
      </c>
      <c r="M878">
        <f t="shared" si="53"/>
        <v>1</v>
      </c>
      <c r="N878">
        <f t="shared" si="54"/>
        <v>0</v>
      </c>
      <c r="O878" t="str">
        <f t="shared" si="55"/>
        <v>Proposta Ok</v>
      </c>
    </row>
    <row r="879" spans="12:15" x14ac:dyDescent="0.25">
      <c r="L879">
        <f t="shared" si="52"/>
        <v>0</v>
      </c>
      <c r="M879">
        <f t="shared" si="53"/>
        <v>1</v>
      </c>
      <c r="N879">
        <f t="shared" si="54"/>
        <v>0</v>
      </c>
      <c r="O879" t="str">
        <f t="shared" si="55"/>
        <v>Proposta Ok</v>
      </c>
    </row>
    <row r="880" spans="12:15" x14ac:dyDescent="0.25">
      <c r="L880">
        <f t="shared" si="52"/>
        <v>0</v>
      </c>
      <c r="M880">
        <f t="shared" si="53"/>
        <v>1</v>
      </c>
      <c r="N880">
        <f t="shared" si="54"/>
        <v>0</v>
      </c>
      <c r="O880" t="str">
        <f t="shared" si="55"/>
        <v>Proposta Ok</v>
      </c>
    </row>
    <row r="881" spans="12:15" x14ac:dyDescent="0.25">
      <c r="L881">
        <f t="shared" si="52"/>
        <v>0</v>
      </c>
      <c r="M881">
        <f t="shared" si="53"/>
        <v>1</v>
      </c>
      <c r="N881">
        <f t="shared" si="54"/>
        <v>0</v>
      </c>
      <c r="O881" t="str">
        <f t="shared" si="55"/>
        <v>Proposta Ok</v>
      </c>
    </row>
    <row r="882" spans="12:15" x14ac:dyDescent="0.25">
      <c r="L882">
        <f t="shared" si="52"/>
        <v>0</v>
      </c>
      <c r="M882">
        <f t="shared" si="53"/>
        <v>1</v>
      </c>
      <c r="N882">
        <f t="shared" si="54"/>
        <v>0</v>
      </c>
      <c r="O882" t="str">
        <f t="shared" si="55"/>
        <v>Proposta Ok</v>
      </c>
    </row>
    <row r="883" spans="12:15" x14ac:dyDescent="0.25">
      <c r="L883">
        <f t="shared" si="52"/>
        <v>0</v>
      </c>
      <c r="M883">
        <f t="shared" si="53"/>
        <v>1</v>
      </c>
      <c r="N883">
        <f t="shared" si="54"/>
        <v>0</v>
      </c>
      <c r="O883" t="str">
        <f t="shared" si="55"/>
        <v>Proposta Ok</v>
      </c>
    </row>
    <row r="884" spans="12:15" x14ac:dyDescent="0.25">
      <c r="L884">
        <f t="shared" si="52"/>
        <v>0</v>
      </c>
      <c r="M884">
        <f t="shared" si="53"/>
        <v>1</v>
      </c>
      <c r="N884">
        <f t="shared" si="54"/>
        <v>0</v>
      </c>
      <c r="O884" t="str">
        <f t="shared" si="55"/>
        <v>Proposta Ok</v>
      </c>
    </row>
    <row r="885" spans="12:15" x14ac:dyDescent="0.25">
      <c r="L885">
        <f t="shared" si="52"/>
        <v>0</v>
      </c>
      <c r="M885">
        <f t="shared" si="53"/>
        <v>1</v>
      </c>
      <c r="N885">
        <f t="shared" si="54"/>
        <v>0</v>
      </c>
      <c r="O885" t="str">
        <f t="shared" si="55"/>
        <v>Proposta Ok</v>
      </c>
    </row>
    <row r="886" spans="12:15" x14ac:dyDescent="0.25">
      <c r="L886">
        <f t="shared" si="52"/>
        <v>0</v>
      </c>
      <c r="M886">
        <f t="shared" si="53"/>
        <v>1</v>
      </c>
      <c r="N886">
        <f t="shared" si="54"/>
        <v>0</v>
      </c>
      <c r="O886" t="str">
        <f t="shared" si="55"/>
        <v>Proposta Ok</v>
      </c>
    </row>
    <row r="887" spans="12:15" x14ac:dyDescent="0.25">
      <c r="L887">
        <f t="shared" si="52"/>
        <v>0</v>
      </c>
      <c r="M887">
        <f t="shared" si="53"/>
        <v>1</v>
      </c>
      <c r="N887">
        <f t="shared" si="54"/>
        <v>0</v>
      </c>
      <c r="O887" t="str">
        <f t="shared" si="55"/>
        <v>Proposta Ok</v>
      </c>
    </row>
    <row r="888" spans="12:15" x14ac:dyDescent="0.25">
      <c r="L888">
        <f t="shared" si="52"/>
        <v>0</v>
      </c>
      <c r="M888">
        <f t="shared" si="53"/>
        <v>1</v>
      </c>
      <c r="N888">
        <f t="shared" si="54"/>
        <v>0</v>
      </c>
      <c r="O888" t="str">
        <f t="shared" si="55"/>
        <v>Proposta Ok</v>
      </c>
    </row>
    <row r="889" spans="12:15" x14ac:dyDescent="0.25">
      <c r="L889">
        <f t="shared" si="52"/>
        <v>0</v>
      </c>
      <c r="M889">
        <f t="shared" si="53"/>
        <v>1</v>
      </c>
      <c r="N889">
        <f t="shared" si="54"/>
        <v>0</v>
      </c>
      <c r="O889" t="str">
        <f t="shared" si="55"/>
        <v>Proposta Ok</v>
      </c>
    </row>
    <row r="890" spans="12:15" x14ac:dyDescent="0.25">
      <c r="L890">
        <f t="shared" si="52"/>
        <v>0</v>
      </c>
      <c r="M890">
        <f t="shared" si="53"/>
        <v>1</v>
      </c>
      <c r="N890">
        <f t="shared" si="54"/>
        <v>0</v>
      </c>
      <c r="O890" t="str">
        <f t="shared" si="55"/>
        <v>Proposta Ok</v>
      </c>
    </row>
    <row r="891" spans="12:15" x14ac:dyDescent="0.25">
      <c r="L891">
        <f t="shared" si="52"/>
        <v>0</v>
      </c>
      <c r="M891">
        <f t="shared" si="53"/>
        <v>1</v>
      </c>
      <c r="N891">
        <f t="shared" si="54"/>
        <v>0</v>
      </c>
      <c r="O891" t="str">
        <f t="shared" si="55"/>
        <v>Proposta Ok</v>
      </c>
    </row>
    <row r="892" spans="12:15" x14ac:dyDescent="0.25">
      <c r="L892">
        <f t="shared" si="52"/>
        <v>0</v>
      </c>
      <c r="M892">
        <f t="shared" si="53"/>
        <v>1</v>
      </c>
      <c r="N892">
        <f t="shared" si="54"/>
        <v>0</v>
      </c>
      <c r="O892" t="str">
        <f t="shared" si="55"/>
        <v>Proposta Ok</v>
      </c>
    </row>
    <row r="893" spans="12:15" x14ac:dyDescent="0.25">
      <c r="L893">
        <f t="shared" si="52"/>
        <v>0</v>
      </c>
      <c r="M893">
        <f t="shared" si="53"/>
        <v>1</v>
      </c>
      <c r="N893">
        <f t="shared" si="54"/>
        <v>0</v>
      </c>
      <c r="O893" t="str">
        <f t="shared" si="55"/>
        <v>Proposta Ok</v>
      </c>
    </row>
    <row r="894" spans="12:15" x14ac:dyDescent="0.25">
      <c r="L894">
        <f t="shared" ref="L894:L957" si="56">IF(OR(I894="Termo OK (Exceção)",I894="Termo OK"),1,0)</f>
        <v>0</v>
      </c>
      <c r="M894">
        <f t="shared" ref="M894:M957" si="57">IF(OR(I894="Termo OK (Exceção)",I894="Termo OK"),0,1)</f>
        <v>1</v>
      </c>
      <c r="N894">
        <f t="shared" ref="N894:N957" si="58">IF(J894="SIM",1,0)</f>
        <v>0</v>
      </c>
      <c r="O894" t="str">
        <f t="shared" si="55"/>
        <v>Proposta Ok</v>
      </c>
    </row>
    <row r="895" spans="12:15" x14ac:dyDescent="0.25">
      <c r="L895">
        <f t="shared" si="56"/>
        <v>0</v>
      </c>
      <c r="M895">
        <f t="shared" si="57"/>
        <v>1</v>
      </c>
      <c r="N895">
        <f t="shared" si="58"/>
        <v>0</v>
      </c>
      <c r="O895" t="str">
        <f t="shared" si="55"/>
        <v>Proposta Ok</v>
      </c>
    </row>
    <row r="896" spans="12:15" x14ac:dyDescent="0.25">
      <c r="L896">
        <f t="shared" si="56"/>
        <v>0</v>
      </c>
      <c r="M896">
        <f t="shared" si="57"/>
        <v>1</v>
      </c>
      <c r="N896">
        <f t="shared" si="58"/>
        <v>0</v>
      </c>
      <c r="O896" t="str">
        <f t="shared" si="55"/>
        <v>Proposta Ok</v>
      </c>
    </row>
    <row r="897" spans="12:15" x14ac:dyDescent="0.25">
      <c r="L897">
        <f t="shared" si="56"/>
        <v>0</v>
      </c>
      <c r="M897">
        <f t="shared" si="57"/>
        <v>1</v>
      </c>
      <c r="N897">
        <f t="shared" si="58"/>
        <v>0</v>
      </c>
      <c r="O897" t="str">
        <f t="shared" si="55"/>
        <v>Proposta Ok</v>
      </c>
    </row>
    <row r="898" spans="12:15" x14ac:dyDescent="0.25">
      <c r="L898">
        <f t="shared" si="56"/>
        <v>0</v>
      </c>
      <c r="M898">
        <f t="shared" si="57"/>
        <v>1</v>
      </c>
      <c r="N898">
        <f t="shared" si="58"/>
        <v>0</v>
      </c>
      <c r="O898" t="str">
        <f t="shared" si="55"/>
        <v>Proposta Ok</v>
      </c>
    </row>
    <row r="899" spans="12:15" x14ac:dyDescent="0.25">
      <c r="L899">
        <f t="shared" si="56"/>
        <v>0</v>
      </c>
      <c r="M899">
        <f t="shared" si="57"/>
        <v>1</v>
      </c>
      <c r="N899">
        <f t="shared" si="58"/>
        <v>0</v>
      </c>
      <c r="O899" t="str">
        <f t="shared" ref="O899:O962" si="59">IF(SUMIFS(M:M,A:A,A899)&gt;0,"Proposta não Ok","Proposta Ok")</f>
        <v>Proposta Ok</v>
      </c>
    </row>
    <row r="900" spans="12:15" x14ac:dyDescent="0.25">
      <c r="L900">
        <f t="shared" si="56"/>
        <v>0</v>
      </c>
      <c r="M900">
        <f t="shared" si="57"/>
        <v>1</v>
      </c>
      <c r="N900">
        <f t="shared" si="58"/>
        <v>0</v>
      </c>
      <c r="O900" t="str">
        <f t="shared" si="59"/>
        <v>Proposta Ok</v>
      </c>
    </row>
    <row r="901" spans="12:15" x14ac:dyDescent="0.25">
      <c r="L901">
        <f t="shared" si="56"/>
        <v>0</v>
      </c>
      <c r="M901">
        <f t="shared" si="57"/>
        <v>1</v>
      </c>
      <c r="N901">
        <f t="shared" si="58"/>
        <v>0</v>
      </c>
      <c r="O901" t="str">
        <f t="shared" si="59"/>
        <v>Proposta Ok</v>
      </c>
    </row>
    <row r="902" spans="12:15" x14ac:dyDescent="0.25">
      <c r="L902">
        <f t="shared" si="56"/>
        <v>0</v>
      </c>
      <c r="M902">
        <f t="shared" si="57"/>
        <v>1</v>
      </c>
      <c r="N902">
        <f t="shared" si="58"/>
        <v>0</v>
      </c>
      <c r="O902" t="str">
        <f t="shared" si="59"/>
        <v>Proposta Ok</v>
      </c>
    </row>
    <row r="903" spans="12:15" x14ac:dyDescent="0.25">
      <c r="L903">
        <f t="shared" si="56"/>
        <v>0</v>
      </c>
      <c r="M903">
        <f t="shared" si="57"/>
        <v>1</v>
      </c>
      <c r="N903">
        <f t="shared" si="58"/>
        <v>0</v>
      </c>
      <c r="O903" t="str">
        <f t="shared" si="59"/>
        <v>Proposta Ok</v>
      </c>
    </row>
    <row r="904" spans="12:15" x14ac:dyDescent="0.25">
      <c r="L904">
        <f t="shared" si="56"/>
        <v>0</v>
      </c>
      <c r="M904">
        <f t="shared" si="57"/>
        <v>1</v>
      </c>
      <c r="N904">
        <f t="shared" si="58"/>
        <v>0</v>
      </c>
      <c r="O904" t="str">
        <f t="shared" si="59"/>
        <v>Proposta Ok</v>
      </c>
    </row>
    <row r="905" spans="12:15" x14ac:dyDescent="0.25">
      <c r="L905">
        <f t="shared" si="56"/>
        <v>0</v>
      </c>
      <c r="M905">
        <f t="shared" si="57"/>
        <v>1</v>
      </c>
      <c r="N905">
        <f t="shared" si="58"/>
        <v>0</v>
      </c>
      <c r="O905" t="str">
        <f t="shared" si="59"/>
        <v>Proposta Ok</v>
      </c>
    </row>
    <row r="906" spans="12:15" x14ac:dyDescent="0.25">
      <c r="L906">
        <f t="shared" si="56"/>
        <v>0</v>
      </c>
      <c r="M906">
        <f t="shared" si="57"/>
        <v>1</v>
      </c>
      <c r="N906">
        <f t="shared" si="58"/>
        <v>0</v>
      </c>
      <c r="O906" t="str">
        <f t="shared" si="59"/>
        <v>Proposta Ok</v>
      </c>
    </row>
    <row r="907" spans="12:15" x14ac:dyDescent="0.25">
      <c r="L907">
        <f t="shared" si="56"/>
        <v>0</v>
      </c>
      <c r="M907">
        <f t="shared" si="57"/>
        <v>1</v>
      </c>
      <c r="N907">
        <f t="shared" si="58"/>
        <v>0</v>
      </c>
      <c r="O907" t="str">
        <f t="shared" si="59"/>
        <v>Proposta Ok</v>
      </c>
    </row>
    <row r="908" spans="12:15" x14ac:dyDescent="0.25">
      <c r="L908">
        <f t="shared" si="56"/>
        <v>0</v>
      </c>
      <c r="M908">
        <f t="shared" si="57"/>
        <v>1</v>
      </c>
      <c r="N908">
        <f t="shared" si="58"/>
        <v>0</v>
      </c>
      <c r="O908" t="str">
        <f t="shared" si="59"/>
        <v>Proposta Ok</v>
      </c>
    </row>
    <row r="909" spans="12:15" x14ac:dyDescent="0.25">
      <c r="L909">
        <f t="shared" si="56"/>
        <v>0</v>
      </c>
      <c r="M909">
        <f t="shared" si="57"/>
        <v>1</v>
      </c>
      <c r="N909">
        <f t="shared" si="58"/>
        <v>0</v>
      </c>
      <c r="O909" t="str">
        <f t="shared" si="59"/>
        <v>Proposta Ok</v>
      </c>
    </row>
    <row r="910" spans="12:15" x14ac:dyDescent="0.25">
      <c r="L910">
        <f t="shared" si="56"/>
        <v>0</v>
      </c>
      <c r="M910">
        <f t="shared" si="57"/>
        <v>1</v>
      </c>
      <c r="N910">
        <f t="shared" si="58"/>
        <v>0</v>
      </c>
      <c r="O910" t="str">
        <f t="shared" si="59"/>
        <v>Proposta Ok</v>
      </c>
    </row>
    <row r="911" spans="12:15" x14ac:dyDescent="0.25">
      <c r="L911">
        <f t="shared" si="56"/>
        <v>0</v>
      </c>
      <c r="M911">
        <f t="shared" si="57"/>
        <v>1</v>
      </c>
      <c r="N911">
        <f t="shared" si="58"/>
        <v>0</v>
      </c>
      <c r="O911" t="str">
        <f t="shared" si="59"/>
        <v>Proposta Ok</v>
      </c>
    </row>
    <row r="912" spans="12:15" x14ac:dyDescent="0.25">
      <c r="L912">
        <f t="shared" si="56"/>
        <v>0</v>
      </c>
      <c r="M912">
        <f t="shared" si="57"/>
        <v>1</v>
      </c>
      <c r="N912">
        <f t="shared" si="58"/>
        <v>0</v>
      </c>
      <c r="O912" t="str">
        <f t="shared" si="59"/>
        <v>Proposta Ok</v>
      </c>
    </row>
    <row r="913" spans="12:15" x14ac:dyDescent="0.25">
      <c r="L913">
        <f t="shared" si="56"/>
        <v>0</v>
      </c>
      <c r="M913">
        <f t="shared" si="57"/>
        <v>1</v>
      </c>
      <c r="N913">
        <f t="shared" si="58"/>
        <v>0</v>
      </c>
      <c r="O913" t="str">
        <f t="shared" si="59"/>
        <v>Proposta Ok</v>
      </c>
    </row>
    <row r="914" spans="12:15" x14ac:dyDescent="0.25">
      <c r="L914">
        <f t="shared" si="56"/>
        <v>0</v>
      </c>
      <c r="M914">
        <f t="shared" si="57"/>
        <v>1</v>
      </c>
      <c r="N914">
        <f t="shared" si="58"/>
        <v>0</v>
      </c>
      <c r="O914" t="str">
        <f t="shared" si="59"/>
        <v>Proposta Ok</v>
      </c>
    </row>
    <row r="915" spans="12:15" x14ac:dyDescent="0.25">
      <c r="L915">
        <f t="shared" si="56"/>
        <v>0</v>
      </c>
      <c r="M915">
        <f t="shared" si="57"/>
        <v>1</v>
      </c>
      <c r="N915">
        <f t="shared" si="58"/>
        <v>0</v>
      </c>
      <c r="O915" t="str">
        <f t="shared" si="59"/>
        <v>Proposta Ok</v>
      </c>
    </row>
    <row r="916" spans="12:15" x14ac:dyDescent="0.25">
      <c r="L916">
        <f t="shared" si="56"/>
        <v>0</v>
      </c>
      <c r="M916">
        <f t="shared" si="57"/>
        <v>1</v>
      </c>
      <c r="N916">
        <f t="shared" si="58"/>
        <v>0</v>
      </c>
      <c r="O916" t="str">
        <f t="shared" si="59"/>
        <v>Proposta Ok</v>
      </c>
    </row>
    <row r="917" spans="12:15" x14ac:dyDescent="0.25">
      <c r="L917">
        <f t="shared" si="56"/>
        <v>0</v>
      </c>
      <c r="M917">
        <f t="shared" si="57"/>
        <v>1</v>
      </c>
      <c r="N917">
        <f t="shared" si="58"/>
        <v>0</v>
      </c>
      <c r="O917" t="str">
        <f t="shared" si="59"/>
        <v>Proposta Ok</v>
      </c>
    </row>
    <row r="918" spans="12:15" x14ac:dyDescent="0.25">
      <c r="L918">
        <f t="shared" si="56"/>
        <v>0</v>
      </c>
      <c r="M918">
        <f t="shared" si="57"/>
        <v>1</v>
      </c>
      <c r="N918">
        <f t="shared" si="58"/>
        <v>0</v>
      </c>
      <c r="O918" t="str">
        <f t="shared" si="59"/>
        <v>Proposta Ok</v>
      </c>
    </row>
    <row r="919" spans="12:15" x14ac:dyDescent="0.25">
      <c r="L919">
        <f t="shared" si="56"/>
        <v>0</v>
      </c>
      <c r="M919">
        <f t="shared" si="57"/>
        <v>1</v>
      </c>
      <c r="N919">
        <f t="shared" si="58"/>
        <v>0</v>
      </c>
      <c r="O919" t="str">
        <f t="shared" si="59"/>
        <v>Proposta Ok</v>
      </c>
    </row>
    <row r="920" spans="12:15" x14ac:dyDescent="0.25">
      <c r="L920">
        <f t="shared" si="56"/>
        <v>0</v>
      </c>
      <c r="M920">
        <f t="shared" si="57"/>
        <v>1</v>
      </c>
      <c r="N920">
        <f t="shared" si="58"/>
        <v>0</v>
      </c>
      <c r="O920" t="str">
        <f t="shared" si="59"/>
        <v>Proposta Ok</v>
      </c>
    </row>
    <row r="921" spans="12:15" x14ac:dyDescent="0.25">
      <c r="L921">
        <f t="shared" si="56"/>
        <v>0</v>
      </c>
      <c r="M921">
        <f t="shared" si="57"/>
        <v>1</v>
      </c>
      <c r="N921">
        <f t="shared" si="58"/>
        <v>0</v>
      </c>
      <c r="O921" t="str">
        <f t="shared" si="59"/>
        <v>Proposta Ok</v>
      </c>
    </row>
    <row r="922" spans="12:15" x14ac:dyDescent="0.25">
      <c r="L922">
        <f t="shared" si="56"/>
        <v>0</v>
      </c>
      <c r="M922">
        <f t="shared" si="57"/>
        <v>1</v>
      </c>
      <c r="N922">
        <f t="shared" si="58"/>
        <v>0</v>
      </c>
      <c r="O922" t="str">
        <f t="shared" si="59"/>
        <v>Proposta Ok</v>
      </c>
    </row>
    <row r="923" spans="12:15" x14ac:dyDescent="0.25">
      <c r="L923">
        <f t="shared" si="56"/>
        <v>0</v>
      </c>
      <c r="M923">
        <f t="shared" si="57"/>
        <v>1</v>
      </c>
      <c r="N923">
        <f t="shared" si="58"/>
        <v>0</v>
      </c>
      <c r="O923" t="str">
        <f t="shared" si="59"/>
        <v>Proposta Ok</v>
      </c>
    </row>
    <row r="924" spans="12:15" x14ac:dyDescent="0.25">
      <c r="L924">
        <f t="shared" si="56"/>
        <v>0</v>
      </c>
      <c r="M924">
        <f t="shared" si="57"/>
        <v>1</v>
      </c>
      <c r="N924">
        <f t="shared" si="58"/>
        <v>0</v>
      </c>
      <c r="O924" t="str">
        <f t="shared" si="59"/>
        <v>Proposta Ok</v>
      </c>
    </row>
    <row r="925" spans="12:15" x14ac:dyDescent="0.25">
      <c r="L925">
        <f t="shared" si="56"/>
        <v>0</v>
      </c>
      <c r="M925">
        <f t="shared" si="57"/>
        <v>1</v>
      </c>
      <c r="N925">
        <f t="shared" si="58"/>
        <v>0</v>
      </c>
      <c r="O925" t="str">
        <f t="shared" si="59"/>
        <v>Proposta Ok</v>
      </c>
    </row>
    <row r="926" spans="12:15" x14ac:dyDescent="0.25">
      <c r="L926">
        <f t="shared" si="56"/>
        <v>0</v>
      </c>
      <c r="M926">
        <f t="shared" si="57"/>
        <v>1</v>
      </c>
      <c r="N926">
        <f t="shared" si="58"/>
        <v>0</v>
      </c>
      <c r="O926" t="str">
        <f t="shared" si="59"/>
        <v>Proposta Ok</v>
      </c>
    </row>
    <row r="927" spans="12:15" x14ac:dyDescent="0.25">
      <c r="L927">
        <f t="shared" si="56"/>
        <v>0</v>
      </c>
      <c r="M927">
        <f t="shared" si="57"/>
        <v>1</v>
      </c>
      <c r="N927">
        <f t="shared" si="58"/>
        <v>0</v>
      </c>
      <c r="O927" t="str">
        <f t="shared" si="59"/>
        <v>Proposta Ok</v>
      </c>
    </row>
    <row r="928" spans="12:15" x14ac:dyDescent="0.25">
      <c r="L928">
        <f t="shared" si="56"/>
        <v>0</v>
      </c>
      <c r="M928">
        <f t="shared" si="57"/>
        <v>1</v>
      </c>
      <c r="N928">
        <f t="shared" si="58"/>
        <v>0</v>
      </c>
      <c r="O928" t="str">
        <f t="shared" si="59"/>
        <v>Proposta Ok</v>
      </c>
    </row>
    <row r="929" spans="12:15" x14ac:dyDescent="0.25">
      <c r="L929">
        <f t="shared" si="56"/>
        <v>0</v>
      </c>
      <c r="M929">
        <f t="shared" si="57"/>
        <v>1</v>
      </c>
      <c r="N929">
        <f t="shared" si="58"/>
        <v>0</v>
      </c>
      <c r="O929" t="str">
        <f t="shared" si="59"/>
        <v>Proposta Ok</v>
      </c>
    </row>
    <row r="930" spans="12:15" x14ac:dyDescent="0.25">
      <c r="L930">
        <f t="shared" si="56"/>
        <v>0</v>
      </c>
      <c r="M930">
        <f t="shared" si="57"/>
        <v>1</v>
      </c>
      <c r="N930">
        <f t="shared" si="58"/>
        <v>0</v>
      </c>
      <c r="O930" t="str">
        <f t="shared" si="59"/>
        <v>Proposta Ok</v>
      </c>
    </row>
    <row r="931" spans="12:15" x14ac:dyDescent="0.25">
      <c r="L931">
        <f t="shared" si="56"/>
        <v>0</v>
      </c>
      <c r="M931">
        <f t="shared" si="57"/>
        <v>1</v>
      </c>
      <c r="N931">
        <f t="shared" si="58"/>
        <v>0</v>
      </c>
      <c r="O931" t="str">
        <f t="shared" si="59"/>
        <v>Proposta Ok</v>
      </c>
    </row>
    <row r="932" spans="12:15" x14ac:dyDescent="0.25">
      <c r="L932">
        <f t="shared" si="56"/>
        <v>0</v>
      </c>
      <c r="M932">
        <f t="shared" si="57"/>
        <v>1</v>
      </c>
      <c r="N932">
        <f t="shared" si="58"/>
        <v>0</v>
      </c>
      <c r="O932" t="str">
        <f t="shared" si="59"/>
        <v>Proposta Ok</v>
      </c>
    </row>
    <row r="933" spans="12:15" x14ac:dyDescent="0.25">
      <c r="L933">
        <f t="shared" si="56"/>
        <v>0</v>
      </c>
      <c r="M933">
        <f t="shared" si="57"/>
        <v>1</v>
      </c>
      <c r="N933">
        <f t="shared" si="58"/>
        <v>0</v>
      </c>
      <c r="O933" t="str">
        <f t="shared" si="59"/>
        <v>Proposta Ok</v>
      </c>
    </row>
    <row r="934" spans="12:15" x14ac:dyDescent="0.25">
      <c r="L934">
        <f t="shared" si="56"/>
        <v>0</v>
      </c>
      <c r="M934">
        <f t="shared" si="57"/>
        <v>1</v>
      </c>
      <c r="N934">
        <f t="shared" si="58"/>
        <v>0</v>
      </c>
      <c r="O934" t="str">
        <f t="shared" si="59"/>
        <v>Proposta Ok</v>
      </c>
    </row>
    <row r="935" spans="12:15" x14ac:dyDescent="0.25">
      <c r="L935">
        <f t="shared" si="56"/>
        <v>0</v>
      </c>
      <c r="M935">
        <f t="shared" si="57"/>
        <v>1</v>
      </c>
      <c r="N935">
        <f t="shared" si="58"/>
        <v>0</v>
      </c>
      <c r="O935" t="str">
        <f t="shared" si="59"/>
        <v>Proposta Ok</v>
      </c>
    </row>
    <row r="936" spans="12:15" x14ac:dyDescent="0.25">
      <c r="L936">
        <f t="shared" si="56"/>
        <v>0</v>
      </c>
      <c r="M936">
        <f t="shared" si="57"/>
        <v>1</v>
      </c>
      <c r="N936">
        <f t="shared" si="58"/>
        <v>0</v>
      </c>
      <c r="O936" t="str">
        <f t="shared" si="59"/>
        <v>Proposta Ok</v>
      </c>
    </row>
    <row r="937" spans="12:15" x14ac:dyDescent="0.25">
      <c r="L937">
        <f t="shared" si="56"/>
        <v>0</v>
      </c>
      <c r="M937">
        <f t="shared" si="57"/>
        <v>1</v>
      </c>
      <c r="N937">
        <f t="shared" si="58"/>
        <v>0</v>
      </c>
      <c r="O937" t="str">
        <f t="shared" si="59"/>
        <v>Proposta Ok</v>
      </c>
    </row>
    <row r="938" spans="12:15" x14ac:dyDescent="0.25">
      <c r="L938">
        <f t="shared" si="56"/>
        <v>0</v>
      </c>
      <c r="M938">
        <f t="shared" si="57"/>
        <v>1</v>
      </c>
      <c r="N938">
        <f t="shared" si="58"/>
        <v>0</v>
      </c>
      <c r="O938" t="str">
        <f t="shared" si="59"/>
        <v>Proposta Ok</v>
      </c>
    </row>
    <row r="939" spans="12:15" x14ac:dyDescent="0.25">
      <c r="L939">
        <f t="shared" si="56"/>
        <v>0</v>
      </c>
      <c r="M939">
        <f t="shared" si="57"/>
        <v>1</v>
      </c>
      <c r="N939">
        <f t="shared" si="58"/>
        <v>0</v>
      </c>
      <c r="O939" t="str">
        <f t="shared" si="59"/>
        <v>Proposta Ok</v>
      </c>
    </row>
    <row r="940" spans="12:15" x14ac:dyDescent="0.25">
      <c r="L940">
        <f t="shared" si="56"/>
        <v>0</v>
      </c>
      <c r="M940">
        <f t="shared" si="57"/>
        <v>1</v>
      </c>
      <c r="N940">
        <f t="shared" si="58"/>
        <v>0</v>
      </c>
      <c r="O940" t="str">
        <f t="shared" si="59"/>
        <v>Proposta Ok</v>
      </c>
    </row>
    <row r="941" spans="12:15" x14ac:dyDescent="0.25">
      <c r="L941">
        <f t="shared" si="56"/>
        <v>0</v>
      </c>
      <c r="M941">
        <f t="shared" si="57"/>
        <v>1</v>
      </c>
      <c r="N941">
        <f t="shared" si="58"/>
        <v>0</v>
      </c>
      <c r="O941" t="str">
        <f t="shared" si="59"/>
        <v>Proposta Ok</v>
      </c>
    </row>
    <row r="942" spans="12:15" x14ac:dyDescent="0.25">
      <c r="L942">
        <f t="shared" si="56"/>
        <v>0</v>
      </c>
      <c r="M942">
        <f t="shared" si="57"/>
        <v>1</v>
      </c>
      <c r="N942">
        <f t="shared" si="58"/>
        <v>0</v>
      </c>
      <c r="O942" t="str">
        <f t="shared" si="59"/>
        <v>Proposta Ok</v>
      </c>
    </row>
    <row r="943" spans="12:15" x14ac:dyDescent="0.25">
      <c r="L943">
        <f t="shared" si="56"/>
        <v>0</v>
      </c>
      <c r="M943">
        <f t="shared" si="57"/>
        <v>1</v>
      </c>
      <c r="N943">
        <f t="shared" si="58"/>
        <v>0</v>
      </c>
      <c r="O943" t="str">
        <f t="shared" si="59"/>
        <v>Proposta Ok</v>
      </c>
    </row>
    <row r="944" spans="12:15" x14ac:dyDescent="0.25">
      <c r="L944">
        <f t="shared" si="56"/>
        <v>0</v>
      </c>
      <c r="M944">
        <f t="shared" si="57"/>
        <v>1</v>
      </c>
      <c r="N944">
        <f t="shared" si="58"/>
        <v>0</v>
      </c>
      <c r="O944" t="str">
        <f t="shared" si="59"/>
        <v>Proposta Ok</v>
      </c>
    </row>
    <row r="945" spans="12:15" x14ac:dyDescent="0.25">
      <c r="L945">
        <f t="shared" si="56"/>
        <v>0</v>
      </c>
      <c r="M945">
        <f t="shared" si="57"/>
        <v>1</v>
      </c>
      <c r="N945">
        <f t="shared" si="58"/>
        <v>0</v>
      </c>
      <c r="O945" t="str">
        <f t="shared" si="59"/>
        <v>Proposta Ok</v>
      </c>
    </row>
    <row r="946" spans="12:15" x14ac:dyDescent="0.25">
      <c r="L946">
        <f t="shared" si="56"/>
        <v>0</v>
      </c>
      <c r="M946">
        <f t="shared" si="57"/>
        <v>1</v>
      </c>
      <c r="N946">
        <f t="shared" si="58"/>
        <v>0</v>
      </c>
      <c r="O946" t="str">
        <f t="shared" si="59"/>
        <v>Proposta Ok</v>
      </c>
    </row>
    <row r="947" spans="12:15" x14ac:dyDescent="0.25">
      <c r="L947">
        <f t="shared" si="56"/>
        <v>0</v>
      </c>
      <c r="M947">
        <f t="shared" si="57"/>
        <v>1</v>
      </c>
      <c r="N947">
        <f t="shared" si="58"/>
        <v>0</v>
      </c>
      <c r="O947" t="str">
        <f t="shared" si="59"/>
        <v>Proposta Ok</v>
      </c>
    </row>
    <row r="948" spans="12:15" x14ac:dyDescent="0.25">
      <c r="L948">
        <f t="shared" si="56"/>
        <v>0</v>
      </c>
      <c r="M948">
        <f t="shared" si="57"/>
        <v>1</v>
      </c>
      <c r="N948">
        <f t="shared" si="58"/>
        <v>0</v>
      </c>
      <c r="O948" t="str">
        <f t="shared" si="59"/>
        <v>Proposta Ok</v>
      </c>
    </row>
    <row r="949" spans="12:15" x14ac:dyDescent="0.25">
      <c r="L949">
        <f t="shared" si="56"/>
        <v>0</v>
      </c>
      <c r="M949">
        <f t="shared" si="57"/>
        <v>1</v>
      </c>
      <c r="N949">
        <f t="shared" si="58"/>
        <v>0</v>
      </c>
      <c r="O949" t="str">
        <f t="shared" si="59"/>
        <v>Proposta Ok</v>
      </c>
    </row>
    <row r="950" spans="12:15" x14ac:dyDescent="0.25">
      <c r="L950">
        <f t="shared" si="56"/>
        <v>0</v>
      </c>
      <c r="M950">
        <f t="shared" si="57"/>
        <v>1</v>
      </c>
      <c r="N950">
        <f t="shared" si="58"/>
        <v>0</v>
      </c>
      <c r="O950" t="str">
        <f t="shared" si="59"/>
        <v>Proposta Ok</v>
      </c>
    </row>
    <row r="951" spans="12:15" x14ac:dyDescent="0.25">
      <c r="L951">
        <f t="shared" si="56"/>
        <v>0</v>
      </c>
      <c r="M951">
        <f t="shared" si="57"/>
        <v>1</v>
      </c>
      <c r="N951">
        <f t="shared" si="58"/>
        <v>0</v>
      </c>
      <c r="O951" t="str">
        <f t="shared" si="59"/>
        <v>Proposta Ok</v>
      </c>
    </row>
    <row r="952" spans="12:15" x14ac:dyDescent="0.25">
      <c r="L952">
        <f t="shared" si="56"/>
        <v>0</v>
      </c>
      <c r="M952">
        <f t="shared" si="57"/>
        <v>1</v>
      </c>
      <c r="N952">
        <f t="shared" si="58"/>
        <v>0</v>
      </c>
      <c r="O952" t="str">
        <f t="shared" si="59"/>
        <v>Proposta Ok</v>
      </c>
    </row>
    <row r="953" spans="12:15" x14ac:dyDescent="0.25">
      <c r="L953">
        <f t="shared" si="56"/>
        <v>0</v>
      </c>
      <c r="M953">
        <f t="shared" si="57"/>
        <v>1</v>
      </c>
      <c r="N953">
        <f t="shared" si="58"/>
        <v>0</v>
      </c>
      <c r="O953" t="str">
        <f t="shared" si="59"/>
        <v>Proposta Ok</v>
      </c>
    </row>
    <row r="954" spans="12:15" x14ac:dyDescent="0.25">
      <c r="L954">
        <f t="shared" si="56"/>
        <v>0</v>
      </c>
      <c r="M954">
        <f t="shared" si="57"/>
        <v>1</v>
      </c>
      <c r="N954">
        <f t="shared" si="58"/>
        <v>0</v>
      </c>
      <c r="O954" t="str">
        <f t="shared" si="59"/>
        <v>Proposta Ok</v>
      </c>
    </row>
    <row r="955" spans="12:15" x14ac:dyDescent="0.25">
      <c r="L955">
        <f t="shared" si="56"/>
        <v>0</v>
      </c>
      <c r="M955">
        <f t="shared" si="57"/>
        <v>1</v>
      </c>
      <c r="N955">
        <f t="shared" si="58"/>
        <v>0</v>
      </c>
      <c r="O955" t="str">
        <f t="shared" si="59"/>
        <v>Proposta Ok</v>
      </c>
    </row>
    <row r="956" spans="12:15" x14ac:dyDescent="0.25">
      <c r="L956">
        <f t="shared" si="56"/>
        <v>0</v>
      </c>
      <c r="M956">
        <f t="shared" si="57"/>
        <v>1</v>
      </c>
      <c r="N956">
        <f t="shared" si="58"/>
        <v>0</v>
      </c>
      <c r="O956" t="str">
        <f t="shared" si="59"/>
        <v>Proposta Ok</v>
      </c>
    </row>
    <row r="957" spans="12:15" x14ac:dyDescent="0.25">
      <c r="L957">
        <f t="shared" si="56"/>
        <v>0</v>
      </c>
      <c r="M957">
        <f t="shared" si="57"/>
        <v>1</v>
      </c>
      <c r="N957">
        <f t="shared" si="58"/>
        <v>0</v>
      </c>
      <c r="O957" t="str">
        <f t="shared" si="59"/>
        <v>Proposta Ok</v>
      </c>
    </row>
    <row r="958" spans="12:15" x14ac:dyDescent="0.25">
      <c r="L958">
        <f t="shared" ref="L958:L1021" si="60">IF(OR(I958="Termo OK (Exceção)",I958="Termo OK"),1,0)</f>
        <v>0</v>
      </c>
      <c r="M958">
        <f t="shared" ref="M958:M1021" si="61">IF(OR(I958="Termo OK (Exceção)",I958="Termo OK"),0,1)</f>
        <v>1</v>
      </c>
      <c r="N958">
        <f t="shared" ref="N958:N1021" si="62">IF(J958="SIM",1,0)</f>
        <v>0</v>
      </c>
      <c r="O958" t="str">
        <f t="shared" si="59"/>
        <v>Proposta Ok</v>
      </c>
    </row>
    <row r="959" spans="12:15" x14ac:dyDescent="0.25">
      <c r="L959">
        <f t="shared" si="60"/>
        <v>0</v>
      </c>
      <c r="M959">
        <f t="shared" si="61"/>
        <v>1</v>
      </c>
      <c r="N959">
        <f t="shared" si="62"/>
        <v>0</v>
      </c>
      <c r="O959" t="str">
        <f t="shared" si="59"/>
        <v>Proposta Ok</v>
      </c>
    </row>
    <row r="960" spans="12:15" x14ac:dyDescent="0.25">
      <c r="L960">
        <f t="shared" si="60"/>
        <v>0</v>
      </c>
      <c r="M960">
        <f t="shared" si="61"/>
        <v>1</v>
      </c>
      <c r="N960">
        <f t="shared" si="62"/>
        <v>0</v>
      </c>
      <c r="O960" t="str">
        <f t="shared" si="59"/>
        <v>Proposta Ok</v>
      </c>
    </row>
    <row r="961" spans="12:15" x14ac:dyDescent="0.25">
      <c r="L961">
        <f t="shared" si="60"/>
        <v>0</v>
      </c>
      <c r="M961">
        <f t="shared" si="61"/>
        <v>1</v>
      </c>
      <c r="N961">
        <f t="shared" si="62"/>
        <v>0</v>
      </c>
      <c r="O961" t="str">
        <f t="shared" si="59"/>
        <v>Proposta Ok</v>
      </c>
    </row>
    <row r="962" spans="12:15" x14ac:dyDescent="0.25">
      <c r="L962">
        <f t="shared" si="60"/>
        <v>0</v>
      </c>
      <c r="M962">
        <f t="shared" si="61"/>
        <v>1</v>
      </c>
      <c r="N962">
        <f t="shared" si="62"/>
        <v>0</v>
      </c>
      <c r="O962" t="str">
        <f t="shared" si="59"/>
        <v>Proposta Ok</v>
      </c>
    </row>
    <row r="963" spans="12:15" x14ac:dyDescent="0.25">
      <c r="L963">
        <f t="shared" si="60"/>
        <v>0</v>
      </c>
      <c r="M963">
        <f t="shared" si="61"/>
        <v>1</v>
      </c>
      <c r="N963">
        <f t="shared" si="62"/>
        <v>0</v>
      </c>
      <c r="O963" t="str">
        <f t="shared" ref="O963:O1026" si="63">IF(SUMIFS(M:M,A:A,A963)&gt;0,"Proposta não Ok","Proposta Ok")</f>
        <v>Proposta Ok</v>
      </c>
    </row>
    <row r="964" spans="12:15" x14ac:dyDescent="0.25">
      <c r="L964">
        <f t="shared" si="60"/>
        <v>0</v>
      </c>
      <c r="M964">
        <f t="shared" si="61"/>
        <v>1</v>
      </c>
      <c r="N964">
        <f t="shared" si="62"/>
        <v>0</v>
      </c>
      <c r="O964" t="str">
        <f t="shared" si="63"/>
        <v>Proposta Ok</v>
      </c>
    </row>
    <row r="965" spans="12:15" x14ac:dyDescent="0.25">
      <c r="L965">
        <f t="shared" si="60"/>
        <v>0</v>
      </c>
      <c r="M965">
        <f t="shared" si="61"/>
        <v>1</v>
      </c>
      <c r="N965">
        <f t="shared" si="62"/>
        <v>0</v>
      </c>
      <c r="O965" t="str">
        <f t="shared" si="63"/>
        <v>Proposta Ok</v>
      </c>
    </row>
    <row r="966" spans="12:15" x14ac:dyDescent="0.25">
      <c r="L966">
        <f t="shared" si="60"/>
        <v>0</v>
      </c>
      <c r="M966">
        <f t="shared" si="61"/>
        <v>1</v>
      </c>
      <c r="N966">
        <f t="shared" si="62"/>
        <v>0</v>
      </c>
      <c r="O966" t="str">
        <f t="shared" si="63"/>
        <v>Proposta Ok</v>
      </c>
    </row>
    <row r="967" spans="12:15" x14ac:dyDescent="0.25">
      <c r="L967">
        <f t="shared" si="60"/>
        <v>0</v>
      </c>
      <c r="M967">
        <f t="shared" si="61"/>
        <v>1</v>
      </c>
      <c r="N967">
        <f t="shared" si="62"/>
        <v>0</v>
      </c>
      <c r="O967" t="str">
        <f t="shared" si="63"/>
        <v>Proposta Ok</v>
      </c>
    </row>
    <row r="968" spans="12:15" x14ac:dyDescent="0.25">
      <c r="L968">
        <f t="shared" si="60"/>
        <v>0</v>
      </c>
      <c r="M968">
        <f t="shared" si="61"/>
        <v>1</v>
      </c>
      <c r="N968">
        <f t="shared" si="62"/>
        <v>0</v>
      </c>
      <c r="O968" t="str">
        <f t="shared" si="63"/>
        <v>Proposta Ok</v>
      </c>
    </row>
    <row r="969" spans="12:15" x14ac:dyDescent="0.25">
      <c r="L969">
        <f t="shared" si="60"/>
        <v>0</v>
      </c>
      <c r="M969">
        <f t="shared" si="61"/>
        <v>1</v>
      </c>
      <c r="N969">
        <f t="shared" si="62"/>
        <v>0</v>
      </c>
      <c r="O969" t="str">
        <f t="shared" si="63"/>
        <v>Proposta Ok</v>
      </c>
    </row>
    <row r="970" spans="12:15" x14ac:dyDescent="0.25">
      <c r="L970">
        <f t="shared" si="60"/>
        <v>0</v>
      </c>
      <c r="M970">
        <f t="shared" si="61"/>
        <v>1</v>
      </c>
      <c r="N970">
        <f t="shared" si="62"/>
        <v>0</v>
      </c>
      <c r="O970" t="str">
        <f t="shared" si="63"/>
        <v>Proposta Ok</v>
      </c>
    </row>
    <row r="971" spans="12:15" x14ac:dyDescent="0.25">
      <c r="L971">
        <f t="shared" si="60"/>
        <v>0</v>
      </c>
      <c r="M971">
        <f t="shared" si="61"/>
        <v>1</v>
      </c>
      <c r="N971">
        <f t="shared" si="62"/>
        <v>0</v>
      </c>
      <c r="O971" t="str">
        <f t="shared" si="63"/>
        <v>Proposta Ok</v>
      </c>
    </row>
    <row r="972" spans="12:15" x14ac:dyDescent="0.25">
      <c r="L972">
        <f t="shared" si="60"/>
        <v>0</v>
      </c>
      <c r="M972">
        <f t="shared" si="61"/>
        <v>1</v>
      </c>
      <c r="N972">
        <f t="shared" si="62"/>
        <v>0</v>
      </c>
      <c r="O972" t="str">
        <f t="shared" si="63"/>
        <v>Proposta Ok</v>
      </c>
    </row>
    <row r="973" spans="12:15" x14ac:dyDescent="0.25">
      <c r="L973">
        <f t="shared" si="60"/>
        <v>0</v>
      </c>
      <c r="M973">
        <f t="shared" si="61"/>
        <v>1</v>
      </c>
      <c r="N973">
        <f t="shared" si="62"/>
        <v>0</v>
      </c>
      <c r="O973" t="str">
        <f t="shared" si="63"/>
        <v>Proposta Ok</v>
      </c>
    </row>
    <row r="974" spans="12:15" x14ac:dyDescent="0.25">
      <c r="L974">
        <f t="shared" si="60"/>
        <v>0</v>
      </c>
      <c r="M974">
        <f t="shared" si="61"/>
        <v>1</v>
      </c>
      <c r="N974">
        <f t="shared" si="62"/>
        <v>0</v>
      </c>
      <c r="O974" t="str">
        <f t="shared" si="63"/>
        <v>Proposta Ok</v>
      </c>
    </row>
    <row r="975" spans="12:15" x14ac:dyDescent="0.25">
      <c r="L975">
        <f t="shared" si="60"/>
        <v>0</v>
      </c>
      <c r="M975">
        <f t="shared" si="61"/>
        <v>1</v>
      </c>
      <c r="N975">
        <f t="shared" si="62"/>
        <v>0</v>
      </c>
      <c r="O975" t="str">
        <f t="shared" si="63"/>
        <v>Proposta Ok</v>
      </c>
    </row>
    <row r="976" spans="12:15" x14ac:dyDescent="0.25">
      <c r="L976">
        <f t="shared" si="60"/>
        <v>0</v>
      </c>
      <c r="M976">
        <f t="shared" si="61"/>
        <v>1</v>
      </c>
      <c r="N976">
        <f t="shared" si="62"/>
        <v>0</v>
      </c>
      <c r="O976" t="str">
        <f t="shared" si="63"/>
        <v>Proposta Ok</v>
      </c>
    </row>
    <row r="977" spans="12:15" x14ac:dyDescent="0.25">
      <c r="L977">
        <f t="shared" si="60"/>
        <v>0</v>
      </c>
      <c r="M977">
        <f t="shared" si="61"/>
        <v>1</v>
      </c>
      <c r="N977">
        <f t="shared" si="62"/>
        <v>0</v>
      </c>
      <c r="O977" t="str">
        <f t="shared" si="63"/>
        <v>Proposta Ok</v>
      </c>
    </row>
    <row r="978" spans="12:15" x14ac:dyDescent="0.25">
      <c r="L978">
        <f t="shared" si="60"/>
        <v>0</v>
      </c>
      <c r="M978">
        <f t="shared" si="61"/>
        <v>1</v>
      </c>
      <c r="N978">
        <f t="shared" si="62"/>
        <v>0</v>
      </c>
      <c r="O978" t="str">
        <f t="shared" si="63"/>
        <v>Proposta Ok</v>
      </c>
    </row>
    <row r="979" spans="12:15" x14ac:dyDescent="0.25">
      <c r="L979">
        <f t="shared" si="60"/>
        <v>0</v>
      </c>
      <c r="M979">
        <f t="shared" si="61"/>
        <v>1</v>
      </c>
      <c r="N979">
        <f t="shared" si="62"/>
        <v>0</v>
      </c>
      <c r="O979" t="str">
        <f t="shared" si="63"/>
        <v>Proposta Ok</v>
      </c>
    </row>
    <row r="980" spans="12:15" x14ac:dyDescent="0.25">
      <c r="L980">
        <f t="shared" si="60"/>
        <v>0</v>
      </c>
      <c r="M980">
        <f t="shared" si="61"/>
        <v>1</v>
      </c>
      <c r="N980">
        <f t="shared" si="62"/>
        <v>0</v>
      </c>
      <c r="O980" t="str">
        <f t="shared" si="63"/>
        <v>Proposta Ok</v>
      </c>
    </row>
    <row r="981" spans="12:15" x14ac:dyDescent="0.25">
      <c r="L981">
        <f t="shared" si="60"/>
        <v>0</v>
      </c>
      <c r="M981">
        <f t="shared" si="61"/>
        <v>1</v>
      </c>
      <c r="N981">
        <f t="shared" si="62"/>
        <v>0</v>
      </c>
      <c r="O981" t="str">
        <f t="shared" si="63"/>
        <v>Proposta Ok</v>
      </c>
    </row>
    <row r="982" spans="12:15" x14ac:dyDescent="0.25">
      <c r="L982">
        <f t="shared" si="60"/>
        <v>0</v>
      </c>
      <c r="M982">
        <f t="shared" si="61"/>
        <v>1</v>
      </c>
      <c r="N982">
        <f t="shared" si="62"/>
        <v>0</v>
      </c>
      <c r="O982" t="str">
        <f t="shared" si="63"/>
        <v>Proposta Ok</v>
      </c>
    </row>
    <row r="983" spans="12:15" x14ac:dyDescent="0.25">
      <c r="L983">
        <f t="shared" si="60"/>
        <v>0</v>
      </c>
      <c r="M983">
        <f t="shared" si="61"/>
        <v>1</v>
      </c>
      <c r="N983">
        <f t="shared" si="62"/>
        <v>0</v>
      </c>
      <c r="O983" t="str">
        <f t="shared" si="63"/>
        <v>Proposta Ok</v>
      </c>
    </row>
    <row r="984" spans="12:15" x14ac:dyDescent="0.25">
      <c r="L984">
        <f t="shared" si="60"/>
        <v>0</v>
      </c>
      <c r="M984">
        <f t="shared" si="61"/>
        <v>1</v>
      </c>
      <c r="N984">
        <f t="shared" si="62"/>
        <v>0</v>
      </c>
      <c r="O984" t="str">
        <f t="shared" si="63"/>
        <v>Proposta Ok</v>
      </c>
    </row>
    <row r="985" spans="12:15" x14ac:dyDescent="0.25">
      <c r="L985">
        <f t="shared" si="60"/>
        <v>0</v>
      </c>
      <c r="M985">
        <f t="shared" si="61"/>
        <v>1</v>
      </c>
      <c r="N985">
        <f t="shared" si="62"/>
        <v>0</v>
      </c>
      <c r="O985" t="str">
        <f t="shared" si="63"/>
        <v>Proposta Ok</v>
      </c>
    </row>
    <row r="986" spans="12:15" x14ac:dyDescent="0.25">
      <c r="L986">
        <f t="shared" si="60"/>
        <v>0</v>
      </c>
      <c r="M986">
        <f t="shared" si="61"/>
        <v>1</v>
      </c>
      <c r="N986">
        <f t="shared" si="62"/>
        <v>0</v>
      </c>
      <c r="O986" t="str">
        <f t="shared" si="63"/>
        <v>Proposta Ok</v>
      </c>
    </row>
    <row r="987" spans="12:15" x14ac:dyDescent="0.25">
      <c r="L987">
        <f t="shared" si="60"/>
        <v>0</v>
      </c>
      <c r="M987">
        <f t="shared" si="61"/>
        <v>1</v>
      </c>
      <c r="N987">
        <f t="shared" si="62"/>
        <v>0</v>
      </c>
      <c r="O987" t="str">
        <f t="shared" si="63"/>
        <v>Proposta Ok</v>
      </c>
    </row>
    <row r="988" spans="12:15" x14ac:dyDescent="0.25">
      <c r="L988">
        <f t="shared" si="60"/>
        <v>0</v>
      </c>
      <c r="M988">
        <f t="shared" si="61"/>
        <v>1</v>
      </c>
      <c r="N988">
        <f t="shared" si="62"/>
        <v>0</v>
      </c>
      <c r="O988" t="str">
        <f t="shared" si="63"/>
        <v>Proposta Ok</v>
      </c>
    </row>
    <row r="989" spans="12:15" x14ac:dyDescent="0.25">
      <c r="L989">
        <f t="shared" si="60"/>
        <v>0</v>
      </c>
      <c r="M989">
        <f t="shared" si="61"/>
        <v>1</v>
      </c>
      <c r="N989">
        <f t="shared" si="62"/>
        <v>0</v>
      </c>
      <c r="O989" t="str">
        <f t="shared" si="63"/>
        <v>Proposta Ok</v>
      </c>
    </row>
    <row r="990" spans="12:15" x14ac:dyDescent="0.25">
      <c r="L990">
        <f t="shared" si="60"/>
        <v>0</v>
      </c>
      <c r="M990">
        <f t="shared" si="61"/>
        <v>1</v>
      </c>
      <c r="N990">
        <f t="shared" si="62"/>
        <v>0</v>
      </c>
      <c r="O990" t="str">
        <f t="shared" si="63"/>
        <v>Proposta Ok</v>
      </c>
    </row>
    <row r="991" spans="12:15" x14ac:dyDescent="0.25">
      <c r="L991">
        <f t="shared" si="60"/>
        <v>0</v>
      </c>
      <c r="M991">
        <f t="shared" si="61"/>
        <v>1</v>
      </c>
      <c r="N991">
        <f t="shared" si="62"/>
        <v>0</v>
      </c>
      <c r="O991" t="str">
        <f t="shared" si="63"/>
        <v>Proposta Ok</v>
      </c>
    </row>
    <row r="992" spans="12:15" x14ac:dyDescent="0.25">
      <c r="L992">
        <f t="shared" si="60"/>
        <v>0</v>
      </c>
      <c r="M992">
        <f t="shared" si="61"/>
        <v>1</v>
      </c>
      <c r="N992">
        <f t="shared" si="62"/>
        <v>0</v>
      </c>
      <c r="O992" t="str">
        <f t="shared" si="63"/>
        <v>Proposta Ok</v>
      </c>
    </row>
    <row r="993" spans="12:15" x14ac:dyDescent="0.25">
      <c r="L993">
        <f t="shared" si="60"/>
        <v>0</v>
      </c>
      <c r="M993">
        <f t="shared" si="61"/>
        <v>1</v>
      </c>
      <c r="N993">
        <f t="shared" si="62"/>
        <v>0</v>
      </c>
      <c r="O993" t="str">
        <f t="shared" si="63"/>
        <v>Proposta Ok</v>
      </c>
    </row>
    <row r="994" spans="12:15" x14ac:dyDescent="0.25">
      <c r="L994">
        <f t="shared" si="60"/>
        <v>0</v>
      </c>
      <c r="M994">
        <f t="shared" si="61"/>
        <v>1</v>
      </c>
      <c r="N994">
        <f t="shared" si="62"/>
        <v>0</v>
      </c>
      <c r="O994" t="str">
        <f t="shared" si="63"/>
        <v>Proposta Ok</v>
      </c>
    </row>
    <row r="995" spans="12:15" x14ac:dyDescent="0.25">
      <c r="L995">
        <f t="shared" si="60"/>
        <v>0</v>
      </c>
      <c r="M995">
        <f t="shared" si="61"/>
        <v>1</v>
      </c>
      <c r="N995">
        <f t="shared" si="62"/>
        <v>0</v>
      </c>
      <c r="O995" t="str">
        <f t="shared" si="63"/>
        <v>Proposta Ok</v>
      </c>
    </row>
    <row r="996" spans="12:15" x14ac:dyDescent="0.25">
      <c r="L996">
        <f t="shared" si="60"/>
        <v>0</v>
      </c>
      <c r="M996">
        <f t="shared" si="61"/>
        <v>1</v>
      </c>
      <c r="N996">
        <f t="shared" si="62"/>
        <v>0</v>
      </c>
      <c r="O996" t="str">
        <f t="shared" si="63"/>
        <v>Proposta Ok</v>
      </c>
    </row>
    <row r="997" spans="12:15" x14ac:dyDescent="0.25">
      <c r="L997">
        <f t="shared" si="60"/>
        <v>0</v>
      </c>
      <c r="M997">
        <f t="shared" si="61"/>
        <v>1</v>
      </c>
      <c r="N997">
        <f t="shared" si="62"/>
        <v>0</v>
      </c>
      <c r="O997" t="str">
        <f t="shared" si="63"/>
        <v>Proposta Ok</v>
      </c>
    </row>
    <row r="998" spans="12:15" x14ac:dyDescent="0.25">
      <c r="L998">
        <f t="shared" si="60"/>
        <v>0</v>
      </c>
      <c r="M998">
        <f t="shared" si="61"/>
        <v>1</v>
      </c>
      <c r="N998">
        <f t="shared" si="62"/>
        <v>0</v>
      </c>
      <c r="O998" t="str">
        <f t="shared" si="63"/>
        <v>Proposta Ok</v>
      </c>
    </row>
    <row r="999" spans="12:15" x14ac:dyDescent="0.25">
      <c r="L999">
        <f t="shared" si="60"/>
        <v>0</v>
      </c>
      <c r="M999">
        <f t="shared" si="61"/>
        <v>1</v>
      </c>
      <c r="N999">
        <f t="shared" si="62"/>
        <v>0</v>
      </c>
      <c r="O999" t="str">
        <f t="shared" si="63"/>
        <v>Proposta Ok</v>
      </c>
    </row>
    <row r="1000" spans="12:15" x14ac:dyDescent="0.25">
      <c r="L1000">
        <f t="shared" si="60"/>
        <v>0</v>
      </c>
      <c r="M1000">
        <f t="shared" si="61"/>
        <v>1</v>
      </c>
      <c r="N1000">
        <f t="shared" si="62"/>
        <v>0</v>
      </c>
      <c r="O1000" t="str">
        <f t="shared" si="63"/>
        <v>Proposta Ok</v>
      </c>
    </row>
    <row r="1001" spans="12:15" x14ac:dyDescent="0.25">
      <c r="L1001">
        <f t="shared" si="60"/>
        <v>0</v>
      </c>
      <c r="M1001">
        <f t="shared" si="61"/>
        <v>1</v>
      </c>
      <c r="N1001">
        <f t="shared" si="62"/>
        <v>0</v>
      </c>
      <c r="O1001" t="str">
        <f t="shared" si="63"/>
        <v>Proposta Ok</v>
      </c>
    </row>
    <row r="1002" spans="12:15" x14ac:dyDescent="0.25">
      <c r="L1002">
        <f t="shared" si="60"/>
        <v>0</v>
      </c>
      <c r="M1002">
        <f t="shared" si="61"/>
        <v>1</v>
      </c>
      <c r="N1002">
        <f t="shared" si="62"/>
        <v>0</v>
      </c>
      <c r="O1002" t="str">
        <f t="shared" si="63"/>
        <v>Proposta Ok</v>
      </c>
    </row>
    <row r="1003" spans="12:15" x14ac:dyDescent="0.25">
      <c r="L1003">
        <f t="shared" si="60"/>
        <v>0</v>
      </c>
      <c r="M1003">
        <f t="shared" si="61"/>
        <v>1</v>
      </c>
      <c r="N1003">
        <f t="shared" si="62"/>
        <v>0</v>
      </c>
      <c r="O1003" t="str">
        <f t="shared" si="63"/>
        <v>Proposta Ok</v>
      </c>
    </row>
    <row r="1004" spans="12:15" x14ac:dyDescent="0.25">
      <c r="L1004">
        <f t="shared" si="60"/>
        <v>0</v>
      </c>
      <c r="M1004">
        <f t="shared" si="61"/>
        <v>1</v>
      </c>
      <c r="N1004">
        <f t="shared" si="62"/>
        <v>0</v>
      </c>
      <c r="O1004" t="str">
        <f t="shared" si="63"/>
        <v>Proposta Ok</v>
      </c>
    </row>
    <row r="1005" spans="12:15" x14ac:dyDescent="0.25">
      <c r="L1005">
        <f t="shared" si="60"/>
        <v>0</v>
      </c>
      <c r="M1005">
        <f t="shared" si="61"/>
        <v>1</v>
      </c>
      <c r="N1005">
        <f t="shared" si="62"/>
        <v>0</v>
      </c>
      <c r="O1005" t="str">
        <f t="shared" si="63"/>
        <v>Proposta Ok</v>
      </c>
    </row>
    <row r="1006" spans="12:15" x14ac:dyDescent="0.25">
      <c r="L1006">
        <f t="shared" si="60"/>
        <v>0</v>
      </c>
      <c r="M1006">
        <f t="shared" si="61"/>
        <v>1</v>
      </c>
      <c r="N1006">
        <f t="shared" si="62"/>
        <v>0</v>
      </c>
      <c r="O1006" t="str">
        <f t="shared" si="63"/>
        <v>Proposta Ok</v>
      </c>
    </row>
    <row r="1007" spans="12:15" x14ac:dyDescent="0.25">
      <c r="L1007">
        <f t="shared" si="60"/>
        <v>0</v>
      </c>
      <c r="M1007">
        <f t="shared" si="61"/>
        <v>1</v>
      </c>
      <c r="N1007">
        <f t="shared" si="62"/>
        <v>0</v>
      </c>
      <c r="O1007" t="str">
        <f t="shared" si="63"/>
        <v>Proposta Ok</v>
      </c>
    </row>
    <row r="1008" spans="12:15" x14ac:dyDescent="0.25">
      <c r="L1008">
        <f t="shared" si="60"/>
        <v>0</v>
      </c>
      <c r="M1008">
        <f t="shared" si="61"/>
        <v>1</v>
      </c>
      <c r="N1008">
        <f t="shared" si="62"/>
        <v>0</v>
      </c>
      <c r="O1008" t="str">
        <f t="shared" si="63"/>
        <v>Proposta Ok</v>
      </c>
    </row>
    <row r="1009" spans="12:15" x14ac:dyDescent="0.25">
      <c r="L1009">
        <f t="shared" si="60"/>
        <v>0</v>
      </c>
      <c r="M1009">
        <f t="shared" si="61"/>
        <v>1</v>
      </c>
      <c r="N1009">
        <f t="shared" si="62"/>
        <v>0</v>
      </c>
      <c r="O1009" t="str">
        <f t="shared" si="63"/>
        <v>Proposta Ok</v>
      </c>
    </row>
    <row r="1010" spans="12:15" x14ac:dyDescent="0.25">
      <c r="L1010">
        <f t="shared" si="60"/>
        <v>0</v>
      </c>
      <c r="M1010">
        <f t="shared" si="61"/>
        <v>1</v>
      </c>
      <c r="N1010">
        <f t="shared" si="62"/>
        <v>0</v>
      </c>
      <c r="O1010" t="str">
        <f t="shared" si="63"/>
        <v>Proposta Ok</v>
      </c>
    </row>
    <row r="1011" spans="12:15" x14ac:dyDescent="0.25">
      <c r="L1011">
        <f t="shared" si="60"/>
        <v>0</v>
      </c>
      <c r="M1011">
        <f t="shared" si="61"/>
        <v>1</v>
      </c>
      <c r="N1011">
        <f t="shared" si="62"/>
        <v>0</v>
      </c>
      <c r="O1011" t="str">
        <f t="shared" si="63"/>
        <v>Proposta Ok</v>
      </c>
    </row>
    <row r="1012" spans="12:15" x14ac:dyDescent="0.25">
      <c r="L1012">
        <f t="shared" si="60"/>
        <v>0</v>
      </c>
      <c r="M1012">
        <f t="shared" si="61"/>
        <v>1</v>
      </c>
      <c r="N1012">
        <f t="shared" si="62"/>
        <v>0</v>
      </c>
      <c r="O1012" t="str">
        <f t="shared" si="63"/>
        <v>Proposta Ok</v>
      </c>
    </row>
    <row r="1013" spans="12:15" x14ac:dyDescent="0.25">
      <c r="L1013">
        <f t="shared" si="60"/>
        <v>0</v>
      </c>
      <c r="M1013">
        <f t="shared" si="61"/>
        <v>1</v>
      </c>
      <c r="N1013">
        <f t="shared" si="62"/>
        <v>0</v>
      </c>
      <c r="O1013" t="str">
        <f t="shared" si="63"/>
        <v>Proposta Ok</v>
      </c>
    </row>
    <row r="1014" spans="12:15" x14ac:dyDescent="0.25">
      <c r="L1014">
        <f t="shared" si="60"/>
        <v>0</v>
      </c>
      <c r="M1014">
        <f t="shared" si="61"/>
        <v>1</v>
      </c>
      <c r="N1014">
        <f t="shared" si="62"/>
        <v>0</v>
      </c>
      <c r="O1014" t="str">
        <f t="shared" si="63"/>
        <v>Proposta Ok</v>
      </c>
    </row>
    <row r="1015" spans="12:15" x14ac:dyDescent="0.25">
      <c r="L1015">
        <f t="shared" si="60"/>
        <v>0</v>
      </c>
      <c r="M1015">
        <f t="shared" si="61"/>
        <v>1</v>
      </c>
      <c r="N1015">
        <f t="shared" si="62"/>
        <v>0</v>
      </c>
      <c r="O1015" t="str">
        <f t="shared" si="63"/>
        <v>Proposta Ok</v>
      </c>
    </row>
    <row r="1016" spans="12:15" x14ac:dyDescent="0.25">
      <c r="L1016">
        <f t="shared" si="60"/>
        <v>0</v>
      </c>
      <c r="M1016">
        <f t="shared" si="61"/>
        <v>1</v>
      </c>
      <c r="N1016">
        <f t="shared" si="62"/>
        <v>0</v>
      </c>
      <c r="O1016" t="str">
        <f t="shared" si="63"/>
        <v>Proposta Ok</v>
      </c>
    </row>
    <row r="1017" spans="12:15" x14ac:dyDescent="0.25">
      <c r="L1017">
        <f t="shared" si="60"/>
        <v>0</v>
      </c>
      <c r="M1017">
        <f t="shared" si="61"/>
        <v>1</v>
      </c>
      <c r="N1017">
        <f t="shared" si="62"/>
        <v>0</v>
      </c>
      <c r="O1017" t="str">
        <f t="shared" si="63"/>
        <v>Proposta Ok</v>
      </c>
    </row>
    <row r="1018" spans="12:15" x14ac:dyDescent="0.25">
      <c r="L1018">
        <f t="shared" si="60"/>
        <v>0</v>
      </c>
      <c r="M1018">
        <f t="shared" si="61"/>
        <v>1</v>
      </c>
      <c r="N1018">
        <f t="shared" si="62"/>
        <v>0</v>
      </c>
      <c r="O1018" t="str">
        <f t="shared" si="63"/>
        <v>Proposta Ok</v>
      </c>
    </row>
    <row r="1019" spans="12:15" x14ac:dyDescent="0.25">
      <c r="L1019">
        <f t="shared" si="60"/>
        <v>0</v>
      </c>
      <c r="M1019">
        <f t="shared" si="61"/>
        <v>1</v>
      </c>
      <c r="N1019">
        <f t="shared" si="62"/>
        <v>0</v>
      </c>
      <c r="O1019" t="str">
        <f t="shared" si="63"/>
        <v>Proposta Ok</v>
      </c>
    </row>
    <row r="1020" spans="12:15" x14ac:dyDescent="0.25">
      <c r="L1020">
        <f t="shared" si="60"/>
        <v>0</v>
      </c>
      <c r="M1020">
        <f t="shared" si="61"/>
        <v>1</v>
      </c>
      <c r="N1020">
        <f t="shared" si="62"/>
        <v>0</v>
      </c>
      <c r="O1020" t="str">
        <f t="shared" si="63"/>
        <v>Proposta Ok</v>
      </c>
    </row>
    <row r="1021" spans="12:15" x14ac:dyDescent="0.25">
      <c r="L1021">
        <f t="shared" si="60"/>
        <v>0</v>
      </c>
      <c r="M1021">
        <f t="shared" si="61"/>
        <v>1</v>
      </c>
      <c r="N1021">
        <f t="shared" si="62"/>
        <v>0</v>
      </c>
      <c r="O1021" t="str">
        <f t="shared" si="63"/>
        <v>Proposta Ok</v>
      </c>
    </row>
    <row r="1022" spans="12:15" x14ac:dyDescent="0.25">
      <c r="L1022">
        <f t="shared" ref="L1022:L1085" si="64">IF(OR(I1022="Termo OK (Exceção)",I1022="Termo OK"),1,0)</f>
        <v>0</v>
      </c>
      <c r="M1022">
        <f t="shared" ref="M1022:M1085" si="65">IF(OR(I1022="Termo OK (Exceção)",I1022="Termo OK"),0,1)</f>
        <v>1</v>
      </c>
      <c r="N1022">
        <f t="shared" ref="N1022:N1085" si="66">IF(J1022="SIM",1,0)</f>
        <v>0</v>
      </c>
      <c r="O1022" t="str">
        <f t="shared" si="63"/>
        <v>Proposta Ok</v>
      </c>
    </row>
    <row r="1023" spans="12:15" x14ac:dyDescent="0.25">
      <c r="L1023">
        <f t="shared" si="64"/>
        <v>0</v>
      </c>
      <c r="M1023">
        <f t="shared" si="65"/>
        <v>1</v>
      </c>
      <c r="N1023">
        <f t="shared" si="66"/>
        <v>0</v>
      </c>
      <c r="O1023" t="str">
        <f t="shared" si="63"/>
        <v>Proposta Ok</v>
      </c>
    </row>
    <row r="1024" spans="12:15" x14ac:dyDescent="0.25">
      <c r="L1024">
        <f t="shared" si="64"/>
        <v>0</v>
      </c>
      <c r="M1024">
        <f t="shared" si="65"/>
        <v>1</v>
      </c>
      <c r="N1024">
        <f t="shared" si="66"/>
        <v>0</v>
      </c>
      <c r="O1024" t="str">
        <f t="shared" si="63"/>
        <v>Proposta Ok</v>
      </c>
    </row>
    <row r="1025" spans="12:15" x14ac:dyDescent="0.25">
      <c r="L1025">
        <f t="shared" si="64"/>
        <v>0</v>
      </c>
      <c r="M1025">
        <f t="shared" si="65"/>
        <v>1</v>
      </c>
      <c r="N1025">
        <f t="shared" si="66"/>
        <v>0</v>
      </c>
      <c r="O1025" t="str">
        <f t="shared" si="63"/>
        <v>Proposta Ok</v>
      </c>
    </row>
    <row r="1026" spans="12:15" x14ac:dyDescent="0.25">
      <c r="L1026">
        <f t="shared" si="64"/>
        <v>0</v>
      </c>
      <c r="M1026">
        <f t="shared" si="65"/>
        <v>1</v>
      </c>
      <c r="N1026">
        <f t="shared" si="66"/>
        <v>0</v>
      </c>
      <c r="O1026" t="str">
        <f t="shared" si="63"/>
        <v>Proposta Ok</v>
      </c>
    </row>
    <row r="1027" spans="12:15" x14ac:dyDescent="0.25">
      <c r="L1027">
        <f t="shared" si="64"/>
        <v>0</v>
      </c>
      <c r="M1027">
        <f t="shared" si="65"/>
        <v>1</v>
      </c>
      <c r="N1027">
        <f t="shared" si="66"/>
        <v>0</v>
      </c>
      <c r="O1027" t="str">
        <f t="shared" ref="O1027:O1090" si="67">IF(SUMIFS(M:M,A:A,A1027)&gt;0,"Proposta não Ok","Proposta Ok")</f>
        <v>Proposta Ok</v>
      </c>
    </row>
    <row r="1028" spans="12:15" x14ac:dyDescent="0.25">
      <c r="L1028">
        <f t="shared" si="64"/>
        <v>0</v>
      </c>
      <c r="M1028">
        <f t="shared" si="65"/>
        <v>1</v>
      </c>
      <c r="N1028">
        <f t="shared" si="66"/>
        <v>0</v>
      </c>
      <c r="O1028" t="str">
        <f t="shared" si="67"/>
        <v>Proposta Ok</v>
      </c>
    </row>
    <row r="1029" spans="12:15" x14ac:dyDescent="0.25">
      <c r="L1029">
        <f t="shared" si="64"/>
        <v>0</v>
      </c>
      <c r="M1029">
        <f t="shared" si="65"/>
        <v>1</v>
      </c>
      <c r="N1029">
        <f t="shared" si="66"/>
        <v>0</v>
      </c>
      <c r="O1029" t="str">
        <f t="shared" si="67"/>
        <v>Proposta Ok</v>
      </c>
    </row>
    <row r="1030" spans="12:15" x14ac:dyDescent="0.25">
      <c r="L1030">
        <f t="shared" si="64"/>
        <v>0</v>
      </c>
      <c r="M1030">
        <f t="shared" si="65"/>
        <v>1</v>
      </c>
      <c r="N1030">
        <f t="shared" si="66"/>
        <v>0</v>
      </c>
      <c r="O1030" t="str">
        <f t="shared" si="67"/>
        <v>Proposta Ok</v>
      </c>
    </row>
    <row r="1031" spans="12:15" x14ac:dyDescent="0.25">
      <c r="L1031">
        <f t="shared" si="64"/>
        <v>0</v>
      </c>
      <c r="M1031">
        <f t="shared" si="65"/>
        <v>1</v>
      </c>
      <c r="N1031">
        <f t="shared" si="66"/>
        <v>0</v>
      </c>
      <c r="O1031" t="str">
        <f t="shared" si="67"/>
        <v>Proposta Ok</v>
      </c>
    </row>
    <row r="1032" spans="12:15" x14ac:dyDescent="0.25">
      <c r="L1032">
        <f t="shared" si="64"/>
        <v>0</v>
      </c>
      <c r="M1032">
        <f t="shared" si="65"/>
        <v>1</v>
      </c>
      <c r="N1032">
        <f t="shared" si="66"/>
        <v>0</v>
      </c>
      <c r="O1032" t="str">
        <f t="shared" si="67"/>
        <v>Proposta Ok</v>
      </c>
    </row>
    <row r="1033" spans="12:15" x14ac:dyDescent="0.25">
      <c r="L1033">
        <f t="shared" si="64"/>
        <v>0</v>
      </c>
      <c r="M1033">
        <f t="shared" si="65"/>
        <v>1</v>
      </c>
      <c r="N1033">
        <f t="shared" si="66"/>
        <v>0</v>
      </c>
      <c r="O1033" t="str">
        <f t="shared" si="67"/>
        <v>Proposta Ok</v>
      </c>
    </row>
    <row r="1034" spans="12:15" x14ac:dyDescent="0.25">
      <c r="L1034">
        <f t="shared" si="64"/>
        <v>0</v>
      </c>
      <c r="M1034">
        <f t="shared" si="65"/>
        <v>1</v>
      </c>
      <c r="N1034">
        <f t="shared" si="66"/>
        <v>0</v>
      </c>
      <c r="O1034" t="str">
        <f t="shared" si="67"/>
        <v>Proposta Ok</v>
      </c>
    </row>
    <row r="1035" spans="12:15" x14ac:dyDescent="0.25">
      <c r="L1035">
        <f t="shared" si="64"/>
        <v>0</v>
      </c>
      <c r="M1035">
        <f t="shared" si="65"/>
        <v>1</v>
      </c>
      <c r="N1035">
        <f t="shared" si="66"/>
        <v>0</v>
      </c>
      <c r="O1035" t="str">
        <f t="shared" si="67"/>
        <v>Proposta Ok</v>
      </c>
    </row>
    <row r="1036" spans="12:15" x14ac:dyDescent="0.25">
      <c r="L1036">
        <f t="shared" si="64"/>
        <v>0</v>
      </c>
      <c r="M1036">
        <f t="shared" si="65"/>
        <v>1</v>
      </c>
      <c r="N1036">
        <f t="shared" si="66"/>
        <v>0</v>
      </c>
      <c r="O1036" t="str">
        <f t="shared" si="67"/>
        <v>Proposta Ok</v>
      </c>
    </row>
    <row r="1037" spans="12:15" x14ac:dyDescent="0.25">
      <c r="L1037">
        <f t="shared" si="64"/>
        <v>0</v>
      </c>
      <c r="M1037">
        <f t="shared" si="65"/>
        <v>1</v>
      </c>
      <c r="N1037">
        <f t="shared" si="66"/>
        <v>0</v>
      </c>
      <c r="O1037" t="str">
        <f t="shared" si="67"/>
        <v>Proposta Ok</v>
      </c>
    </row>
    <row r="1038" spans="12:15" x14ac:dyDescent="0.25">
      <c r="L1038">
        <f t="shared" si="64"/>
        <v>0</v>
      </c>
      <c r="M1038">
        <f t="shared" si="65"/>
        <v>1</v>
      </c>
      <c r="N1038">
        <f t="shared" si="66"/>
        <v>0</v>
      </c>
      <c r="O1038" t="str">
        <f t="shared" si="67"/>
        <v>Proposta Ok</v>
      </c>
    </row>
    <row r="1039" spans="12:15" x14ac:dyDescent="0.25">
      <c r="L1039">
        <f t="shared" si="64"/>
        <v>0</v>
      </c>
      <c r="M1039">
        <f t="shared" si="65"/>
        <v>1</v>
      </c>
      <c r="N1039">
        <f t="shared" si="66"/>
        <v>0</v>
      </c>
      <c r="O1039" t="str">
        <f t="shared" si="67"/>
        <v>Proposta Ok</v>
      </c>
    </row>
    <row r="1040" spans="12:15" x14ac:dyDescent="0.25">
      <c r="L1040">
        <f t="shared" si="64"/>
        <v>0</v>
      </c>
      <c r="M1040">
        <f t="shared" si="65"/>
        <v>1</v>
      </c>
      <c r="N1040">
        <f t="shared" si="66"/>
        <v>0</v>
      </c>
      <c r="O1040" t="str">
        <f t="shared" si="67"/>
        <v>Proposta Ok</v>
      </c>
    </row>
    <row r="1041" spans="12:15" x14ac:dyDescent="0.25">
      <c r="L1041">
        <f t="shared" si="64"/>
        <v>0</v>
      </c>
      <c r="M1041">
        <f t="shared" si="65"/>
        <v>1</v>
      </c>
      <c r="N1041">
        <f t="shared" si="66"/>
        <v>0</v>
      </c>
      <c r="O1041" t="str">
        <f t="shared" si="67"/>
        <v>Proposta Ok</v>
      </c>
    </row>
    <row r="1042" spans="12:15" x14ac:dyDescent="0.25">
      <c r="L1042">
        <f t="shared" si="64"/>
        <v>0</v>
      </c>
      <c r="M1042">
        <f t="shared" si="65"/>
        <v>1</v>
      </c>
      <c r="N1042">
        <f t="shared" si="66"/>
        <v>0</v>
      </c>
      <c r="O1042" t="str">
        <f t="shared" si="67"/>
        <v>Proposta Ok</v>
      </c>
    </row>
    <row r="1043" spans="12:15" x14ac:dyDescent="0.25">
      <c r="L1043">
        <f t="shared" si="64"/>
        <v>0</v>
      </c>
      <c r="M1043">
        <f t="shared" si="65"/>
        <v>1</v>
      </c>
      <c r="N1043">
        <f t="shared" si="66"/>
        <v>0</v>
      </c>
      <c r="O1043" t="str">
        <f t="shared" si="67"/>
        <v>Proposta Ok</v>
      </c>
    </row>
    <row r="1044" spans="12:15" x14ac:dyDescent="0.25">
      <c r="L1044">
        <f t="shared" si="64"/>
        <v>0</v>
      </c>
      <c r="M1044">
        <f t="shared" si="65"/>
        <v>1</v>
      </c>
      <c r="N1044">
        <f t="shared" si="66"/>
        <v>0</v>
      </c>
      <c r="O1044" t="str">
        <f t="shared" si="67"/>
        <v>Proposta Ok</v>
      </c>
    </row>
    <row r="1045" spans="12:15" x14ac:dyDescent="0.25">
      <c r="L1045">
        <f t="shared" si="64"/>
        <v>0</v>
      </c>
      <c r="M1045">
        <f t="shared" si="65"/>
        <v>1</v>
      </c>
      <c r="N1045">
        <f t="shared" si="66"/>
        <v>0</v>
      </c>
      <c r="O1045" t="str">
        <f t="shared" si="67"/>
        <v>Proposta Ok</v>
      </c>
    </row>
    <row r="1046" spans="12:15" x14ac:dyDescent="0.25">
      <c r="L1046">
        <f t="shared" si="64"/>
        <v>0</v>
      </c>
      <c r="M1046">
        <f t="shared" si="65"/>
        <v>1</v>
      </c>
      <c r="N1046">
        <f t="shared" si="66"/>
        <v>0</v>
      </c>
      <c r="O1046" t="str">
        <f t="shared" si="67"/>
        <v>Proposta Ok</v>
      </c>
    </row>
    <row r="1047" spans="12:15" x14ac:dyDescent="0.25">
      <c r="L1047">
        <f t="shared" si="64"/>
        <v>0</v>
      </c>
      <c r="M1047">
        <f t="shared" si="65"/>
        <v>1</v>
      </c>
      <c r="N1047">
        <f t="shared" si="66"/>
        <v>0</v>
      </c>
      <c r="O1047" t="str">
        <f t="shared" si="67"/>
        <v>Proposta Ok</v>
      </c>
    </row>
    <row r="1048" spans="12:15" x14ac:dyDescent="0.25">
      <c r="L1048">
        <f t="shared" si="64"/>
        <v>0</v>
      </c>
      <c r="M1048">
        <f t="shared" si="65"/>
        <v>1</v>
      </c>
      <c r="N1048">
        <f t="shared" si="66"/>
        <v>0</v>
      </c>
      <c r="O1048" t="str">
        <f t="shared" si="67"/>
        <v>Proposta Ok</v>
      </c>
    </row>
    <row r="1049" spans="12:15" x14ac:dyDescent="0.25">
      <c r="L1049">
        <f t="shared" si="64"/>
        <v>0</v>
      </c>
      <c r="M1049">
        <f t="shared" si="65"/>
        <v>1</v>
      </c>
      <c r="N1049">
        <f t="shared" si="66"/>
        <v>0</v>
      </c>
      <c r="O1049" t="str">
        <f t="shared" si="67"/>
        <v>Proposta Ok</v>
      </c>
    </row>
    <row r="1050" spans="12:15" x14ac:dyDescent="0.25">
      <c r="L1050">
        <f t="shared" si="64"/>
        <v>0</v>
      </c>
      <c r="M1050">
        <f t="shared" si="65"/>
        <v>1</v>
      </c>
      <c r="N1050">
        <f t="shared" si="66"/>
        <v>0</v>
      </c>
      <c r="O1050" t="str">
        <f t="shared" si="67"/>
        <v>Proposta Ok</v>
      </c>
    </row>
    <row r="1051" spans="12:15" x14ac:dyDescent="0.25">
      <c r="L1051">
        <f t="shared" si="64"/>
        <v>0</v>
      </c>
      <c r="M1051">
        <f t="shared" si="65"/>
        <v>1</v>
      </c>
      <c r="N1051">
        <f t="shared" si="66"/>
        <v>0</v>
      </c>
      <c r="O1051" t="str">
        <f t="shared" si="67"/>
        <v>Proposta Ok</v>
      </c>
    </row>
    <row r="1052" spans="12:15" x14ac:dyDescent="0.25">
      <c r="L1052">
        <f t="shared" si="64"/>
        <v>0</v>
      </c>
      <c r="M1052">
        <f t="shared" si="65"/>
        <v>1</v>
      </c>
      <c r="N1052">
        <f t="shared" si="66"/>
        <v>0</v>
      </c>
      <c r="O1052" t="str">
        <f t="shared" si="67"/>
        <v>Proposta Ok</v>
      </c>
    </row>
    <row r="1053" spans="12:15" x14ac:dyDescent="0.25">
      <c r="L1053">
        <f t="shared" si="64"/>
        <v>0</v>
      </c>
      <c r="M1053">
        <f t="shared" si="65"/>
        <v>1</v>
      </c>
      <c r="N1053">
        <f t="shared" si="66"/>
        <v>0</v>
      </c>
      <c r="O1053" t="str">
        <f t="shared" si="67"/>
        <v>Proposta Ok</v>
      </c>
    </row>
    <row r="1054" spans="12:15" x14ac:dyDescent="0.25">
      <c r="L1054">
        <f t="shared" si="64"/>
        <v>0</v>
      </c>
      <c r="M1054">
        <f t="shared" si="65"/>
        <v>1</v>
      </c>
      <c r="N1054">
        <f t="shared" si="66"/>
        <v>0</v>
      </c>
      <c r="O1054" t="str">
        <f t="shared" si="67"/>
        <v>Proposta Ok</v>
      </c>
    </row>
    <row r="1055" spans="12:15" x14ac:dyDescent="0.25">
      <c r="L1055">
        <f t="shared" si="64"/>
        <v>0</v>
      </c>
      <c r="M1055">
        <f t="shared" si="65"/>
        <v>1</v>
      </c>
      <c r="N1055">
        <f t="shared" si="66"/>
        <v>0</v>
      </c>
      <c r="O1055" t="str">
        <f t="shared" si="67"/>
        <v>Proposta Ok</v>
      </c>
    </row>
    <row r="1056" spans="12:15" x14ac:dyDescent="0.25">
      <c r="L1056">
        <f t="shared" si="64"/>
        <v>0</v>
      </c>
      <c r="M1056">
        <f t="shared" si="65"/>
        <v>1</v>
      </c>
      <c r="N1056">
        <f t="shared" si="66"/>
        <v>0</v>
      </c>
      <c r="O1056" t="str">
        <f t="shared" si="67"/>
        <v>Proposta Ok</v>
      </c>
    </row>
    <row r="1057" spans="12:15" x14ac:dyDescent="0.25">
      <c r="L1057">
        <f t="shared" si="64"/>
        <v>0</v>
      </c>
      <c r="M1057">
        <f t="shared" si="65"/>
        <v>1</v>
      </c>
      <c r="N1057">
        <f t="shared" si="66"/>
        <v>0</v>
      </c>
      <c r="O1057" t="str">
        <f t="shared" si="67"/>
        <v>Proposta Ok</v>
      </c>
    </row>
    <row r="1058" spans="12:15" x14ac:dyDescent="0.25">
      <c r="L1058">
        <f t="shared" si="64"/>
        <v>0</v>
      </c>
      <c r="M1058">
        <f t="shared" si="65"/>
        <v>1</v>
      </c>
      <c r="N1058">
        <f t="shared" si="66"/>
        <v>0</v>
      </c>
      <c r="O1058" t="str">
        <f t="shared" si="67"/>
        <v>Proposta Ok</v>
      </c>
    </row>
    <row r="1059" spans="12:15" x14ac:dyDescent="0.25">
      <c r="L1059">
        <f t="shared" si="64"/>
        <v>0</v>
      </c>
      <c r="M1059">
        <f t="shared" si="65"/>
        <v>1</v>
      </c>
      <c r="N1059">
        <f t="shared" si="66"/>
        <v>0</v>
      </c>
      <c r="O1059" t="str">
        <f t="shared" si="67"/>
        <v>Proposta Ok</v>
      </c>
    </row>
    <row r="1060" spans="12:15" x14ac:dyDescent="0.25">
      <c r="L1060">
        <f t="shared" si="64"/>
        <v>0</v>
      </c>
      <c r="M1060">
        <f t="shared" si="65"/>
        <v>1</v>
      </c>
      <c r="N1060">
        <f t="shared" si="66"/>
        <v>0</v>
      </c>
      <c r="O1060" t="str">
        <f t="shared" si="67"/>
        <v>Proposta Ok</v>
      </c>
    </row>
    <row r="1061" spans="12:15" x14ac:dyDescent="0.25">
      <c r="L1061">
        <f t="shared" si="64"/>
        <v>0</v>
      </c>
      <c r="M1061">
        <f t="shared" si="65"/>
        <v>1</v>
      </c>
      <c r="N1061">
        <f t="shared" si="66"/>
        <v>0</v>
      </c>
      <c r="O1061" t="str">
        <f t="shared" si="67"/>
        <v>Proposta Ok</v>
      </c>
    </row>
    <row r="1062" spans="12:15" x14ac:dyDescent="0.25">
      <c r="L1062">
        <f t="shared" si="64"/>
        <v>0</v>
      </c>
      <c r="M1062">
        <f t="shared" si="65"/>
        <v>1</v>
      </c>
      <c r="N1062">
        <f t="shared" si="66"/>
        <v>0</v>
      </c>
      <c r="O1062" t="str">
        <f t="shared" si="67"/>
        <v>Proposta Ok</v>
      </c>
    </row>
    <row r="1063" spans="12:15" x14ac:dyDescent="0.25">
      <c r="L1063">
        <f t="shared" si="64"/>
        <v>0</v>
      </c>
      <c r="M1063">
        <f t="shared" si="65"/>
        <v>1</v>
      </c>
      <c r="N1063">
        <f t="shared" si="66"/>
        <v>0</v>
      </c>
      <c r="O1063" t="str">
        <f t="shared" si="67"/>
        <v>Proposta Ok</v>
      </c>
    </row>
    <row r="1064" spans="12:15" x14ac:dyDescent="0.25">
      <c r="L1064">
        <f t="shared" si="64"/>
        <v>0</v>
      </c>
      <c r="M1064">
        <f t="shared" si="65"/>
        <v>1</v>
      </c>
      <c r="N1064">
        <f t="shared" si="66"/>
        <v>0</v>
      </c>
      <c r="O1064" t="str">
        <f t="shared" si="67"/>
        <v>Proposta Ok</v>
      </c>
    </row>
    <row r="1065" spans="12:15" x14ac:dyDescent="0.25">
      <c r="L1065">
        <f t="shared" si="64"/>
        <v>0</v>
      </c>
      <c r="M1065">
        <f t="shared" si="65"/>
        <v>1</v>
      </c>
      <c r="N1065">
        <f t="shared" si="66"/>
        <v>0</v>
      </c>
      <c r="O1065" t="str">
        <f t="shared" si="67"/>
        <v>Proposta Ok</v>
      </c>
    </row>
    <row r="1066" spans="12:15" x14ac:dyDescent="0.25">
      <c r="L1066">
        <f t="shared" si="64"/>
        <v>0</v>
      </c>
      <c r="M1066">
        <f t="shared" si="65"/>
        <v>1</v>
      </c>
      <c r="N1066">
        <f t="shared" si="66"/>
        <v>0</v>
      </c>
      <c r="O1066" t="str">
        <f t="shared" si="67"/>
        <v>Proposta Ok</v>
      </c>
    </row>
    <row r="1067" spans="12:15" x14ac:dyDescent="0.25">
      <c r="L1067">
        <f t="shared" si="64"/>
        <v>0</v>
      </c>
      <c r="M1067">
        <f t="shared" si="65"/>
        <v>1</v>
      </c>
      <c r="N1067">
        <f t="shared" si="66"/>
        <v>0</v>
      </c>
      <c r="O1067" t="str">
        <f t="shared" si="67"/>
        <v>Proposta Ok</v>
      </c>
    </row>
    <row r="1068" spans="12:15" x14ac:dyDescent="0.25">
      <c r="L1068">
        <f t="shared" si="64"/>
        <v>0</v>
      </c>
      <c r="M1068">
        <f t="shared" si="65"/>
        <v>1</v>
      </c>
      <c r="N1068">
        <f t="shared" si="66"/>
        <v>0</v>
      </c>
      <c r="O1068" t="str">
        <f t="shared" si="67"/>
        <v>Proposta Ok</v>
      </c>
    </row>
    <row r="1069" spans="12:15" x14ac:dyDescent="0.25">
      <c r="L1069">
        <f t="shared" si="64"/>
        <v>0</v>
      </c>
      <c r="M1069">
        <f t="shared" si="65"/>
        <v>1</v>
      </c>
      <c r="N1069">
        <f t="shared" si="66"/>
        <v>0</v>
      </c>
      <c r="O1069" t="str">
        <f t="shared" si="67"/>
        <v>Proposta Ok</v>
      </c>
    </row>
    <row r="1070" spans="12:15" x14ac:dyDescent="0.25">
      <c r="L1070">
        <f t="shared" si="64"/>
        <v>0</v>
      </c>
      <c r="M1070">
        <f t="shared" si="65"/>
        <v>1</v>
      </c>
      <c r="N1070">
        <f t="shared" si="66"/>
        <v>0</v>
      </c>
      <c r="O1070" t="str">
        <f t="shared" si="67"/>
        <v>Proposta Ok</v>
      </c>
    </row>
    <row r="1071" spans="12:15" x14ac:dyDescent="0.25">
      <c r="L1071">
        <f t="shared" si="64"/>
        <v>0</v>
      </c>
      <c r="M1071">
        <f t="shared" si="65"/>
        <v>1</v>
      </c>
      <c r="N1071">
        <f t="shared" si="66"/>
        <v>0</v>
      </c>
      <c r="O1071" t="str">
        <f t="shared" si="67"/>
        <v>Proposta Ok</v>
      </c>
    </row>
    <row r="1072" spans="12:15" x14ac:dyDescent="0.25">
      <c r="L1072">
        <f t="shared" si="64"/>
        <v>0</v>
      </c>
      <c r="M1072">
        <f t="shared" si="65"/>
        <v>1</v>
      </c>
      <c r="N1072">
        <f t="shared" si="66"/>
        <v>0</v>
      </c>
      <c r="O1072" t="str">
        <f t="shared" si="67"/>
        <v>Proposta Ok</v>
      </c>
    </row>
    <row r="1073" spans="12:15" x14ac:dyDescent="0.25">
      <c r="L1073">
        <f t="shared" si="64"/>
        <v>0</v>
      </c>
      <c r="M1073">
        <f t="shared" si="65"/>
        <v>1</v>
      </c>
      <c r="N1073">
        <f t="shared" si="66"/>
        <v>0</v>
      </c>
      <c r="O1073" t="str">
        <f t="shared" si="67"/>
        <v>Proposta Ok</v>
      </c>
    </row>
    <row r="1074" spans="12:15" x14ac:dyDescent="0.25">
      <c r="L1074">
        <f t="shared" si="64"/>
        <v>0</v>
      </c>
      <c r="M1074">
        <f t="shared" si="65"/>
        <v>1</v>
      </c>
      <c r="N1074">
        <f t="shared" si="66"/>
        <v>0</v>
      </c>
      <c r="O1074" t="str">
        <f t="shared" si="67"/>
        <v>Proposta Ok</v>
      </c>
    </row>
    <row r="1075" spans="12:15" x14ac:dyDescent="0.25">
      <c r="L1075">
        <f t="shared" si="64"/>
        <v>0</v>
      </c>
      <c r="M1075">
        <f t="shared" si="65"/>
        <v>1</v>
      </c>
      <c r="N1075">
        <f t="shared" si="66"/>
        <v>0</v>
      </c>
      <c r="O1075" t="str">
        <f t="shared" si="67"/>
        <v>Proposta Ok</v>
      </c>
    </row>
    <row r="1076" spans="12:15" x14ac:dyDescent="0.25">
      <c r="L1076">
        <f t="shared" si="64"/>
        <v>0</v>
      </c>
      <c r="M1076">
        <f t="shared" si="65"/>
        <v>1</v>
      </c>
      <c r="N1076">
        <f t="shared" si="66"/>
        <v>0</v>
      </c>
      <c r="O1076" t="str">
        <f t="shared" si="67"/>
        <v>Proposta Ok</v>
      </c>
    </row>
    <row r="1077" spans="12:15" x14ac:dyDescent="0.25">
      <c r="L1077">
        <f t="shared" si="64"/>
        <v>0</v>
      </c>
      <c r="M1077">
        <f t="shared" si="65"/>
        <v>1</v>
      </c>
      <c r="N1077">
        <f t="shared" si="66"/>
        <v>0</v>
      </c>
      <c r="O1077" t="str">
        <f t="shared" si="67"/>
        <v>Proposta Ok</v>
      </c>
    </row>
    <row r="1078" spans="12:15" x14ac:dyDescent="0.25">
      <c r="L1078">
        <f t="shared" si="64"/>
        <v>0</v>
      </c>
      <c r="M1078">
        <f t="shared" si="65"/>
        <v>1</v>
      </c>
      <c r="N1078">
        <f t="shared" si="66"/>
        <v>0</v>
      </c>
      <c r="O1078" t="str">
        <f t="shared" si="67"/>
        <v>Proposta Ok</v>
      </c>
    </row>
    <row r="1079" spans="12:15" x14ac:dyDescent="0.25">
      <c r="L1079">
        <f t="shared" si="64"/>
        <v>0</v>
      </c>
      <c r="M1079">
        <f t="shared" si="65"/>
        <v>1</v>
      </c>
      <c r="N1079">
        <f t="shared" si="66"/>
        <v>0</v>
      </c>
      <c r="O1079" t="str">
        <f t="shared" si="67"/>
        <v>Proposta Ok</v>
      </c>
    </row>
    <row r="1080" spans="12:15" x14ac:dyDescent="0.25">
      <c r="L1080">
        <f t="shared" si="64"/>
        <v>0</v>
      </c>
      <c r="M1080">
        <f t="shared" si="65"/>
        <v>1</v>
      </c>
      <c r="N1080">
        <f t="shared" si="66"/>
        <v>0</v>
      </c>
      <c r="O1080" t="str">
        <f t="shared" si="67"/>
        <v>Proposta Ok</v>
      </c>
    </row>
    <row r="1081" spans="12:15" x14ac:dyDescent="0.25">
      <c r="L1081">
        <f t="shared" si="64"/>
        <v>0</v>
      </c>
      <c r="M1081">
        <f t="shared" si="65"/>
        <v>1</v>
      </c>
      <c r="N1081">
        <f t="shared" si="66"/>
        <v>0</v>
      </c>
      <c r="O1081" t="str">
        <f t="shared" si="67"/>
        <v>Proposta Ok</v>
      </c>
    </row>
    <row r="1082" spans="12:15" x14ac:dyDescent="0.25">
      <c r="L1082">
        <f t="shared" si="64"/>
        <v>0</v>
      </c>
      <c r="M1082">
        <f t="shared" si="65"/>
        <v>1</v>
      </c>
      <c r="N1082">
        <f t="shared" si="66"/>
        <v>0</v>
      </c>
      <c r="O1082" t="str">
        <f t="shared" si="67"/>
        <v>Proposta Ok</v>
      </c>
    </row>
    <row r="1083" spans="12:15" x14ac:dyDescent="0.25">
      <c r="L1083">
        <f t="shared" si="64"/>
        <v>0</v>
      </c>
      <c r="M1083">
        <f t="shared" si="65"/>
        <v>1</v>
      </c>
      <c r="N1083">
        <f t="shared" si="66"/>
        <v>0</v>
      </c>
      <c r="O1083" t="str">
        <f t="shared" si="67"/>
        <v>Proposta Ok</v>
      </c>
    </row>
    <row r="1084" spans="12:15" x14ac:dyDescent="0.25">
      <c r="L1084">
        <f t="shared" si="64"/>
        <v>0</v>
      </c>
      <c r="M1084">
        <f t="shared" si="65"/>
        <v>1</v>
      </c>
      <c r="N1084">
        <f t="shared" si="66"/>
        <v>0</v>
      </c>
      <c r="O1084" t="str">
        <f t="shared" si="67"/>
        <v>Proposta Ok</v>
      </c>
    </row>
    <row r="1085" spans="12:15" x14ac:dyDescent="0.25">
      <c r="L1085">
        <f t="shared" si="64"/>
        <v>0</v>
      </c>
      <c r="M1085">
        <f t="shared" si="65"/>
        <v>1</v>
      </c>
      <c r="N1085">
        <f t="shared" si="66"/>
        <v>0</v>
      </c>
      <c r="O1085" t="str">
        <f t="shared" si="67"/>
        <v>Proposta Ok</v>
      </c>
    </row>
    <row r="1086" spans="12:15" x14ac:dyDescent="0.25">
      <c r="L1086">
        <f t="shared" ref="L1086:L1149" si="68">IF(OR(I1086="Termo OK (Exceção)",I1086="Termo OK"),1,0)</f>
        <v>0</v>
      </c>
      <c r="M1086">
        <f t="shared" ref="M1086:M1149" si="69">IF(OR(I1086="Termo OK (Exceção)",I1086="Termo OK"),0,1)</f>
        <v>1</v>
      </c>
      <c r="N1086">
        <f t="shared" ref="N1086:N1149" si="70">IF(J1086="SIM",1,0)</f>
        <v>0</v>
      </c>
      <c r="O1086" t="str">
        <f t="shared" si="67"/>
        <v>Proposta Ok</v>
      </c>
    </row>
    <row r="1087" spans="12:15" x14ac:dyDescent="0.25">
      <c r="L1087">
        <f t="shared" si="68"/>
        <v>0</v>
      </c>
      <c r="M1087">
        <f t="shared" si="69"/>
        <v>1</v>
      </c>
      <c r="N1087">
        <f t="shared" si="70"/>
        <v>0</v>
      </c>
      <c r="O1087" t="str">
        <f t="shared" si="67"/>
        <v>Proposta Ok</v>
      </c>
    </row>
    <row r="1088" spans="12:15" x14ac:dyDescent="0.25">
      <c r="L1088">
        <f t="shared" si="68"/>
        <v>0</v>
      </c>
      <c r="M1088">
        <f t="shared" si="69"/>
        <v>1</v>
      </c>
      <c r="N1088">
        <f t="shared" si="70"/>
        <v>0</v>
      </c>
      <c r="O1088" t="str">
        <f t="shared" si="67"/>
        <v>Proposta Ok</v>
      </c>
    </row>
    <row r="1089" spans="12:15" x14ac:dyDescent="0.25">
      <c r="L1089">
        <f t="shared" si="68"/>
        <v>0</v>
      </c>
      <c r="M1089">
        <f t="shared" si="69"/>
        <v>1</v>
      </c>
      <c r="N1089">
        <f t="shared" si="70"/>
        <v>0</v>
      </c>
      <c r="O1089" t="str">
        <f t="shared" si="67"/>
        <v>Proposta Ok</v>
      </c>
    </row>
    <row r="1090" spans="12:15" x14ac:dyDescent="0.25">
      <c r="L1090">
        <f t="shared" si="68"/>
        <v>0</v>
      </c>
      <c r="M1090">
        <f t="shared" si="69"/>
        <v>1</v>
      </c>
      <c r="N1090">
        <f t="shared" si="70"/>
        <v>0</v>
      </c>
      <c r="O1090" t="str">
        <f t="shared" si="67"/>
        <v>Proposta Ok</v>
      </c>
    </row>
    <row r="1091" spans="12:15" x14ac:dyDescent="0.25">
      <c r="L1091">
        <f t="shared" si="68"/>
        <v>0</v>
      </c>
      <c r="M1091">
        <f t="shared" si="69"/>
        <v>1</v>
      </c>
      <c r="N1091">
        <f t="shared" si="70"/>
        <v>0</v>
      </c>
      <c r="O1091" t="str">
        <f t="shared" ref="O1091:O1154" si="71">IF(SUMIFS(M:M,A:A,A1091)&gt;0,"Proposta não Ok","Proposta Ok")</f>
        <v>Proposta Ok</v>
      </c>
    </row>
    <row r="1092" spans="12:15" x14ac:dyDescent="0.25">
      <c r="L1092">
        <f t="shared" si="68"/>
        <v>0</v>
      </c>
      <c r="M1092">
        <f t="shared" si="69"/>
        <v>1</v>
      </c>
      <c r="N1092">
        <f t="shared" si="70"/>
        <v>0</v>
      </c>
      <c r="O1092" t="str">
        <f t="shared" si="71"/>
        <v>Proposta Ok</v>
      </c>
    </row>
    <row r="1093" spans="12:15" x14ac:dyDescent="0.25">
      <c r="L1093">
        <f t="shared" si="68"/>
        <v>0</v>
      </c>
      <c r="M1093">
        <f t="shared" si="69"/>
        <v>1</v>
      </c>
      <c r="N1093">
        <f t="shared" si="70"/>
        <v>0</v>
      </c>
      <c r="O1093" t="str">
        <f t="shared" si="71"/>
        <v>Proposta Ok</v>
      </c>
    </row>
    <row r="1094" spans="12:15" x14ac:dyDescent="0.25">
      <c r="L1094">
        <f t="shared" si="68"/>
        <v>0</v>
      </c>
      <c r="M1094">
        <f t="shared" si="69"/>
        <v>1</v>
      </c>
      <c r="N1094">
        <f t="shared" si="70"/>
        <v>0</v>
      </c>
      <c r="O1094" t="str">
        <f t="shared" si="71"/>
        <v>Proposta Ok</v>
      </c>
    </row>
    <row r="1095" spans="12:15" x14ac:dyDescent="0.25">
      <c r="L1095">
        <f t="shared" si="68"/>
        <v>0</v>
      </c>
      <c r="M1095">
        <f t="shared" si="69"/>
        <v>1</v>
      </c>
      <c r="N1095">
        <f t="shared" si="70"/>
        <v>0</v>
      </c>
      <c r="O1095" t="str">
        <f t="shared" si="71"/>
        <v>Proposta Ok</v>
      </c>
    </row>
    <row r="1096" spans="12:15" x14ac:dyDescent="0.25">
      <c r="L1096">
        <f t="shared" si="68"/>
        <v>0</v>
      </c>
      <c r="M1096">
        <f t="shared" si="69"/>
        <v>1</v>
      </c>
      <c r="N1096">
        <f t="shared" si="70"/>
        <v>0</v>
      </c>
      <c r="O1096" t="str">
        <f t="shared" si="71"/>
        <v>Proposta Ok</v>
      </c>
    </row>
    <row r="1097" spans="12:15" x14ac:dyDescent="0.25">
      <c r="L1097">
        <f t="shared" si="68"/>
        <v>0</v>
      </c>
      <c r="M1097">
        <f t="shared" si="69"/>
        <v>1</v>
      </c>
      <c r="N1097">
        <f t="shared" si="70"/>
        <v>0</v>
      </c>
      <c r="O1097" t="str">
        <f t="shared" si="71"/>
        <v>Proposta Ok</v>
      </c>
    </row>
    <row r="1098" spans="12:15" x14ac:dyDescent="0.25">
      <c r="L1098">
        <f t="shared" si="68"/>
        <v>0</v>
      </c>
      <c r="M1098">
        <f t="shared" si="69"/>
        <v>1</v>
      </c>
      <c r="N1098">
        <f t="shared" si="70"/>
        <v>0</v>
      </c>
      <c r="O1098" t="str">
        <f t="shared" si="71"/>
        <v>Proposta Ok</v>
      </c>
    </row>
    <row r="1099" spans="12:15" x14ac:dyDescent="0.25">
      <c r="L1099">
        <f t="shared" si="68"/>
        <v>0</v>
      </c>
      <c r="M1099">
        <f t="shared" si="69"/>
        <v>1</v>
      </c>
      <c r="N1099">
        <f t="shared" si="70"/>
        <v>0</v>
      </c>
      <c r="O1099" t="str">
        <f t="shared" si="71"/>
        <v>Proposta Ok</v>
      </c>
    </row>
    <row r="1100" spans="12:15" x14ac:dyDescent="0.25">
      <c r="L1100">
        <f t="shared" si="68"/>
        <v>0</v>
      </c>
      <c r="M1100">
        <f t="shared" si="69"/>
        <v>1</v>
      </c>
      <c r="N1100">
        <f t="shared" si="70"/>
        <v>0</v>
      </c>
      <c r="O1100" t="str">
        <f t="shared" si="71"/>
        <v>Proposta Ok</v>
      </c>
    </row>
    <row r="1101" spans="12:15" x14ac:dyDescent="0.25">
      <c r="L1101">
        <f t="shared" si="68"/>
        <v>0</v>
      </c>
      <c r="M1101">
        <f t="shared" si="69"/>
        <v>1</v>
      </c>
      <c r="N1101">
        <f t="shared" si="70"/>
        <v>0</v>
      </c>
      <c r="O1101" t="str">
        <f t="shared" si="71"/>
        <v>Proposta Ok</v>
      </c>
    </row>
    <row r="1102" spans="12:15" x14ac:dyDescent="0.25">
      <c r="L1102">
        <f t="shared" si="68"/>
        <v>0</v>
      </c>
      <c r="M1102">
        <f t="shared" si="69"/>
        <v>1</v>
      </c>
      <c r="N1102">
        <f t="shared" si="70"/>
        <v>0</v>
      </c>
      <c r="O1102" t="str">
        <f t="shared" si="71"/>
        <v>Proposta Ok</v>
      </c>
    </row>
    <row r="1103" spans="12:15" x14ac:dyDescent="0.25">
      <c r="L1103">
        <f t="shared" si="68"/>
        <v>0</v>
      </c>
      <c r="M1103">
        <f t="shared" si="69"/>
        <v>1</v>
      </c>
      <c r="N1103">
        <f t="shared" si="70"/>
        <v>0</v>
      </c>
      <c r="O1103" t="str">
        <f t="shared" si="71"/>
        <v>Proposta Ok</v>
      </c>
    </row>
    <row r="1104" spans="12:15" x14ac:dyDescent="0.25">
      <c r="L1104">
        <f t="shared" si="68"/>
        <v>0</v>
      </c>
      <c r="M1104">
        <f t="shared" si="69"/>
        <v>1</v>
      </c>
      <c r="N1104">
        <f t="shared" si="70"/>
        <v>0</v>
      </c>
      <c r="O1104" t="str">
        <f t="shared" si="71"/>
        <v>Proposta Ok</v>
      </c>
    </row>
    <row r="1105" spans="12:15" x14ac:dyDescent="0.25">
      <c r="L1105">
        <f t="shared" si="68"/>
        <v>0</v>
      </c>
      <c r="M1105">
        <f t="shared" si="69"/>
        <v>1</v>
      </c>
      <c r="N1105">
        <f t="shared" si="70"/>
        <v>0</v>
      </c>
      <c r="O1105" t="str">
        <f t="shared" si="71"/>
        <v>Proposta Ok</v>
      </c>
    </row>
    <row r="1106" spans="12:15" x14ac:dyDescent="0.25">
      <c r="L1106">
        <f t="shared" si="68"/>
        <v>0</v>
      </c>
      <c r="M1106">
        <f t="shared" si="69"/>
        <v>1</v>
      </c>
      <c r="N1106">
        <f t="shared" si="70"/>
        <v>0</v>
      </c>
      <c r="O1106" t="str">
        <f t="shared" si="71"/>
        <v>Proposta Ok</v>
      </c>
    </row>
    <row r="1107" spans="12:15" x14ac:dyDescent="0.25">
      <c r="L1107">
        <f t="shared" si="68"/>
        <v>0</v>
      </c>
      <c r="M1107">
        <f t="shared" si="69"/>
        <v>1</v>
      </c>
      <c r="N1107">
        <f t="shared" si="70"/>
        <v>0</v>
      </c>
      <c r="O1107" t="str">
        <f t="shared" si="71"/>
        <v>Proposta Ok</v>
      </c>
    </row>
    <row r="1108" spans="12:15" x14ac:dyDescent="0.25">
      <c r="L1108">
        <f t="shared" si="68"/>
        <v>0</v>
      </c>
      <c r="M1108">
        <f t="shared" si="69"/>
        <v>1</v>
      </c>
      <c r="N1108">
        <f t="shared" si="70"/>
        <v>0</v>
      </c>
      <c r="O1108" t="str">
        <f t="shared" si="71"/>
        <v>Proposta Ok</v>
      </c>
    </row>
    <row r="1109" spans="12:15" x14ac:dyDescent="0.25">
      <c r="L1109">
        <f t="shared" si="68"/>
        <v>0</v>
      </c>
      <c r="M1109">
        <f t="shared" si="69"/>
        <v>1</v>
      </c>
      <c r="N1109">
        <f t="shared" si="70"/>
        <v>0</v>
      </c>
      <c r="O1109" t="str">
        <f t="shared" si="71"/>
        <v>Proposta Ok</v>
      </c>
    </row>
    <row r="1110" spans="12:15" x14ac:dyDescent="0.25">
      <c r="L1110">
        <f t="shared" si="68"/>
        <v>0</v>
      </c>
      <c r="M1110">
        <f t="shared" si="69"/>
        <v>1</v>
      </c>
      <c r="N1110">
        <f t="shared" si="70"/>
        <v>0</v>
      </c>
      <c r="O1110" t="str">
        <f t="shared" si="71"/>
        <v>Proposta Ok</v>
      </c>
    </row>
    <row r="1111" spans="12:15" x14ac:dyDescent="0.25">
      <c r="L1111">
        <f t="shared" si="68"/>
        <v>0</v>
      </c>
      <c r="M1111">
        <f t="shared" si="69"/>
        <v>1</v>
      </c>
      <c r="N1111">
        <f t="shared" si="70"/>
        <v>0</v>
      </c>
      <c r="O1111" t="str">
        <f t="shared" si="71"/>
        <v>Proposta Ok</v>
      </c>
    </row>
    <row r="1112" spans="12:15" x14ac:dyDescent="0.25">
      <c r="L1112">
        <f t="shared" si="68"/>
        <v>0</v>
      </c>
      <c r="M1112">
        <f t="shared" si="69"/>
        <v>1</v>
      </c>
      <c r="N1112">
        <f t="shared" si="70"/>
        <v>0</v>
      </c>
      <c r="O1112" t="str">
        <f t="shared" si="71"/>
        <v>Proposta Ok</v>
      </c>
    </row>
    <row r="1113" spans="12:15" x14ac:dyDescent="0.25">
      <c r="L1113">
        <f t="shared" si="68"/>
        <v>0</v>
      </c>
      <c r="M1113">
        <f t="shared" si="69"/>
        <v>1</v>
      </c>
      <c r="N1113">
        <f t="shared" si="70"/>
        <v>0</v>
      </c>
      <c r="O1113" t="str">
        <f t="shared" si="71"/>
        <v>Proposta Ok</v>
      </c>
    </row>
    <row r="1114" spans="12:15" x14ac:dyDescent="0.25">
      <c r="L1114">
        <f t="shared" si="68"/>
        <v>0</v>
      </c>
      <c r="M1114">
        <f t="shared" si="69"/>
        <v>1</v>
      </c>
      <c r="N1114">
        <f t="shared" si="70"/>
        <v>0</v>
      </c>
      <c r="O1114" t="str">
        <f t="shared" si="71"/>
        <v>Proposta Ok</v>
      </c>
    </row>
    <row r="1115" spans="12:15" x14ac:dyDescent="0.25">
      <c r="L1115">
        <f t="shared" si="68"/>
        <v>0</v>
      </c>
      <c r="M1115">
        <f t="shared" si="69"/>
        <v>1</v>
      </c>
      <c r="N1115">
        <f t="shared" si="70"/>
        <v>0</v>
      </c>
      <c r="O1115" t="str">
        <f t="shared" si="71"/>
        <v>Proposta Ok</v>
      </c>
    </row>
    <row r="1116" spans="12:15" x14ac:dyDescent="0.25">
      <c r="L1116">
        <f t="shared" si="68"/>
        <v>0</v>
      </c>
      <c r="M1116">
        <f t="shared" si="69"/>
        <v>1</v>
      </c>
      <c r="N1116">
        <f t="shared" si="70"/>
        <v>0</v>
      </c>
      <c r="O1116" t="str">
        <f t="shared" si="71"/>
        <v>Proposta Ok</v>
      </c>
    </row>
    <row r="1117" spans="12:15" x14ac:dyDescent="0.25">
      <c r="L1117">
        <f t="shared" si="68"/>
        <v>0</v>
      </c>
      <c r="M1117">
        <f t="shared" si="69"/>
        <v>1</v>
      </c>
      <c r="N1117">
        <f t="shared" si="70"/>
        <v>0</v>
      </c>
      <c r="O1117" t="str">
        <f t="shared" si="71"/>
        <v>Proposta Ok</v>
      </c>
    </row>
    <row r="1118" spans="12:15" x14ac:dyDescent="0.25">
      <c r="L1118">
        <f t="shared" si="68"/>
        <v>0</v>
      </c>
      <c r="M1118">
        <f t="shared" si="69"/>
        <v>1</v>
      </c>
      <c r="N1118">
        <f t="shared" si="70"/>
        <v>0</v>
      </c>
      <c r="O1118" t="str">
        <f t="shared" si="71"/>
        <v>Proposta Ok</v>
      </c>
    </row>
    <row r="1119" spans="12:15" x14ac:dyDescent="0.25">
      <c r="L1119">
        <f t="shared" si="68"/>
        <v>0</v>
      </c>
      <c r="M1119">
        <f t="shared" si="69"/>
        <v>1</v>
      </c>
      <c r="N1119">
        <f t="shared" si="70"/>
        <v>0</v>
      </c>
      <c r="O1119" t="str">
        <f t="shared" si="71"/>
        <v>Proposta Ok</v>
      </c>
    </row>
    <row r="1120" spans="12:15" x14ac:dyDescent="0.25">
      <c r="L1120">
        <f t="shared" si="68"/>
        <v>0</v>
      </c>
      <c r="M1120">
        <f t="shared" si="69"/>
        <v>1</v>
      </c>
      <c r="N1120">
        <f t="shared" si="70"/>
        <v>0</v>
      </c>
      <c r="O1120" t="str">
        <f t="shared" si="71"/>
        <v>Proposta Ok</v>
      </c>
    </row>
    <row r="1121" spans="12:15" x14ac:dyDescent="0.25">
      <c r="L1121">
        <f t="shared" si="68"/>
        <v>0</v>
      </c>
      <c r="M1121">
        <f t="shared" si="69"/>
        <v>1</v>
      </c>
      <c r="N1121">
        <f t="shared" si="70"/>
        <v>0</v>
      </c>
      <c r="O1121" t="str">
        <f t="shared" si="71"/>
        <v>Proposta Ok</v>
      </c>
    </row>
    <row r="1122" spans="12:15" x14ac:dyDescent="0.25">
      <c r="L1122">
        <f t="shared" si="68"/>
        <v>0</v>
      </c>
      <c r="M1122">
        <f t="shared" si="69"/>
        <v>1</v>
      </c>
      <c r="N1122">
        <f t="shared" si="70"/>
        <v>0</v>
      </c>
      <c r="O1122" t="str">
        <f t="shared" si="71"/>
        <v>Proposta Ok</v>
      </c>
    </row>
    <row r="1123" spans="12:15" x14ac:dyDescent="0.25">
      <c r="L1123">
        <f t="shared" si="68"/>
        <v>0</v>
      </c>
      <c r="M1123">
        <f t="shared" si="69"/>
        <v>1</v>
      </c>
      <c r="N1123">
        <f t="shared" si="70"/>
        <v>0</v>
      </c>
      <c r="O1123" t="str">
        <f t="shared" si="71"/>
        <v>Proposta Ok</v>
      </c>
    </row>
    <row r="1124" spans="12:15" x14ac:dyDescent="0.25">
      <c r="L1124">
        <f t="shared" si="68"/>
        <v>0</v>
      </c>
      <c r="M1124">
        <f t="shared" si="69"/>
        <v>1</v>
      </c>
      <c r="N1124">
        <f t="shared" si="70"/>
        <v>0</v>
      </c>
      <c r="O1124" t="str">
        <f t="shared" si="71"/>
        <v>Proposta Ok</v>
      </c>
    </row>
    <row r="1125" spans="12:15" x14ac:dyDescent="0.25">
      <c r="L1125">
        <f t="shared" si="68"/>
        <v>0</v>
      </c>
      <c r="M1125">
        <f t="shared" si="69"/>
        <v>1</v>
      </c>
      <c r="N1125">
        <f t="shared" si="70"/>
        <v>0</v>
      </c>
      <c r="O1125" t="str">
        <f t="shared" si="71"/>
        <v>Proposta Ok</v>
      </c>
    </row>
    <row r="1126" spans="12:15" x14ac:dyDescent="0.25">
      <c r="L1126">
        <f t="shared" si="68"/>
        <v>0</v>
      </c>
      <c r="M1126">
        <f t="shared" si="69"/>
        <v>1</v>
      </c>
      <c r="N1126">
        <f t="shared" si="70"/>
        <v>0</v>
      </c>
      <c r="O1126" t="str">
        <f t="shared" si="71"/>
        <v>Proposta Ok</v>
      </c>
    </row>
    <row r="1127" spans="12:15" x14ac:dyDescent="0.25">
      <c r="L1127">
        <f t="shared" si="68"/>
        <v>0</v>
      </c>
      <c r="M1127">
        <f t="shared" si="69"/>
        <v>1</v>
      </c>
      <c r="N1127">
        <f t="shared" si="70"/>
        <v>0</v>
      </c>
      <c r="O1127" t="str">
        <f t="shared" si="71"/>
        <v>Proposta Ok</v>
      </c>
    </row>
    <row r="1128" spans="12:15" x14ac:dyDescent="0.25">
      <c r="L1128">
        <f t="shared" si="68"/>
        <v>0</v>
      </c>
      <c r="M1128">
        <f t="shared" si="69"/>
        <v>1</v>
      </c>
      <c r="N1128">
        <f t="shared" si="70"/>
        <v>0</v>
      </c>
      <c r="O1128" t="str">
        <f t="shared" si="71"/>
        <v>Proposta Ok</v>
      </c>
    </row>
    <row r="1129" spans="12:15" x14ac:dyDescent="0.25">
      <c r="L1129">
        <f t="shared" si="68"/>
        <v>0</v>
      </c>
      <c r="M1129">
        <f t="shared" si="69"/>
        <v>1</v>
      </c>
      <c r="N1129">
        <f t="shared" si="70"/>
        <v>0</v>
      </c>
      <c r="O1129" t="str">
        <f t="shared" si="71"/>
        <v>Proposta Ok</v>
      </c>
    </row>
    <row r="1130" spans="12:15" x14ac:dyDescent="0.25">
      <c r="L1130">
        <f t="shared" si="68"/>
        <v>0</v>
      </c>
      <c r="M1130">
        <f t="shared" si="69"/>
        <v>1</v>
      </c>
      <c r="N1130">
        <f t="shared" si="70"/>
        <v>0</v>
      </c>
      <c r="O1130" t="str">
        <f t="shared" si="71"/>
        <v>Proposta Ok</v>
      </c>
    </row>
    <row r="1131" spans="12:15" x14ac:dyDescent="0.25">
      <c r="L1131">
        <f t="shared" si="68"/>
        <v>0</v>
      </c>
      <c r="M1131">
        <f t="shared" si="69"/>
        <v>1</v>
      </c>
      <c r="N1131">
        <f t="shared" si="70"/>
        <v>0</v>
      </c>
      <c r="O1131" t="str">
        <f t="shared" si="71"/>
        <v>Proposta Ok</v>
      </c>
    </row>
    <row r="1132" spans="12:15" x14ac:dyDescent="0.25">
      <c r="L1132">
        <f t="shared" si="68"/>
        <v>0</v>
      </c>
      <c r="M1132">
        <f t="shared" si="69"/>
        <v>1</v>
      </c>
      <c r="N1132">
        <f t="shared" si="70"/>
        <v>0</v>
      </c>
      <c r="O1132" t="str">
        <f t="shared" si="71"/>
        <v>Proposta Ok</v>
      </c>
    </row>
    <row r="1133" spans="12:15" x14ac:dyDescent="0.25">
      <c r="L1133">
        <f t="shared" si="68"/>
        <v>0</v>
      </c>
      <c r="M1133">
        <f t="shared" si="69"/>
        <v>1</v>
      </c>
      <c r="N1133">
        <f t="shared" si="70"/>
        <v>0</v>
      </c>
      <c r="O1133" t="str">
        <f t="shared" si="71"/>
        <v>Proposta Ok</v>
      </c>
    </row>
    <row r="1134" spans="12:15" x14ac:dyDescent="0.25">
      <c r="L1134">
        <f t="shared" si="68"/>
        <v>0</v>
      </c>
      <c r="M1134">
        <f t="shared" si="69"/>
        <v>1</v>
      </c>
      <c r="N1134">
        <f t="shared" si="70"/>
        <v>0</v>
      </c>
      <c r="O1134" t="str">
        <f t="shared" si="71"/>
        <v>Proposta Ok</v>
      </c>
    </row>
    <row r="1135" spans="12:15" x14ac:dyDescent="0.25">
      <c r="L1135">
        <f t="shared" si="68"/>
        <v>0</v>
      </c>
      <c r="M1135">
        <f t="shared" si="69"/>
        <v>1</v>
      </c>
      <c r="N1135">
        <f t="shared" si="70"/>
        <v>0</v>
      </c>
      <c r="O1135" t="str">
        <f t="shared" si="71"/>
        <v>Proposta Ok</v>
      </c>
    </row>
    <row r="1136" spans="12:15" x14ac:dyDescent="0.25">
      <c r="L1136">
        <f t="shared" si="68"/>
        <v>0</v>
      </c>
      <c r="M1136">
        <f t="shared" si="69"/>
        <v>1</v>
      </c>
      <c r="N1136">
        <f t="shared" si="70"/>
        <v>0</v>
      </c>
      <c r="O1136" t="str">
        <f t="shared" si="71"/>
        <v>Proposta Ok</v>
      </c>
    </row>
    <row r="1137" spans="12:15" x14ac:dyDescent="0.25">
      <c r="L1137">
        <f t="shared" si="68"/>
        <v>0</v>
      </c>
      <c r="M1137">
        <f t="shared" si="69"/>
        <v>1</v>
      </c>
      <c r="N1137">
        <f t="shared" si="70"/>
        <v>0</v>
      </c>
      <c r="O1137" t="str">
        <f t="shared" si="71"/>
        <v>Proposta Ok</v>
      </c>
    </row>
    <row r="1138" spans="12:15" x14ac:dyDescent="0.25">
      <c r="L1138">
        <f t="shared" si="68"/>
        <v>0</v>
      </c>
      <c r="M1138">
        <f t="shared" si="69"/>
        <v>1</v>
      </c>
      <c r="N1138">
        <f t="shared" si="70"/>
        <v>0</v>
      </c>
      <c r="O1138" t="str">
        <f t="shared" si="71"/>
        <v>Proposta Ok</v>
      </c>
    </row>
    <row r="1139" spans="12:15" x14ac:dyDescent="0.25">
      <c r="L1139">
        <f t="shared" si="68"/>
        <v>0</v>
      </c>
      <c r="M1139">
        <f t="shared" si="69"/>
        <v>1</v>
      </c>
      <c r="N1139">
        <f t="shared" si="70"/>
        <v>0</v>
      </c>
      <c r="O1139" t="str">
        <f t="shared" si="71"/>
        <v>Proposta Ok</v>
      </c>
    </row>
    <row r="1140" spans="12:15" x14ac:dyDescent="0.25">
      <c r="L1140">
        <f t="shared" si="68"/>
        <v>0</v>
      </c>
      <c r="M1140">
        <f t="shared" si="69"/>
        <v>1</v>
      </c>
      <c r="N1140">
        <f t="shared" si="70"/>
        <v>0</v>
      </c>
      <c r="O1140" t="str">
        <f t="shared" si="71"/>
        <v>Proposta Ok</v>
      </c>
    </row>
    <row r="1141" spans="12:15" x14ac:dyDescent="0.25">
      <c r="L1141">
        <f t="shared" si="68"/>
        <v>0</v>
      </c>
      <c r="M1141">
        <f t="shared" si="69"/>
        <v>1</v>
      </c>
      <c r="N1141">
        <f t="shared" si="70"/>
        <v>0</v>
      </c>
      <c r="O1141" t="str">
        <f t="shared" si="71"/>
        <v>Proposta Ok</v>
      </c>
    </row>
    <row r="1142" spans="12:15" x14ac:dyDescent="0.25">
      <c r="L1142">
        <f t="shared" si="68"/>
        <v>0</v>
      </c>
      <c r="M1142">
        <f t="shared" si="69"/>
        <v>1</v>
      </c>
      <c r="N1142">
        <f t="shared" si="70"/>
        <v>0</v>
      </c>
      <c r="O1142" t="str">
        <f t="shared" si="71"/>
        <v>Proposta Ok</v>
      </c>
    </row>
    <row r="1143" spans="12:15" x14ac:dyDescent="0.25">
      <c r="L1143">
        <f t="shared" si="68"/>
        <v>0</v>
      </c>
      <c r="M1143">
        <f t="shared" si="69"/>
        <v>1</v>
      </c>
      <c r="N1143">
        <f t="shared" si="70"/>
        <v>0</v>
      </c>
      <c r="O1143" t="str">
        <f t="shared" si="71"/>
        <v>Proposta Ok</v>
      </c>
    </row>
    <row r="1144" spans="12:15" x14ac:dyDescent="0.25">
      <c r="L1144">
        <f t="shared" si="68"/>
        <v>0</v>
      </c>
      <c r="M1144">
        <f t="shared" si="69"/>
        <v>1</v>
      </c>
      <c r="N1144">
        <f t="shared" si="70"/>
        <v>0</v>
      </c>
      <c r="O1144" t="str">
        <f t="shared" si="71"/>
        <v>Proposta Ok</v>
      </c>
    </row>
    <row r="1145" spans="12:15" x14ac:dyDescent="0.25">
      <c r="L1145">
        <f t="shared" si="68"/>
        <v>0</v>
      </c>
      <c r="M1145">
        <f t="shared" si="69"/>
        <v>1</v>
      </c>
      <c r="N1145">
        <f t="shared" si="70"/>
        <v>0</v>
      </c>
      <c r="O1145" t="str">
        <f t="shared" si="71"/>
        <v>Proposta Ok</v>
      </c>
    </row>
    <row r="1146" spans="12:15" x14ac:dyDescent="0.25">
      <c r="L1146">
        <f t="shared" si="68"/>
        <v>0</v>
      </c>
      <c r="M1146">
        <f t="shared" si="69"/>
        <v>1</v>
      </c>
      <c r="N1146">
        <f t="shared" si="70"/>
        <v>0</v>
      </c>
      <c r="O1146" t="str">
        <f t="shared" si="71"/>
        <v>Proposta Ok</v>
      </c>
    </row>
    <row r="1147" spans="12:15" x14ac:dyDescent="0.25">
      <c r="L1147">
        <f t="shared" si="68"/>
        <v>0</v>
      </c>
      <c r="M1147">
        <f t="shared" si="69"/>
        <v>1</v>
      </c>
      <c r="N1147">
        <f t="shared" si="70"/>
        <v>0</v>
      </c>
      <c r="O1147" t="str">
        <f t="shared" si="71"/>
        <v>Proposta Ok</v>
      </c>
    </row>
    <row r="1148" spans="12:15" x14ac:dyDescent="0.25">
      <c r="L1148">
        <f t="shared" si="68"/>
        <v>0</v>
      </c>
      <c r="M1148">
        <f t="shared" si="69"/>
        <v>1</v>
      </c>
      <c r="N1148">
        <f t="shared" si="70"/>
        <v>0</v>
      </c>
      <c r="O1148" t="str">
        <f t="shared" si="71"/>
        <v>Proposta Ok</v>
      </c>
    </row>
    <row r="1149" spans="12:15" x14ac:dyDescent="0.25">
      <c r="L1149">
        <f t="shared" si="68"/>
        <v>0</v>
      </c>
      <c r="M1149">
        <f t="shared" si="69"/>
        <v>1</v>
      </c>
      <c r="N1149">
        <f t="shared" si="70"/>
        <v>0</v>
      </c>
      <c r="O1149" t="str">
        <f t="shared" si="71"/>
        <v>Proposta Ok</v>
      </c>
    </row>
    <row r="1150" spans="12:15" x14ac:dyDescent="0.25">
      <c r="L1150">
        <f t="shared" ref="L1150:L1213" si="72">IF(OR(I1150="Termo OK (Exceção)",I1150="Termo OK"),1,0)</f>
        <v>0</v>
      </c>
      <c r="M1150">
        <f t="shared" ref="M1150:M1213" si="73">IF(OR(I1150="Termo OK (Exceção)",I1150="Termo OK"),0,1)</f>
        <v>1</v>
      </c>
      <c r="N1150">
        <f t="shared" ref="N1150:N1213" si="74">IF(J1150="SIM",1,0)</f>
        <v>0</v>
      </c>
      <c r="O1150" t="str">
        <f t="shared" si="71"/>
        <v>Proposta Ok</v>
      </c>
    </row>
    <row r="1151" spans="12:15" x14ac:dyDescent="0.25">
      <c r="L1151">
        <f t="shared" si="72"/>
        <v>0</v>
      </c>
      <c r="M1151">
        <f t="shared" si="73"/>
        <v>1</v>
      </c>
      <c r="N1151">
        <f t="shared" si="74"/>
        <v>0</v>
      </c>
      <c r="O1151" t="str">
        <f t="shared" si="71"/>
        <v>Proposta Ok</v>
      </c>
    </row>
    <row r="1152" spans="12:15" x14ac:dyDescent="0.25">
      <c r="L1152">
        <f t="shared" si="72"/>
        <v>0</v>
      </c>
      <c r="M1152">
        <f t="shared" si="73"/>
        <v>1</v>
      </c>
      <c r="N1152">
        <f t="shared" si="74"/>
        <v>0</v>
      </c>
      <c r="O1152" t="str">
        <f t="shared" si="71"/>
        <v>Proposta Ok</v>
      </c>
    </row>
    <row r="1153" spans="12:15" x14ac:dyDescent="0.25">
      <c r="L1153">
        <f t="shared" si="72"/>
        <v>0</v>
      </c>
      <c r="M1153">
        <f t="shared" si="73"/>
        <v>1</v>
      </c>
      <c r="N1153">
        <f t="shared" si="74"/>
        <v>0</v>
      </c>
      <c r="O1153" t="str">
        <f t="shared" si="71"/>
        <v>Proposta Ok</v>
      </c>
    </row>
    <row r="1154" spans="12:15" x14ac:dyDescent="0.25">
      <c r="L1154">
        <f t="shared" si="72"/>
        <v>0</v>
      </c>
      <c r="M1154">
        <f t="shared" si="73"/>
        <v>1</v>
      </c>
      <c r="N1154">
        <f t="shared" si="74"/>
        <v>0</v>
      </c>
      <c r="O1154" t="str">
        <f t="shared" si="71"/>
        <v>Proposta Ok</v>
      </c>
    </row>
    <row r="1155" spans="12:15" x14ac:dyDescent="0.25">
      <c r="L1155">
        <f t="shared" si="72"/>
        <v>0</v>
      </c>
      <c r="M1155">
        <f t="shared" si="73"/>
        <v>1</v>
      </c>
      <c r="N1155">
        <f t="shared" si="74"/>
        <v>0</v>
      </c>
      <c r="O1155" t="str">
        <f t="shared" ref="O1155:O1218" si="75">IF(SUMIFS(M:M,A:A,A1155)&gt;0,"Proposta não Ok","Proposta Ok")</f>
        <v>Proposta Ok</v>
      </c>
    </row>
    <row r="1156" spans="12:15" x14ac:dyDescent="0.25">
      <c r="L1156">
        <f t="shared" si="72"/>
        <v>0</v>
      </c>
      <c r="M1156">
        <f t="shared" si="73"/>
        <v>1</v>
      </c>
      <c r="N1156">
        <f t="shared" si="74"/>
        <v>0</v>
      </c>
      <c r="O1156" t="str">
        <f t="shared" si="75"/>
        <v>Proposta Ok</v>
      </c>
    </row>
    <row r="1157" spans="12:15" x14ac:dyDescent="0.25">
      <c r="L1157">
        <f t="shared" si="72"/>
        <v>0</v>
      </c>
      <c r="M1157">
        <f t="shared" si="73"/>
        <v>1</v>
      </c>
      <c r="N1157">
        <f t="shared" si="74"/>
        <v>0</v>
      </c>
      <c r="O1157" t="str">
        <f t="shared" si="75"/>
        <v>Proposta Ok</v>
      </c>
    </row>
    <row r="1158" spans="12:15" x14ac:dyDescent="0.25">
      <c r="L1158">
        <f t="shared" si="72"/>
        <v>0</v>
      </c>
      <c r="M1158">
        <f t="shared" si="73"/>
        <v>1</v>
      </c>
      <c r="N1158">
        <f t="shared" si="74"/>
        <v>0</v>
      </c>
      <c r="O1158" t="str">
        <f t="shared" si="75"/>
        <v>Proposta Ok</v>
      </c>
    </row>
    <row r="1159" spans="12:15" x14ac:dyDescent="0.25">
      <c r="L1159">
        <f t="shared" si="72"/>
        <v>0</v>
      </c>
      <c r="M1159">
        <f t="shared" si="73"/>
        <v>1</v>
      </c>
      <c r="N1159">
        <f t="shared" si="74"/>
        <v>0</v>
      </c>
      <c r="O1159" t="str">
        <f t="shared" si="75"/>
        <v>Proposta Ok</v>
      </c>
    </row>
    <row r="1160" spans="12:15" x14ac:dyDescent="0.25">
      <c r="L1160">
        <f t="shared" si="72"/>
        <v>0</v>
      </c>
      <c r="M1160">
        <f t="shared" si="73"/>
        <v>1</v>
      </c>
      <c r="N1160">
        <f t="shared" si="74"/>
        <v>0</v>
      </c>
      <c r="O1160" t="str">
        <f t="shared" si="75"/>
        <v>Proposta Ok</v>
      </c>
    </row>
    <row r="1161" spans="12:15" x14ac:dyDescent="0.25">
      <c r="L1161">
        <f t="shared" si="72"/>
        <v>0</v>
      </c>
      <c r="M1161">
        <f t="shared" si="73"/>
        <v>1</v>
      </c>
      <c r="N1161">
        <f t="shared" si="74"/>
        <v>0</v>
      </c>
      <c r="O1161" t="str">
        <f t="shared" si="75"/>
        <v>Proposta Ok</v>
      </c>
    </row>
    <row r="1162" spans="12:15" x14ac:dyDescent="0.25">
      <c r="L1162">
        <f t="shared" si="72"/>
        <v>0</v>
      </c>
      <c r="M1162">
        <f t="shared" si="73"/>
        <v>1</v>
      </c>
      <c r="N1162">
        <f t="shared" si="74"/>
        <v>0</v>
      </c>
      <c r="O1162" t="str">
        <f t="shared" si="75"/>
        <v>Proposta Ok</v>
      </c>
    </row>
    <row r="1163" spans="12:15" x14ac:dyDescent="0.25">
      <c r="L1163">
        <f t="shared" si="72"/>
        <v>0</v>
      </c>
      <c r="M1163">
        <f t="shared" si="73"/>
        <v>1</v>
      </c>
      <c r="N1163">
        <f t="shared" si="74"/>
        <v>0</v>
      </c>
      <c r="O1163" t="str">
        <f t="shared" si="75"/>
        <v>Proposta Ok</v>
      </c>
    </row>
    <row r="1164" spans="12:15" x14ac:dyDescent="0.25">
      <c r="L1164">
        <f t="shared" si="72"/>
        <v>0</v>
      </c>
      <c r="M1164">
        <f t="shared" si="73"/>
        <v>1</v>
      </c>
      <c r="N1164">
        <f t="shared" si="74"/>
        <v>0</v>
      </c>
      <c r="O1164" t="str">
        <f t="shared" si="75"/>
        <v>Proposta Ok</v>
      </c>
    </row>
    <row r="1165" spans="12:15" x14ac:dyDescent="0.25">
      <c r="L1165">
        <f t="shared" si="72"/>
        <v>0</v>
      </c>
      <c r="M1165">
        <f t="shared" si="73"/>
        <v>1</v>
      </c>
      <c r="N1165">
        <f t="shared" si="74"/>
        <v>0</v>
      </c>
      <c r="O1165" t="str">
        <f t="shared" si="75"/>
        <v>Proposta Ok</v>
      </c>
    </row>
    <row r="1166" spans="12:15" x14ac:dyDescent="0.25">
      <c r="L1166">
        <f t="shared" si="72"/>
        <v>0</v>
      </c>
      <c r="M1166">
        <f t="shared" si="73"/>
        <v>1</v>
      </c>
      <c r="N1166">
        <f t="shared" si="74"/>
        <v>0</v>
      </c>
      <c r="O1166" t="str">
        <f t="shared" si="75"/>
        <v>Proposta Ok</v>
      </c>
    </row>
    <row r="1167" spans="12:15" x14ac:dyDescent="0.25">
      <c r="L1167">
        <f t="shared" si="72"/>
        <v>0</v>
      </c>
      <c r="M1167">
        <f t="shared" si="73"/>
        <v>1</v>
      </c>
      <c r="N1167">
        <f t="shared" si="74"/>
        <v>0</v>
      </c>
      <c r="O1167" t="str">
        <f t="shared" si="75"/>
        <v>Proposta Ok</v>
      </c>
    </row>
    <row r="1168" spans="12:15" x14ac:dyDescent="0.25">
      <c r="L1168">
        <f t="shared" si="72"/>
        <v>0</v>
      </c>
      <c r="M1168">
        <f t="shared" si="73"/>
        <v>1</v>
      </c>
      <c r="N1168">
        <f t="shared" si="74"/>
        <v>0</v>
      </c>
      <c r="O1168" t="str">
        <f t="shared" si="75"/>
        <v>Proposta Ok</v>
      </c>
    </row>
    <row r="1169" spans="12:15" x14ac:dyDescent="0.25">
      <c r="L1169">
        <f t="shared" si="72"/>
        <v>0</v>
      </c>
      <c r="M1169">
        <f t="shared" si="73"/>
        <v>1</v>
      </c>
      <c r="N1169">
        <f t="shared" si="74"/>
        <v>0</v>
      </c>
      <c r="O1169" t="str">
        <f t="shared" si="75"/>
        <v>Proposta Ok</v>
      </c>
    </row>
    <row r="1170" spans="12:15" x14ac:dyDescent="0.25">
      <c r="L1170">
        <f t="shared" si="72"/>
        <v>0</v>
      </c>
      <c r="M1170">
        <f t="shared" si="73"/>
        <v>1</v>
      </c>
      <c r="N1170">
        <f t="shared" si="74"/>
        <v>0</v>
      </c>
      <c r="O1170" t="str">
        <f t="shared" si="75"/>
        <v>Proposta Ok</v>
      </c>
    </row>
    <row r="1171" spans="12:15" x14ac:dyDescent="0.25">
      <c r="L1171">
        <f t="shared" si="72"/>
        <v>0</v>
      </c>
      <c r="M1171">
        <f t="shared" si="73"/>
        <v>1</v>
      </c>
      <c r="N1171">
        <f t="shared" si="74"/>
        <v>0</v>
      </c>
      <c r="O1171" t="str">
        <f t="shared" si="75"/>
        <v>Proposta Ok</v>
      </c>
    </row>
    <row r="1172" spans="12:15" x14ac:dyDescent="0.25">
      <c r="L1172">
        <f t="shared" si="72"/>
        <v>0</v>
      </c>
      <c r="M1172">
        <f t="shared" si="73"/>
        <v>1</v>
      </c>
      <c r="N1172">
        <f t="shared" si="74"/>
        <v>0</v>
      </c>
      <c r="O1172" t="str">
        <f t="shared" si="75"/>
        <v>Proposta Ok</v>
      </c>
    </row>
    <row r="1173" spans="12:15" x14ac:dyDescent="0.25">
      <c r="L1173">
        <f t="shared" si="72"/>
        <v>0</v>
      </c>
      <c r="M1173">
        <f t="shared" si="73"/>
        <v>1</v>
      </c>
      <c r="N1173">
        <f t="shared" si="74"/>
        <v>0</v>
      </c>
      <c r="O1173" t="str">
        <f t="shared" si="75"/>
        <v>Proposta Ok</v>
      </c>
    </row>
    <row r="1174" spans="12:15" x14ac:dyDescent="0.25">
      <c r="L1174">
        <f t="shared" si="72"/>
        <v>0</v>
      </c>
      <c r="M1174">
        <f t="shared" si="73"/>
        <v>1</v>
      </c>
      <c r="N1174">
        <f t="shared" si="74"/>
        <v>0</v>
      </c>
      <c r="O1174" t="str">
        <f t="shared" si="75"/>
        <v>Proposta Ok</v>
      </c>
    </row>
    <row r="1175" spans="12:15" x14ac:dyDescent="0.25">
      <c r="L1175">
        <f t="shared" si="72"/>
        <v>0</v>
      </c>
      <c r="M1175">
        <f t="shared" si="73"/>
        <v>1</v>
      </c>
      <c r="N1175">
        <f t="shared" si="74"/>
        <v>0</v>
      </c>
      <c r="O1175" t="str">
        <f t="shared" si="75"/>
        <v>Proposta Ok</v>
      </c>
    </row>
    <row r="1176" spans="12:15" x14ac:dyDescent="0.25">
      <c r="L1176">
        <f t="shared" si="72"/>
        <v>0</v>
      </c>
      <c r="M1176">
        <f t="shared" si="73"/>
        <v>1</v>
      </c>
      <c r="N1176">
        <f t="shared" si="74"/>
        <v>0</v>
      </c>
      <c r="O1176" t="str">
        <f t="shared" si="75"/>
        <v>Proposta Ok</v>
      </c>
    </row>
    <row r="1177" spans="12:15" x14ac:dyDescent="0.25">
      <c r="L1177">
        <f t="shared" si="72"/>
        <v>0</v>
      </c>
      <c r="M1177">
        <f t="shared" si="73"/>
        <v>1</v>
      </c>
      <c r="N1177">
        <f t="shared" si="74"/>
        <v>0</v>
      </c>
      <c r="O1177" t="str">
        <f t="shared" si="75"/>
        <v>Proposta Ok</v>
      </c>
    </row>
    <row r="1178" spans="12:15" x14ac:dyDescent="0.25">
      <c r="L1178">
        <f t="shared" si="72"/>
        <v>0</v>
      </c>
      <c r="M1178">
        <f t="shared" si="73"/>
        <v>1</v>
      </c>
      <c r="N1178">
        <f t="shared" si="74"/>
        <v>0</v>
      </c>
      <c r="O1178" t="str">
        <f t="shared" si="75"/>
        <v>Proposta Ok</v>
      </c>
    </row>
    <row r="1179" spans="12:15" x14ac:dyDescent="0.25">
      <c r="L1179">
        <f t="shared" si="72"/>
        <v>0</v>
      </c>
      <c r="M1179">
        <f t="shared" si="73"/>
        <v>1</v>
      </c>
      <c r="N1179">
        <f t="shared" si="74"/>
        <v>0</v>
      </c>
      <c r="O1179" t="str">
        <f t="shared" si="75"/>
        <v>Proposta Ok</v>
      </c>
    </row>
    <row r="1180" spans="12:15" x14ac:dyDescent="0.25">
      <c r="L1180">
        <f t="shared" si="72"/>
        <v>0</v>
      </c>
      <c r="M1180">
        <f t="shared" si="73"/>
        <v>1</v>
      </c>
      <c r="N1180">
        <f t="shared" si="74"/>
        <v>0</v>
      </c>
      <c r="O1180" t="str">
        <f t="shared" si="75"/>
        <v>Proposta Ok</v>
      </c>
    </row>
    <row r="1181" spans="12:15" x14ac:dyDescent="0.25">
      <c r="L1181">
        <f t="shared" si="72"/>
        <v>0</v>
      </c>
      <c r="M1181">
        <f t="shared" si="73"/>
        <v>1</v>
      </c>
      <c r="N1181">
        <f t="shared" si="74"/>
        <v>0</v>
      </c>
      <c r="O1181" t="str">
        <f t="shared" si="75"/>
        <v>Proposta Ok</v>
      </c>
    </row>
    <row r="1182" spans="12:15" x14ac:dyDescent="0.25">
      <c r="L1182">
        <f t="shared" si="72"/>
        <v>0</v>
      </c>
      <c r="M1182">
        <f t="shared" si="73"/>
        <v>1</v>
      </c>
      <c r="N1182">
        <f t="shared" si="74"/>
        <v>0</v>
      </c>
      <c r="O1182" t="str">
        <f t="shared" si="75"/>
        <v>Proposta Ok</v>
      </c>
    </row>
    <row r="1183" spans="12:15" x14ac:dyDescent="0.25">
      <c r="L1183">
        <f t="shared" si="72"/>
        <v>0</v>
      </c>
      <c r="M1183">
        <f t="shared" si="73"/>
        <v>1</v>
      </c>
      <c r="N1183">
        <f t="shared" si="74"/>
        <v>0</v>
      </c>
      <c r="O1183" t="str">
        <f t="shared" si="75"/>
        <v>Proposta Ok</v>
      </c>
    </row>
    <row r="1184" spans="12:15" x14ac:dyDescent="0.25">
      <c r="L1184">
        <f t="shared" si="72"/>
        <v>0</v>
      </c>
      <c r="M1184">
        <f t="shared" si="73"/>
        <v>1</v>
      </c>
      <c r="N1184">
        <f t="shared" si="74"/>
        <v>0</v>
      </c>
      <c r="O1184" t="str">
        <f t="shared" si="75"/>
        <v>Proposta Ok</v>
      </c>
    </row>
    <row r="1185" spans="12:15" x14ac:dyDescent="0.25">
      <c r="L1185">
        <f t="shared" si="72"/>
        <v>0</v>
      </c>
      <c r="M1185">
        <f t="shared" si="73"/>
        <v>1</v>
      </c>
      <c r="N1185">
        <f t="shared" si="74"/>
        <v>0</v>
      </c>
      <c r="O1185" t="str">
        <f t="shared" si="75"/>
        <v>Proposta Ok</v>
      </c>
    </row>
    <row r="1186" spans="12:15" x14ac:dyDescent="0.25">
      <c r="L1186">
        <f t="shared" si="72"/>
        <v>0</v>
      </c>
      <c r="M1186">
        <f t="shared" si="73"/>
        <v>1</v>
      </c>
      <c r="N1186">
        <f t="shared" si="74"/>
        <v>0</v>
      </c>
      <c r="O1186" t="str">
        <f t="shared" si="75"/>
        <v>Proposta Ok</v>
      </c>
    </row>
    <row r="1187" spans="12:15" x14ac:dyDescent="0.25">
      <c r="L1187">
        <f t="shared" si="72"/>
        <v>0</v>
      </c>
      <c r="M1187">
        <f t="shared" si="73"/>
        <v>1</v>
      </c>
      <c r="N1187">
        <f t="shared" si="74"/>
        <v>0</v>
      </c>
      <c r="O1187" t="str">
        <f t="shared" si="75"/>
        <v>Proposta Ok</v>
      </c>
    </row>
    <row r="1188" spans="12:15" x14ac:dyDescent="0.25">
      <c r="L1188">
        <f t="shared" si="72"/>
        <v>0</v>
      </c>
      <c r="M1188">
        <f t="shared" si="73"/>
        <v>1</v>
      </c>
      <c r="N1188">
        <f t="shared" si="74"/>
        <v>0</v>
      </c>
      <c r="O1188" t="str">
        <f t="shared" si="75"/>
        <v>Proposta Ok</v>
      </c>
    </row>
    <row r="1189" spans="12:15" x14ac:dyDescent="0.25">
      <c r="L1189">
        <f t="shared" si="72"/>
        <v>0</v>
      </c>
      <c r="M1189">
        <f t="shared" si="73"/>
        <v>1</v>
      </c>
      <c r="N1189">
        <f t="shared" si="74"/>
        <v>0</v>
      </c>
      <c r="O1189" t="str">
        <f t="shared" si="75"/>
        <v>Proposta Ok</v>
      </c>
    </row>
    <row r="1190" spans="12:15" x14ac:dyDescent="0.25">
      <c r="L1190">
        <f t="shared" si="72"/>
        <v>0</v>
      </c>
      <c r="M1190">
        <f t="shared" si="73"/>
        <v>1</v>
      </c>
      <c r="N1190">
        <f t="shared" si="74"/>
        <v>0</v>
      </c>
      <c r="O1190" t="str">
        <f t="shared" si="75"/>
        <v>Proposta Ok</v>
      </c>
    </row>
    <row r="1191" spans="12:15" x14ac:dyDescent="0.25">
      <c r="L1191">
        <f t="shared" si="72"/>
        <v>0</v>
      </c>
      <c r="M1191">
        <f t="shared" si="73"/>
        <v>1</v>
      </c>
      <c r="N1191">
        <f t="shared" si="74"/>
        <v>0</v>
      </c>
      <c r="O1191" t="str">
        <f t="shared" si="75"/>
        <v>Proposta Ok</v>
      </c>
    </row>
    <row r="1192" spans="12:15" x14ac:dyDescent="0.25">
      <c r="L1192">
        <f t="shared" si="72"/>
        <v>0</v>
      </c>
      <c r="M1192">
        <f t="shared" si="73"/>
        <v>1</v>
      </c>
      <c r="N1192">
        <f t="shared" si="74"/>
        <v>0</v>
      </c>
      <c r="O1192" t="str">
        <f t="shared" si="75"/>
        <v>Proposta Ok</v>
      </c>
    </row>
    <row r="1193" spans="12:15" x14ac:dyDescent="0.25">
      <c r="L1193">
        <f t="shared" si="72"/>
        <v>0</v>
      </c>
      <c r="M1193">
        <f t="shared" si="73"/>
        <v>1</v>
      </c>
      <c r="N1193">
        <f t="shared" si="74"/>
        <v>0</v>
      </c>
      <c r="O1193" t="str">
        <f t="shared" si="75"/>
        <v>Proposta Ok</v>
      </c>
    </row>
    <row r="1194" spans="12:15" x14ac:dyDescent="0.25">
      <c r="L1194">
        <f t="shared" si="72"/>
        <v>0</v>
      </c>
      <c r="M1194">
        <f t="shared" si="73"/>
        <v>1</v>
      </c>
      <c r="N1194">
        <f t="shared" si="74"/>
        <v>0</v>
      </c>
      <c r="O1194" t="str">
        <f t="shared" si="75"/>
        <v>Proposta Ok</v>
      </c>
    </row>
    <row r="1195" spans="12:15" x14ac:dyDescent="0.25">
      <c r="L1195">
        <f t="shared" si="72"/>
        <v>0</v>
      </c>
      <c r="M1195">
        <f t="shared" si="73"/>
        <v>1</v>
      </c>
      <c r="N1195">
        <f t="shared" si="74"/>
        <v>0</v>
      </c>
      <c r="O1195" t="str">
        <f t="shared" si="75"/>
        <v>Proposta Ok</v>
      </c>
    </row>
    <row r="1196" spans="12:15" x14ac:dyDescent="0.25">
      <c r="L1196">
        <f t="shared" si="72"/>
        <v>0</v>
      </c>
      <c r="M1196">
        <f t="shared" si="73"/>
        <v>1</v>
      </c>
      <c r="N1196">
        <f t="shared" si="74"/>
        <v>0</v>
      </c>
      <c r="O1196" t="str">
        <f t="shared" si="75"/>
        <v>Proposta Ok</v>
      </c>
    </row>
    <row r="1197" spans="12:15" x14ac:dyDescent="0.25">
      <c r="L1197">
        <f t="shared" si="72"/>
        <v>0</v>
      </c>
      <c r="M1197">
        <f t="shared" si="73"/>
        <v>1</v>
      </c>
      <c r="N1197">
        <f t="shared" si="74"/>
        <v>0</v>
      </c>
      <c r="O1197" t="str">
        <f t="shared" si="75"/>
        <v>Proposta Ok</v>
      </c>
    </row>
    <row r="1198" spans="12:15" x14ac:dyDescent="0.25">
      <c r="L1198">
        <f t="shared" si="72"/>
        <v>0</v>
      </c>
      <c r="M1198">
        <f t="shared" si="73"/>
        <v>1</v>
      </c>
      <c r="N1198">
        <f t="shared" si="74"/>
        <v>0</v>
      </c>
      <c r="O1198" t="str">
        <f t="shared" si="75"/>
        <v>Proposta Ok</v>
      </c>
    </row>
    <row r="1199" spans="12:15" x14ac:dyDescent="0.25">
      <c r="L1199">
        <f t="shared" si="72"/>
        <v>0</v>
      </c>
      <c r="M1199">
        <f t="shared" si="73"/>
        <v>1</v>
      </c>
      <c r="N1199">
        <f t="shared" si="74"/>
        <v>0</v>
      </c>
      <c r="O1199" t="str">
        <f t="shared" si="75"/>
        <v>Proposta Ok</v>
      </c>
    </row>
    <row r="1200" spans="12:15" x14ac:dyDescent="0.25">
      <c r="L1200">
        <f t="shared" si="72"/>
        <v>0</v>
      </c>
      <c r="M1200">
        <f t="shared" si="73"/>
        <v>1</v>
      </c>
      <c r="N1200">
        <f t="shared" si="74"/>
        <v>0</v>
      </c>
      <c r="O1200" t="str">
        <f t="shared" si="75"/>
        <v>Proposta Ok</v>
      </c>
    </row>
    <row r="1201" spans="12:15" x14ac:dyDescent="0.25">
      <c r="L1201">
        <f t="shared" si="72"/>
        <v>0</v>
      </c>
      <c r="M1201">
        <f t="shared" si="73"/>
        <v>1</v>
      </c>
      <c r="N1201">
        <f t="shared" si="74"/>
        <v>0</v>
      </c>
      <c r="O1201" t="str">
        <f t="shared" si="75"/>
        <v>Proposta Ok</v>
      </c>
    </row>
    <row r="1202" spans="12:15" x14ac:dyDescent="0.25">
      <c r="L1202">
        <f t="shared" si="72"/>
        <v>0</v>
      </c>
      <c r="M1202">
        <f t="shared" si="73"/>
        <v>1</v>
      </c>
      <c r="N1202">
        <f t="shared" si="74"/>
        <v>0</v>
      </c>
      <c r="O1202" t="str">
        <f t="shared" si="75"/>
        <v>Proposta Ok</v>
      </c>
    </row>
    <row r="1203" spans="12:15" x14ac:dyDescent="0.25">
      <c r="L1203">
        <f t="shared" si="72"/>
        <v>0</v>
      </c>
      <c r="M1203">
        <f t="shared" si="73"/>
        <v>1</v>
      </c>
      <c r="N1203">
        <f t="shared" si="74"/>
        <v>0</v>
      </c>
      <c r="O1203" t="str">
        <f t="shared" si="75"/>
        <v>Proposta Ok</v>
      </c>
    </row>
    <row r="1204" spans="12:15" x14ac:dyDescent="0.25">
      <c r="L1204">
        <f t="shared" si="72"/>
        <v>0</v>
      </c>
      <c r="M1204">
        <f t="shared" si="73"/>
        <v>1</v>
      </c>
      <c r="N1204">
        <f t="shared" si="74"/>
        <v>0</v>
      </c>
      <c r="O1204" t="str">
        <f t="shared" si="75"/>
        <v>Proposta Ok</v>
      </c>
    </row>
    <row r="1205" spans="12:15" x14ac:dyDescent="0.25">
      <c r="L1205">
        <f t="shared" si="72"/>
        <v>0</v>
      </c>
      <c r="M1205">
        <f t="shared" si="73"/>
        <v>1</v>
      </c>
      <c r="N1205">
        <f t="shared" si="74"/>
        <v>0</v>
      </c>
      <c r="O1205" t="str">
        <f t="shared" si="75"/>
        <v>Proposta Ok</v>
      </c>
    </row>
    <row r="1206" spans="12:15" x14ac:dyDescent="0.25">
      <c r="L1206">
        <f t="shared" si="72"/>
        <v>0</v>
      </c>
      <c r="M1206">
        <f t="shared" si="73"/>
        <v>1</v>
      </c>
      <c r="N1206">
        <f t="shared" si="74"/>
        <v>0</v>
      </c>
      <c r="O1206" t="str">
        <f t="shared" si="75"/>
        <v>Proposta Ok</v>
      </c>
    </row>
    <row r="1207" spans="12:15" x14ac:dyDescent="0.25">
      <c r="L1207">
        <f t="shared" si="72"/>
        <v>0</v>
      </c>
      <c r="M1207">
        <f t="shared" si="73"/>
        <v>1</v>
      </c>
      <c r="N1207">
        <f t="shared" si="74"/>
        <v>0</v>
      </c>
      <c r="O1207" t="str">
        <f t="shared" si="75"/>
        <v>Proposta Ok</v>
      </c>
    </row>
    <row r="1208" spans="12:15" x14ac:dyDescent="0.25">
      <c r="L1208">
        <f t="shared" si="72"/>
        <v>0</v>
      </c>
      <c r="M1208">
        <f t="shared" si="73"/>
        <v>1</v>
      </c>
      <c r="N1208">
        <f t="shared" si="74"/>
        <v>0</v>
      </c>
      <c r="O1208" t="str">
        <f t="shared" si="75"/>
        <v>Proposta Ok</v>
      </c>
    </row>
    <row r="1209" spans="12:15" x14ac:dyDescent="0.25">
      <c r="L1209">
        <f t="shared" si="72"/>
        <v>0</v>
      </c>
      <c r="M1209">
        <f t="shared" si="73"/>
        <v>1</v>
      </c>
      <c r="N1209">
        <f t="shared" si="74"/>
        <v>0</v>
      </c>
      <c r="O1209" t="str">
        <f t="shared" si="75"/>
        <v>Proposta Ok</v>
      </c>
    </row>
    <row r="1210" spans="12:15" x14ac:dyDescent="0.25">
      <c r="L1210">
        <f t="shared" si="72"/>
        <v>0</v>
      </c>
      <c r="M1210">
        <f t="shared" si="73"/>
        <v>1</v>
      </c>
      <c r="N1210">
        <f t="shared" si="74"/>
        <v>0</v>
      </c>
      <c r="O1210" t="str">
        <f t="shared" si="75"/>
        <v>Proposta Ok</v>
      </c>
    </row>
    <row r="1211" spans="12:15" x14ac:dyDescent="0.25">
      <c r="L1211">
        <f t="shared" si="72"/>
        <v>0</v>
      </c>
      <c r="M1211">
        <f t="shared" si="73"/>
        <v>1</v>
      </c>
      <c r="N1211">
        <f t="shared" si="74"/>
        <v>0</v>
      </c>
      <c r="O1211" t="str">
        <f t="shared" si="75"/>
        <v>Proposta Ok</v>
      </c>
    </row>
    <row r="1212" spans="12:15" x14ac:dyDescent="0.25">
      <c r="L1212">
        <f t="shared" si="72"/>
        <v>0</v>
      </c>
      <c r="M1212">
        <f t="shared" si="73"/>
        <v>1</v>
      </c>
      <c r="N1212">
        <f t="shared" si="74"/>
        <v>0</v>
      </c>
      <c r="O1212" t="str">
        <f t="shared" si="75"/>
        <v>Proposta Ok</v>
      </c>
    </row>
    <row r="1213" spans="12:15" x14ac:dyDescent="0.25">
      <c r="L1213">
        <f t="shared" si="72"/>
        <v>0</v>
      </c>
      <c r="M1213">
        <f t="shared" si="73"/>
        <v>1</v>
      </c>
      <c r="N1213">
        <f t="shared" si="74"/>
        <v>0</v>
      </c>
      <c r="O1213" t="str">
        <f t="shared" si="75"/>
        <v>Proposta Ok</v>
      </c>
    </row>
    <row r="1214" spans="12:15" x14ac:dyDescent="0.25">
      <c r="L1214">
        <f t="shared" ref="L1214:L1277" si="76">IF(OR(I1214="Termo OK (Exceção)",I1214="Termo OK"),1,0)</f>
        <v>0</v>
      </c>
      <c r="M1214">
        <f t="shared" ref="M1214:M1277" si="77">IF(OR(I1214="Termo OK (Exceção)",I1214="Termo OK"),0,1)</f>
        <v>1</v>
      </c>
      <c r="N1214">
        <f t="shared" ref="N1214:N1277" si="78">IF(J1214="SIM",1,0)</f>
        <v>0</v>
      </c>
      <c r="O1214" t="str">
        <f t="shared" si="75"/>
        <v>Proposta Ok</v>
      </c>
    </row>
    <row r="1215" spans="12:15" x14ac:dyDescent="0.25">
      <c r="L1215">
        <f t="shared" si="76"/>
        <v>0</v>
      </c>
      <c r="M1215">
        <f t="shared" si="77"/>
        <v>1</v>
      </c>
      <c r="N1215">
        <f t="shared" si="78"/>
        <v>0</v>
      </c>
      <c r="O1215" t="str">
        <f t="shared" si="75"/>
        <v>Proposta Ok</v>
      </c>
    </row>
    <row r="1216" spans="12:15" x14ac:dyDescent="0.25">
      <c r="L1216">
        <f t="shared" si="76"/>
        <v>0</v>
      </c>
      <c r="M1216">
        <f t="shared" si="77"/>
        <v>1</v>
      </c>
      <c r="N1216">
        <f t="shared" si="78"/>
        <v>0</v>
      </c>
      <c r="O1216" t="str">
        <f t="shared" si="75"/>
        <v>Proposta Ok</v>
      </c>
    </row>
    <row r="1217" spans="12:15" x14ac:dyDescent="0.25">
      <c r="L1217">
        <f t="shared" si="76"/>
        <v>0</v>
      </c>
      <c r="M1217">
        <f t="shared" si="77"/>
        <v>1</v>
      </c>
      <c r="N1217">
        <f t="shared" si="78"/>
        <v>0</v>
      </c>
      <c r="O1217" t="str">
        <f t="shared" si="75"/>
        <v>Proposta Ok</v>
      </c>
    </row>
    <row r="1218" spans="12:15" x14ac:dyDescent="0.25">
      <c r="L1218">
        <f t="shared" si="76"/>
        <v>0</v>
      </c>
      <c r="M1218">
        <f t="shared" si="77"/>
        <v>1</v>
      </c>
      <c r="N1218">
        <f t="shared" si="78"/>
        <v>0</v>
      </c>
      <c r="O1218" t="str">
        <f t="shared" si="75"/>
        <v>Proposta Ok</v>
      </c>
    </row>
    <row r="1219" spans="12:15" x14ac:dyDescent="0.25">
      <c r="L1219">
        <f t="shared" si="76"/>
        <v>0</v>
      </c>
      <c r="M1219">
        <f t="shared" si="77"/>
        <v>1</v>
      </c>
      <c r="N1219">
        <f t="shared" si="78"/>
        <v>0</v>
      </c>
      <c r="O1219" t="str">
        <f t="shared" ref="O1219:O1282" si="79">IF(SUMIFS(M:M,A:A,A1219)&gt;0,"Proposta não Ok","Proposta Ok")</f>
        <v>Proposta Ok</v>
      </c>
    </row>
    <row r="1220" spans="12:15" x14ac:dyDescent="0.25">
      <c r="L1220">
        <f t="shared" si="76"/>
        <v>0</v>
      </c>
      <c r="M1220">
        <f t="shared" si="77"/>
        <v>1</v>
      </c>
      <c r="N1220">
        <f t="shared" si="78"/>
        <v>0</v>
      </c>
      <c r="O1220" t="str">
        <f t="shared" si="79"/>
        <v>Proposta Ok</v>
      </c>
    </row>
    <row r="1221" spans="12:15" x14ac:dyDescent="0.25">
      <c r="L1221">
        <f t="shared" si="76"/>
        <v>0</v>
      </c>
      <c r="M1221">
        <f t="shared" si="77"/>
        <v>1</v>
      </c>
      <c r="N1221">
        <f t="shared" si="78"/>
        <v>0</v>
      </c>
      <c r="O1221" t="str">
        <f t="shared" si="79"/>
        <v>Proposta Ok</v>
      </c>
    </row>
    <row r="1222" spans="12:15" x14ac:dyDescent="0.25">
      <c r="L1222">
        <f t="shared" si="76"/>
        <v>0</v>
      </c>
      <c r="M1222">
        <f t="shared" si="77"/>
        <v>1</v>
      </c>
      <c r="N1222">
        <f t="shared" si="78"/>
        <v>0</v>
      </c>
      <c r="O1222" t="str">
        <f t="shared" si="79"/>
        <v>Proposta Ok</v>
      </c>
    </row>
    <row r="1223" spans="12:15" x14ac:dyDescent="0.25">
      <c r="L1223">
        <f t="shared" si="76"/>
        <v>0</v>
      </c>
      <c r="M1223">
        <f t="shared" si="77"/>
        <v>1</v>
      </c>
      <c r="N1223">
        <f t="shared" si="78"/>
        <v>0</v>
      </c>
      <c r="O1223" t="str">
        <f t="shared" si="79"/>
        <v>Proposta Ok</v>
      </c>
    </row>
    <row r="1224" spans="12:15" x14ac:dyDescent="0.25">
      <c r="L1224">
        <f t="shared" si="76"/>
        <v>0</v>
      </c>
      <c r="M1224">
        <f t="shared" si="77"/>
        <v>1</v>
      </c>
      <c r="N1224">
        <f t="shared" si="78"/>
        <v>0</v>
      </c>
      <c r="O1224" t="str">
        <f t="shared" si="79"/>
        <v>Proposta Ok</v>
      </c>
    </row>
    <row r="1225" spans="12:15" x14ac:dyDescent="0.25">
      <c r="L1225">
        <f t="shared" si="76"/>
        <v>0</v>
      </c>
      <c r="M1225">
        <f t="shared" si="77"/>
        <v>1</v>
      </c>
      <c r="N1225">
        <f t="shared" si="78"/>
        <v>0</v>
      </c>
      <c r="O1225" t="str">
        <f t="shared" si="79"/>
        <v>Proposta Ok</v>
      </c>
    </row>
    <row r="1226" spans="12:15" x14ac:dyDescent="0.25">
      <c r="L1226">
        <f t="shared" si="76"/>
        <v>0</v>
      </c>
      <c r="M1226">
        <f t="shared" si="77"/>
        <v>1</v>
      </c>
      <c r="N1226">
        <f t="shared" si="78"/>
        <v>0</v>
      </c>
      <c r="O1226" t="str">
        <f t="shared" si="79"/>
        <v>Proposta Ok</v>
      </c>
    </row>
    <row r="1227" spans="12:15" x14ac:dyDescent="0.25">
      <c r="L1227">
        <f t="shared" si="76"/>
        <v>0</v>
      </c>
      <c r="M1227">
        <f t="shared" si="77"/>
        <v>1</v>
      </c>
      <c r="N1227">
        <f t="shared" si="78"/>
        <v>0</v>
      </c>
      <c r="O1227" t="str">
        <f t="shared" si="79"/>
        <v>Proposta Ok</v>
      </c>
    </row>
    <row r="1228" spans="12:15" x14ac:dyDescent="0.25">
      <c r="L1228">
        <f t="shared" si="76"/>
        <v>0</v>
      </c>
      <c r="M1228">
        <f t="shared" si="77"/>
        <v>1</v>
      </c>
      <c r="N1228">
        <f t="shared" si="78"/>
        <v>0</v>
      </c>
      <c r="O1228" t="str">
        <f t="shared" si="79"/>
        <v>Proposta Ok</v>
      </c>
    </row>
    <row r="1229" spans="12:15" x14ac:dyDescent="0.25">
      <c r="L1229">
        <f t="shared" si="76"/>
        <v>0</v>
      </c>
      <c r="M1229">
        <f t="shared" si="77"/>
        <v>1</v>
      </c>
      <c r="N1229">
        <f t="shared" si="78"/>
        <v>0</v>
      </c>
      <c r="O1229" t="str">
        <f t="shared" si="79"/>
        <v>Proposta Ok</v>
      </c>
    </row>
    <row r="1230" spans="12:15" x14ac:dyDescent="0.25">
      <c r="L1230">
        <f t="shared" si="76"/>
        <v>0</v>
      </c>
      <c r="M1230">
        <f t="shared" si="77"/>
        <v>1</v>
      </c>
      <c r="N1230">
        <f t="shared" si="78"/>
        <v>0</v>
      </c>
      <c r="O1230" t="str">
        <f t="shared" si="79"/>
        <v>Proposta Ok</v>
      </c>
    </row>
    <row r="1231" spans="12:15" x14ac:dyDescent="0.25">
      <c r="L1231">
        <f t="shared" si="76"/>
        <v>0</v>
      </c>
      <c r="M1231">
        <f t="shared" si="77"/>
        <v>1</v>
      </c>
      <c r="N1231">
        <f t="shared" si="78"/>
        <v>0</v>
      </c>
      <c r="O1231" t="str">
        <f t="shared" si="79"/>
        <v>Proposta Ok</v>
      </c>
    </row>
    <row r="1232" spans="12:15" x14ac:dyDescent="0.25">
      <c r="L1232">
        <f t="shared" si="76"/>
        <v>0</v>
      </c>
      <c r="M1232">
        <f t="shared" si="77"/>
        <v>1</v>
      </c>
      <c r="N1232">
        <f t="shared" si="78"/>
        <v>0</v>
      </c>
      <c r="O1232" t="str">
        <f t="shared" si="79"/>
        <v>Proposta Ok</v>
      </c>
    </row>
    <row r="1233" spans="12:15" x14ac:dyDescent="0.25">
      <c r="L1233">
        <f t="shared" si="76"/>
        <v>0</v>
      </c>
      <c r="M1233">
        <f t="shared" si="77"/>
        <v>1</v>
      </c>
      <c r="N1233">
        <f t="shared" si="78"/>
        <v>0</v>
      </c>
      <c r="O1233" t="str">
        <f t="shared" si="79"/>
        <v>Proposta Ok</v>
      </c>
    </row>
    <row r="1234" spans="12:15" x14ac:dyDescent="0.25">
      <c r="L1234">
        <f t="shared" si="76"/>
        <v>0</v>
      </c>
      <c r="M1234">
        <f t="shared" si="77"/>
        <v>1</v>
      </c>
      <c r="N1234">
        <f t="shared" si="78"/>
        <v>0</v>
      </c>
      <c r="O1234" t="str">
        <f t="shared" si="79"/>
        <v>Proposta Ok</v>
      </c>
    </row>
    <row r="1235" spans="12:15" x14ac:dyDescent="0.25">
      <c r="L1235">
        <f t="shared" si="76"/>
        <v>0</v>
      </c>
      <c r="M1235">
        <f t="shared" si="77"/>
        <v>1</v>
      </c>
      <c r="N1235">
        <f t="shared" si="78"/>
        <v>0</v>
      </c>
      <c r="O1235" t="str">
        <f t="shared" si="79"/>
        <v>Proposta Ok</v>
      </c>
    </row>
    <row r="1236" spans="12:15" x14ac:dyDescent="0.25">
      <c r="L1236">
        <f t="shared" si="76"/>
        <v>0</v>
      </c>
      <c r="M1236">
        <f t="shared" si="77"/>
        <v>1</v>
      </c>
      <c r="N1236">
        <f t="shared" si="78"/>
        <v>0</v>
      </c>
      <c r="O1236" t="str">
        <f t="shared" si="79"/>
        <v>Proposta Ok</v>
      </c>
    </row>
    <row r="1237" spans="12:15" x14ac:dyDescent="0.25">
      <c r="L1237">
        <f t="shared" si="76"/>
        <v>0</v>
      </c>
      <c r="M1237">
        <f t="shared" si="77"/>
        <v>1</v>
      </c>
      <c r="N1237">
        <f t="shared" si="78"/>
        <v>0</v>
      </c>
      <c r="O1237" t="str">
        <f t="shared" si="79"/>
        <v>Proposta Ok</v>
      </c>
    </row>
    <row r="1238" spans="12:15" x14ac:dyDescent="0.25">
      <c r="L1238">
        <f t="shared" si="76"/>
        <v>0</v>
      </c>
      <c r="M1238">
        <f t="shared" si="77"/>
        <v>1</v>
      </c>
      <c r="N1238">
        <f t="shared" si="78"/>
        <v>0</v>
      </c>
      <c r="O1238" t="str">
        <f t="shared" si="79"/>
        <v>Proposta Ok</v>
      </c>
    </row>
    <row r="1239" spans="12:15" x14ac:dyDescent="0.25">
      <c r="L1239">
        <f t="shared" si="76"/>
        <v>0</v>
      </c>
      <c r="M1239">
        <f t="shared" si="77"/>
        <v>1</v>
      </c>
      <c r="N1239">
        <f t="shared" si="78"/>
        <v>0</v>
      </c>
      <c r="O1239" t="str">
        <f t="shared" si="79"/>
        <v>Proposta Ok</v>
      </c>
    </row>
    <row r="1240" spans="12:15" x14ac:dyDescent="0.25">
      <c r="L1240">
        <f t="shared" si="76"/>
        <v>0</v>
      </c>
      <c r="M1240">
        <f t="shared" si="77"/>
        <v>1</v>
      </c>
      <c r="N1240">
        <f t="shared" si="78"/>
        <v>0</v>
      </c>
      <c r="O1240" t="str">
        <f t="shared" si="79"/>
        <v>Proposta Ok</v>
      </c>
    </row>
    <row r="1241" spans="12:15" x14ac:dyDescent="0.25">
      <c r="L1241">
        <f t="shared" si="76"/>
        <v>0</v>
      </c>
      <c r="M1241">
        <f t="shared" si="77"/>
        <v>1</v>
      </c>
      <c r="N1241">
        <f t="shared" si="78"/>
        <v>0</v>
      </c>
      <c r="O1241" t="str">
        <f t="shared" si="79"/>
        <v>Proposta Ok</v>
      </c>
    </row>
    <row r="1242" spans="12:15" x14ac:dyDescent="0.25">
      <c r="L1242">
        <f t="shared" si="76"/>
        <v>0</v>
      </c>
      <c r="M1242">
        <f t="shared" si="77"/>
        <v>1</v>
      </c>
      <c r="N1242">
        <f t="shared" si="78"/>
        <v>0</v>
      </c>
      <c r="O1242" t="str">
        <f t="shared" si="79"/>
        <v>Proposta Ok</v>
      </c>
    </row>
    <row r="1243" spans="12:15" x14ac:dyDescent="0.25">
      <c r="L1243">
        <f t="shared" si="76"/>
        <v>0</v>
      </c>
      <c r="M1243">
        <f t="shared" si="77"/>
        <v>1</v>
      </c>
      <c r="N1243">
        <f t="shared" si="78"/>
        <v>0</v>
      </c>
      <c r="O1243" t="str">
        <f t="shared" si="79"/>
        <v>Proposta Ok</v>
      </c>
    </row>
    <row r="1244" spans="12:15" x14ac:dyDescent="0.25">
      <c r="L1244">
        <f t="shared" si="76"/>
        <v>0</v>
      </c>
      <c r="M1244">
        <f t="shared" si="77"/>
        <v>1</v>
      </c>
      <c r="N1244">
        <f t="shared" si="78"/>
        <v>0</v>
      </c>
      <c r="O1244" t="str">
        <f t="shared" si="79"/>
        <v>Proposta Ok</v>
      </c>
    </row>
    <row r="1245" spans="12:15" x14ac:dyDescent="0.25">
      <c r="L1245">
        <f t="shared" si="76"/>
        <v>0</v>
      </c>
      <c r="M1245">
        <f t="shared" si="77"/>
        <v>1</v>
      </c>
      <c r="N1245">
        <f t="shared" si="78"/>
        <v>0</v>
      </c>
      <c r="O1245" t="str">
        <f t="shared" si="79"/>
        <v>Proposta Ok</v>
      </c>
    </row>
    <row r="1246" spans="12:15" x14ac:dyDescent="0.25">
      <c r="L1246">
        <f t="shared" si="76"/>
        <v>0</v>
      </c>
      <c r="M1246">
        <f t="shared" si="77"/>
        <v>1</v>
      </c>
      <c r="N1246">
        <f t="shared" si="78"/>
        <v>0</v>
      </c>
      <c r="O1246" t="str">
        <f t="shared" si="79"/>
        <v>Proposta Ok</v>
      </c>
    </row>
    <row r="1247" spans="12:15" x14ac:dyDescent="0.25">
      <c r="L1247">
        <f t="shared" si="76"/>
        <v>0</v>
      </c>
      <c r="M1247">
        <f t="shared" si="77"/>
        <v>1</v>
      </c>
      <c r="N1247">
        <f t="shared" si="78"/>
        <v>0</v>
      </c>
      <c r="O1247" t="str">
        <f t="shared" si="79"/>
        <v>Proposta Ok</v>
      </c>
    </row>
    <row r="1248" spans="12:15" x14ac:dyDescent="0.25">
      <c r="L1248">
        <f t="shared" si="76"/>
        <v>0</v>
      </c>
      <c r="M1248">
        <f t="shared" si="77"/>
        <v>1</v>
      </c>
      <c r="N1248">
        <f t="shared" si="78"/>
        <v>0</v>
      </c>
      <c r="O1248" t="str">
        <f t="shared" si="79"/>
        <v>Proposta Ok</v>
      </c>
    </row>
    <row r="1249" spans="12:15" x14ac:dyDescent="0.25">
      <c r="L1249">
        <f t="shared" si="76"/>
        <v>0</v>
      </c>
      <c r="M1249">
        <f t="shared" si="77"/>
        <v>1</v>
      </c>
      <c r="N1249">
        <f t="shared" si="78"/>
        <v>0</v>
      </c>
      <c r="O1249" t="str">
        <f t="shared" si="79"/>
        <v>Proposta Ok</v>
      </c>
    </row>
    <row r="1250" spans="12:15" x14ac:dyDescent="0.25">
      <c r="L1250">
        <f t="shared" si="76"/>
        <v>0</v>
      </c>
      <c r="M1250">
        <f t="shared" si="77"/>
        <v>1</v>
      </c>
      <c r="N1250">
        <f t="shared" si="78"/>
        <v>0</v>
      </c>
      <c r="O1250" t="str">
        <f t="shared" si="79"/>
        <v>Proposta Ok</v>
      </c>
    </row>
    <row r="1251" spans="12:15" x14ac:dyDescent="0.25">
      <c r="L1251">
        <f t="shared" si="76"/>
        <v>0</v>
      </c>
      <c r="M1251">
        <f t="shared" si="77"/>
        <v>1</v>
      </c>
      <c r="N1251">
        <f t="shared" si="78"/>
        <v>0</v>
      </c>
      <c r="O1251" t="str">
        <f t="shared" si="79"/>
        <v>Proposta Ok</v>
      </c>
    </row>
    <row r="1252" spans="12:15" x14ac:dyDescent="0.25">
      <c r="L1252">
        <f t="shared" si="76"/>
        <v>0</v>
      </c>
      <c r="M1252">
        <f t="shared" si="77"/>
        <v>1</v>
      </c>
      <c r="N1252">
        <f t="shared" si="78"/>
        <v>0</v>
      </c>
      <c r="O1252" t="str">
        <f t="shared" si="79"/>
        <v>Proposta Ok</v>
      </c>
    </row>
    <row r="1253" spans="12:15" x14ac:dyDescent="0.25">
      <c r="L1253">
        <f t="shared" si="76"/>
        <v>0</v>
      </c>
      <c r="M1253">
        <f t="shared" si="77"/>
        <v>1</v>
      </c>
      <c r="N1253">
        <f t="shared" si="78"/>
        <v>0</v>
      </c>
      <c r="O1253" t="str">
        <f t="shared" si="79"/>
        <v>Proposta Ok</v>
      </c>
    </row>
    <row r="1254" spans="12:15" x14ac:dyDescent="0.25">
      <c r="L1254">
        <f t="shared" si="76"/>
        <v>0</v>
      </c>
      <c r="M1254">
        <f t="shared" si="77"/>
        <v>1</v>
      </c>
      <c r="N1254">
        <f t="shared" si="78"/>
        <v>0</v>
      </c>
      <c r="O1254" t="str">
        <f t="shared" si="79"/>
        <v>Proposta Ok</v>
      </c>
    </row>
    <row r="1255" spans="12:15" x14ac:dyDescent="0.25">
      <c r="L1255">
        <f t="shared" si="76"/>
        <v>0</v>
      </c>
      <c r="M1255">
        <f t="shared" si="77"/>
        <v>1</v>
      </c>
      <c r="N1255">
        <f t="shared" si="78"/>
        <v>0</v>
      </c>
      <c r="O1255" t="str">
        <f t="shared" si="79"/>
        <v>Proposta Ok</v>
      </c>
    </row>
    <row r="1256" spans="12:15" x14ac:dyDescent="0.25">
      <c r="L1256">
        <f t="shared" si="76"/>
        <v>0</v>
      </c>
      <c r="M1256">
        <f t="shared" si="77"/>
        <v>1</v>
      </c>
      <c r="N1256">
        <f t="shared" si="78"/>
        <v>0</v>
      </c>
      <c r="O1256" t="str">
        <f t="shared" si="79"/>
        <v>Proposta Ok</v>
      </c>
    </row>
    <row r="1257" spans="12:15" x14ac:dyDescent="0.25">
      <c r="L1257">
        <f t="shared" si="76"/>
        <v>0</v>
      </c>
      <c r="M1257">
        <f t="shared" si="77"/>
        <v>1</v>
      </c>
      <c r="N1257">
        <f t="shared" si="78"/>
        <v>0</v>
      </c>
      <c r="O1257" t="str">
        <f t="shared" si="79"/>
        <v>Proposta Ok</v>
      </c>
    </row>
    <row r="1258" spans="12:15" x14ac:dyDescent="0.25">
      <c r="L1258">
        <f t="shared" si="76"/>
        <v>0</v>
      </c>
      <c r="M1258">
        <f t="shared" si="77"/>
        <v>1</v>
      </c>
      <c r="N1258">
        <f t="shared" si="78"/>
        <v>0</v>
      </c>
      <c r="O1258" t="str">
        <f t="shared" si="79"/>
        <v>Proposta Ok</v>
      </c>
    </row>
    <row r="1259" spans="12:15" x14ac:dyDescent="0.25">
      <c r="L1259">
        <f t="shared" si="76"/>
        <v>0</v>
      </c>
      <c r="M1259">
        <f t="shared" si="77"/>
        <v>1</v>
      </c>
      <c r="N1259">
        <f t="shared" si="78"/>
        <v>0</v>
      </c>
      <c r="O1259" t="str">
        <f t="shared" si="79"/>
        <v>Proposta Ok</v>
      </c>
    </row>
    <row r="1260" spans="12:15" x14ac:dyDescent="0.25">
      <c r="L1260">
        <f t="shared" si="76"/>
        <v>0</v>
      </c>
      <c r="M1260">
        <f t="shared" si="77"/>
        <v>1</v>
      </c>
      <c r="N1260">
        <f t="shared" si="78"/>
        <v>0</v>
      </c>
      <c r="O1260" t="str">
        <f t="shared" si="79"/>
        <v>Proposta Ok</v>
      </c>
    </row>
    <row r="1261" spans="12:15" x14ac:dyDescent="0.25">
      <c r="L1261">
        <f t="shared" si="76"/>
        <v>0</v>
      </c>
      <c r="M1261">
        <f t="shared" si="77"/>
        <v>1</v>
      </c>
      <c r="N1261">
        <f t="shared" si="78"/>
        <v>0</v>
      </c>
      <c r="O1261" t="str">
        <f t="shared" si="79"/>
        <v>Proposta Ok</v>
      </c>
    </row>
    <row r="1262" spans="12:15" x14ac:dyDescent="0.25">
      <c r="L1262">
        <f t="shared" si="76"/>
        <v>0</v>
      </c>
      <c r="M1262">
        <f t="shared" si="77"/>
        <v>1</v>
      </c>
      <c r="N1262">
        <f t="shared" si="78"/>
        <v>0</v>
      </c>
      <c r="O1262" t="str">
        <f t="shared" si="79"/>
        <v>Proposta Ok</v>
      </c>
    </row>
    <row r="1263" spans="12:15" x14ac:dyDescent="0.25">
      <c r="L1263">
        <f t="shared" si="76"/>
        <v>0</v>
      </c>
      <c r="M1263">
        <f t="shared" si="77"/>
        <v>1</v>
      </c>
      <c r="N1263">
        <f t="shared" si="78"/>
        <v>0</v>
      </c>
      <c r="O1263" t="str">
        <f t="shared" si="79"/>
        <v>Proposta Ok</v>
      </c>
    </row>
    <row r="1264" spans="12:15" x14ac:dyDescent="0.25">
      <c r="L1264">
        <f t="shared" si="76"/>
        <v>0</v>
      </c>
      <c r="M1264">
        <f t="shared" si="77"/>
        <v>1</v>
      </c>
      <c r="N1264">
        <f t="shared" si="78"/>
        <v>0</v>
      </c>
      <c r="O1264" t="str">
        <f t="shared" si="79"/>
        <v>Proposta Ok</v>
      </c>
    </row>
    <row r="1265" spans="12:15" x14ac:dyDescent="0.25">
      <c r="L1265">
        <f t="shared" si="76"/>
        <v>0</v>
      </c>
      <c r="M1265">
        <f t="shared" si="77"/>
        <v>1</v>
      </c>
      <c r="N1265">
        <f t="shared" si="78"/>
        <v>0</v>
      </c>
      <c r="O1265" t="str">
        <f t="shared" si="79"/>
        <v>Proposta Ok</v>
      </c>
    </row>
    <row r="1266" spans="12:15" x14ac:dyDescent="0.25">
      <c r="L1266">
        <f t="shared" si="76"/>
        <v>0</v>
      </c>
      <c r="M1266">
        <f t="shared" si="77"/>
        <v>1</v>
      </c>
      <c r="N1266">
        <f t="shared" si="78"/>
        <v>0</v>
      </c>
      <c r="O1266" t="str">
        <f t="shared" si="79"/>
        <v>Proposta Ok</v>
      </c>
    </row>
    <row r="1267" spans="12:15" x14ac:dyDescent="0.25">
      <c r="L1267">
        <f t="shared" si="76"/>
        <v>0</v>
      </c>
      <c r="M1267">
        <f t="shared" si="77"/>
        <v>1</v>
      </c>
      <c r="N1267">
        <f t="shared" si="78"/>
        <v>0</v>
      </c>
      <c r="O1267" t="str">
        <f t="shared" si="79"/>
        <v>Proposta Ok</v>
      </c>
    </row>
    <row r="1268" spans="12:15" x14ac:dyDescent="0.25">
      <c r="L1268">
        <f t="shared" si="76"/>
        <v>0</v>
      </c>
      <c r="M1268">
        <f t="shared" si="77"/>
        <v>1</v>
      </c>
      <c r="N1268">
        <f t="shared" si="78"/>
        <v>0</v>
      </c>
      <c r="O1268" t="str">
        <f t="shared" si="79"/>
        <v>Proposta Ok</v>
      </c>
    </row>
    <row r="1269" spans="12:15" x14ac:dyDescent="0.25">
      <c r="L1269">
        <f t="shared" si="76"/>
        <v>0</v>
      </c>
      <c r="M1269">
        <f t="shared" si="77"/>
        <v>1</v>
      </c>
      <c r="N1269">
        <f t="shared" si="78"/>
        <v>0</v>
      </c>
      <c r="O1269" t="str">
        <f t="shared" si="79"/>
        <v>Proposta Ok</v>
      </c>
    </row>
    <row r="1270" spans="12:15" x14ac:dyDescent="0.25">
      <c r="L1270">
        <f t="shared" si="76"/>
        <v>0</v>
      </c>
      <c r="M1270">
        <f t="shared" si="77"/>
        <v>1</v>
      </c>
      <c r="N1270">
        <f t="shared" si="78"/>
        <v>0</v>
      </c>
      <c r="O1270" t="str">
        <f t="shared" si="79"/>
        <v>Proposta Ok</v>
      </c>
    </row>
    <row r="1271" spans="12:15" x14ac:dyDescent="0.25">
      <c r="L1271">
        <f t="shared" si="76"/>
        <v>0</v>
      </c>
      <c r="M1271">
        <f t="shared" si="77"/>
        <v>1</v>
      </c>
      <c r="N1271">
        <f t="shared" si="78"/>
        <v>0</v>
      </c>
      <c r="O1271" t="str">
        <f t="shared" si="79"/>
        <v>Proposta Ok</v>
      </c>
    </row>
    <row r="1272" spans="12:15" x14ac:dyDescent="0.25">
      <c r="L1272">
        <f t="shared" si="76"/>
        <v>0</v>
      </c>
      <c r="M1272">
        <f t="shared" si="77"/>
        <v>1</v>
      </c>
      <c r="N1272">
        <f t="shared" si="78"/>
        <v>0</v>
      </c>
      <c r="O1272" t="str">
        <f t="shared" si="79"/>
        <v>Proposta Ok</v>
      </c>
    </row>
    <row r="1273" spans="12:15" x14ac:dyDescent="0.25">
      <c r="L1273">
        <f t="shared" si="76"/>
        <v>0</v>
      </c>
      <c r="M1273">
        <f t="shared" si="77"/>
        <v>1</v>
      </c>
      <c r="N1273">
        <f t="shared" si="78"/>
        <v>0</v>
      </c>
      <c r="O1273" t="str">
        <f t="shared" si="79"/>
        <v>Proposta Ok</v>
      </c>
    </row>
    <row r="1274" spans="12:15" x14ac:dyDescent="0.25">
      <c r="L1274">
        <f t="shared" si="76"/>
        <v>0</v>
      </c>
      <c r="M1274">
        <f t="shared" si="77"/>
        <v>1</v>
      </c>
      <c r="N1274">
        <f t="shared" si="78"/>
        <v>0</v>
      </c>
      <c r="O1274" t="str">
        <f t="shared" si="79"/>
        <v>Proposta Ok</v>
      </c>
    </row>
    <row r="1275" spans="12:15" x14ac:dyDescent="0.25">
      <c r="L1275">
        <f t="shared" si="76"/>
        <v>0</v>
      </c>
      <c r="M1275">
        <f t="shared" si="77"/>
        <v>1</v>
      </c>
      <c r="N1275">
        <f t="shared" si="78"/>
        <v>0</v>
      </c>
      <c r="O1275" t="str">
        <f t="shared" si="79"/>
        <v>Proposta Ok</v>
      </c>
    </row>
    <row r="1276" spans="12:15" x14ac:dyDescent="0.25">
      <c r="L1276">
        <f t="shared" si="76"/>
        <v>0</v>
      </c>
      <c r="M1276">
        <f t="shared" si="77"/>
        <v>1</v>
      </c>
      <c r="N1276">
        <f t="shared" si="78"/>
        <v>0</v>
      </c>
      <c r="O1276" t="str">
        <f t="shared" si="79"/>
        <v>Proposta Ok</v>
      </c>
    </row>
    <row r="1277" spans="12:15" x14ac:dyDescent="0.25">
      <c r="L1277">
        <f t="shared" si="76"/>
        <v>0</v>
      </c>
      <c r="M1277">
        <f t="shared" si="77"/>
        <v>1</v>
      </c>
      <c r="N1277">
        <f t="shared" si="78"/>
        <v>0</v>
      </c>
      <c r="O1277" t="str">
        <f t="shared" si="79"/>
        <v>Proposta Ok</v>
      </c>
    </row>
    <row r="1278" spans="12:15" x14ac:dyDescent="0.25">
      <c r="L1278">
        <f t="shared" ref="L1278:L1341" si="80">IF(OR(I1278="Termo OK (Exceção)",I1278="Termo OK"),1,0)</f>
        <v>0</v>
      </c>
      <c r="M1278">
        <f t="shared" ref="M1278:M1341" si="81">IF(OR(I1278="Termo OK (Exceção)",I1278="Termo OK"),0,1)</f>
        <v>1</v>
      </c>
      <c r="N1278">
        <f t="shared" ref="N1278:N1341" si="82">IF(J1278="SIM",1,0)</f>
        <v>0</v>
      </c>
      <c r="O1278" t="str">
        <f t="shared" si="79"/>
        <v>Proposta Ok</v>
      </c>
    </row>
    <row r="1279" spans="12:15" x14ac:dyDescent="0.25">
      <c r="L1279">
        <f t="shared" si="80"/>
        <v>0</v>
      </c>
      <c r="M1279">
        <f t="shared" si="81"/>
        <v>1</v>
      </c>
      <c r="N1279">
        <f t="shared" si="82"/>
        <v>0</v>
      </c>
      <c r="O1279" t="str">
        <f t="shared" si="79"/>
        <v>Proposta Ok</v>
      </c>
    </row>
    <row r="1280" spans="12:15" x14ac:dyDescent="0.25">
      <c r="L1280">
        <f t="shared" si="80"/>
        <v>0</v>
      </c>
      <c r="M1280">
        <f t="shared" si="81"/>
        <v>1</v>
      </c>
      <c r="N1280">
        <f t="shared" si="82"/>
        <v>0</v>
      </c>
      <c r="O1280" t="str">
        <f t="shared" si="79"/>
        <v>Proposta Ok</v>
      </c>
    </row>
    <row r="1281" spans="12:15" x14ac:dyDescent="0.25">
      <c r="L1281">
        <f t="shared" si="80"/>
        <v>0</v>
      </c>
      <c r="M1281">
        <f t="shared" si="81"/>
        <v>1</v>
      </c>
      <c r="N1281">
        <f t="shared" si="82"/>
        <v>0</v>
      </c>
      <c r="O1281" t="str">
        <f t="shared" si="79"/>
        <v>Proposta Ok</v>
      </c>
    </row>
    <row r="1282" spans="12:15" x14ac:dyDescent="0.25">
      <c r="L1282">
        <f t="shared" si="80"/>
        <v>0</v>
      </c>
      <c r="M1282">
        <f t="shared" si="81"/>
        <v>1</v>
      </c>
      <c r="N1282">
        <f t="shared" si="82"/>
        <v>0</v>
      </c>
      <c r="O1282" t="str">
        <f t="shared" si="79"/>
        <v>Proposta Ok</v>
      </c>
    </row>
    <row r="1283" spans="12:15" x14ac:dyDescent="0.25">
      <c r="L1283">
        <f t="shared" si="80"/>
        <v>0</v>
      </c>
      <c r="M1283">
        <f t="shared" si="81"/>
        <v>1</v>
      </c>
      <c r="N1283">
        <f t="shared" si="82"/>
        <v>0</v>
      </c>
      <c r="O1283" t="str">
        <f t="shared" ref="O1283:O1346" si="83">IF(SUMIFS(M:M,A:A,A1283)&gt;0,"Proposta não Ok","Proposta Ok")</f>
        <v>Proposta Ok</v>
      </c>
    </row>
    <row r="1284" spans="12:15" x14ac:dyDescent="0.25">
      <c r="L1284">
        <f t="shared" si="80"/>
        <v>0</v>
      </c>
      <c r="M1284">
        <f t="shared" si="81"/>
        <v>1</v>
      </c>
      <c r="N1284">
        <f t="shared" si="82"/>
        <v>0</v>
      </c>
      <c r="O1284" t="str">
        <f t="shared" si="83"/>
        <v>Proposta Ok</v>
      </c>
    </row>
    <row r="1285" spans="12:15" x14ac:dyDescent="0.25">
      <c r="L1285">
        <f t="shared" si="80"/>
        <v>0</v>
      </c>
      <c r="M1285">
        <f t="shared" si="81"/>
        <v>1</v>
      </c>
      <c r="N1285">
        <f t="shared" si="82"/>
        <v>0</v>
      </c>
      <c r="O1285" t="str">
        <f t="shared" si="83"/>
        <v>Proposta Ok</v>
      </c>
    </row>
    <row r="1286" spans="12:15" x14ac:dyDescent="0.25">
      <c r="L1286">
        <f t="shared" si="80"/>
        <v>0</v>
      </c>
      <c r="M1286">
        <f t="shared" si="81"/>
        <v>1</v>
      </c>
      <c r="N1286">
        <f t="shared" si="82"/>
        <v>0</v>
      </c>
      <c r="O1286" t="str">
        <f t="shared" si="83"/>
        <v>Proposta Ok</v>
      </c>
    </row>
    <row r="1287" spans="12:15" x14ac:dyDescent="0.25">
      <c r="L1287">
        <f t="shared" si="80"/>
        <v>0</v>
      </c>
      <c r="M1287">
        <f t="shared" si="81"/>
        <v>1</v>
      </c>
      <c r="N1287">
        <f t="shared" si="82"/>
        <v>0</v>
      </c>
      <c r="O1287" t="str">
        <f t="shared" si="83"/>
        <v>Proposta Ok</v>
      </c>
    </row>
    <row r="1288" spans="12:15" x14ac:dyDescent="0.25">
      <c r="L1288">
        <f t="shared" si="80"/>
        <v>0</v>
      </c>
      <c r="M1288">
        <f t="shared" si="81"/>
        <v>1</v>
      </c>
      <c r="N1288">
        <f t="shared" si="82"/>
        <v>0</v>
      </c>
      <c r="O1288" t="str">
        <f t="shared" si="83"/>
        <v>Proposta Ok</v>
      </c>
    </row>
    <row r="1289" spans="12:15" x14ac:dyDescent="0.25">
      <c r="L1289">
        <f t="shared" si="80"/>
        <v>0</v>
      </c>
      <c r="M1289">
        <f t="shared" si="81"/>
        <v>1</v>
      </c>
      <c r="N1289">
        <f t="shared" si="82"/>
        <v>0</v>
      </c>
      <c r="O1289" t="str">
        <f t="shared" si="83"/>
        <v>Proposta Ok</v>
      </c>
    </row>
    <row r="1290" spans="12:15" x14ac:dyDescent="0.25">
      <c r="L1290">
        <f t="shared" si="80"/>
        <v>0</v>
      </c>
      <c r="M1290">
        <f t="shared" si="81"/>
        <v>1</v>
      </c>
      <c r="N1290">
        <f t="shared" si="82"/>
        <v>0</v>
      </c>
      <c r="O1290" t="str">
        <f t="shared" si="83"/>
        <v>Proposta Ok</v>
      </c>
    </row>
    <row r="1291" spans="12:15" x14ac:dyDescent="0.25">
      <c r="L1291">
        <f t="shared" si="80"/>
        <v>0</v>
      </c>
      <c r="M1291">
        <f t="shared" si="81"/>
        <v>1</v>
      </c>
      <c r="N1291">
        <f t="shared" si="82"/>
        <v>0</v>
      </c>
      <c r="O1291" t="str">
        <f t="shared" si="83"/>
        <v>Proposta Ok</v>
      </c>
    </row>
    <row r="1292" spans="12:15" x14ac:dyDescent="0.25">
      <c r="L1292">
        <f t="shared" si="80"/>
        <v>0</v>
      </c>
      <c r="M1292">
        <f t="shared" si="81"/>
        <v>1</v>
      </c>
      <c r="N1292">
        <f t="shared" si="82"/>
        <v>0</v>
      </c>
      <c r="O1292" t="str">
        <f t="shared" si="83"/>
        <v>Proposta Ok</v>
      </c>
    </row>
    <row r="1293" spans="12:15" x14ac:dyDescent="0.25">
      <c r="L1293">
        <f t="shared" si="80"/>
        <v>0</v>
      </c>
      <c r="M1293">
        <f t="shared" si="81"/>
        <v>1</v>
      </c>
      <c r="N1293">
        <f t="shared" si="82"/>
        <v>0</v>
      </c>
      <c r="O1293" t="str">
        <f t="shared" si="83"/>
        <v>Proposta Ok</v>
      </c>
    </row>
    <row r="1294" spans="12:15" x14ac:dyDescent="0.25">
      <c r="L1294">
        <f t="shared" si="80"/>
        <v>0</v>
      </c>
      <c r="M1294">
        <f t="shared" si="81"/>
        <v>1</v>
      </c>
      <c r="N1294">
        <f t="shared" si="82"/>
        <v>0</v>
      </c>
      <c r="O1294" t="str">
        <f t="shared" si="83"/>
        <v>Proposta Ok</v>
      </c>
    </row>
    <row r="1295" spans="12:15" x14ac:dyDescent="0.25">
      <c r="L1295">
        <f t="shared" si="80"/>
        <v>0</v>
      </c>
      <c r="M1295">
        <f t="shared" si="81"/>
        <v>1</v>
      </c>
      <c r="N1295">
        <f t="shared" si="82"/>
        <v>0</v>
      </c>
      <c r="O1295" t="str">
        <f t="shared" si="83"/>
        <v>Proposta Ok</v>
      </c>
    </row>
    <row r="1296" spans="12:15" x14ac:dyDescent="0.25">
      <c r="L1296">
        <f t="shared" si="80"/>
        <v>0</v>
      </c>
      <c r="M1296">
        <f t="shared" si="81"/>
        <v>1</v>
      </c>
      <c r="N1296">
        <f t="shared" si="82"/>
        <v>0</v>
      </c>
      <c r="O1296" t="str">
        <f t="shared" si="83"/>
        <v>Proposta Ok</v>
      </c>
    </row>
    <row r="1297" spans="12:15" x14ac:dyDescent="0.25">
      <c r="L1297">
        <f t="shared" si="80"/>
        <v>0</v>
      </c>
      <c r="M1297">
        <f t="shared" si="81"/>
        <v>1</v>
      </c>
      <c r="N1297">
        <f t="shared" si="82"/>
        <v>0</v>
      </c>
      <c r="O1297" t="str">
        <f t="shared" si="83"/>
        <v>Proposta Ok</v>
      </c>
    </row>
    <row r="1298" spans="12:15" x14ac:dyDescent="0.25">
      <c r="L1298">
        <f t="shared" si="80"/>
        <v>0</v>
      </c>
      <c r="M1298">
        <f t="shared" si="81"/>
        <v>1</v>
      </c>
      <c r="N1298">
        <f t="shared" si="82"/>
        <v>0</v>
      </c>
      <c r="O1298" t="str">
        <f t="shared" si="83"/>
        <v>Proposta Ok</v>
      </c>
    </row>
    <row r="1299" spans="12:15" x14ac:dyDescent="0.25">
      <c r="L1299">
        <f t="shared" si="80"/>
        <v>0</v>
      </c>
      <c r="M1299">
        <f t="shared" si="81"/>
        <v>1</v>
      </c>
      <c r="N1299">
        <f t="shared" si="82"/>
        <v>0</v>
      </c>
      <c r="O1299" t="str">
        <f t="shared" si="83"/>
        <v>Proposta Ok</v>
      </c>
    </row>
    <row r="1300" spans="12:15" x14ac:dyDescent="0.25">
      <c r="L1300">
        <f t="shared" si="80"/>
        <v>0</v>
      </c>
      <c r="M1300">
        <f t="shared" si="81"/>
        <v>1</v>
      </c>
      <c r="N1300">
        <f t="shared" si="82"/>
        <v>0</v>
      </c>
      <c r="O1300" t="str">
        <f t="shared" si="83"/>
        <v>Proposta Ok</v>
      </c>
    </row>
    <row r="1301" spans="12:15" x14ac:dyDescent="0.25">
      <c r="L1301">
        <f t="shared" si="80"/>
        <v>0</v>
      </c>
      <c r="M1301">
        <f t="shared" si="81"/>
        <v>1</v>
      </c>
      <c r="N1301">
        <f t="shared" si="82"/>
        <v>0</v>
      </c>
      <c r="O1301" t="str">
        <f t="shared" si="83"/>
        <v>Proposta Ok</v>
      </c>
    </row>
    <row r="1302" spans="12:15" x14ac:dyDescent="0.25">
      <c r="L1302">
        <f t="shared" si="80"/>
        <v>0</v>
      </c>
      <c r="M1302">
        <f t="shared" si="81"/>
        <v>1</v>
      </c>
      <c r="N1302">
        <f t="shared" si="82"/>
        <v>0</v>
      </c>
      <c r="O1302" t="str">
        <f t="shared" si="83"/>
        <v>Proposta Ok</v>
      </c>
    </row>
    <row r="1303" spans="12:15" x14ac:dyDescent="0.25">
      <c r="L1303">
        <f t="shared" si="80"/>
        <v>0</v>
      </c>
      <c r="M1303">
        <f t="shared" si="81"/>
        <v>1</v>
      </c>
      <c r="N1303">
        <f t="shared" si="82"/>
        <v>0</v>
      </c>
      <c r="O1303" t="str">
        <f t="shared" si="83"/>
        <v>Proposta Ok</v>
      </c>
    </row>
    <row r="1304" spans="12:15" x14ac:dyDescent="0.25">
      <c r="L1304">
        <f t="shared" si="80"/>
        <v>0</v>
      </c>
      <c r="M1304">
        <f t="shared" si="81"/>
        <v>1</v>
      </c>
      <c r="N1304">
        <f t="shared" si="82"/>
        <v>0</v>
      </c>
      <c r="O1304" t="str">
        <f t="shared" si="83"/>
        <v>Proposta Ok</v>
      </c>
    </row>
    <row r="1305" spans="12:15" x14ac:dyDescent="0.25">
      <c r="L1305">
        <f t="shared" si="80"/>
        <v>0</v>
      </c>
      <c r="M1305">
        <f t="shared" si="81"/>
        <v>1</v>
      </c>
      <c r="N1305">
        <f t="shared" si="82"/>
        <v>0</v>
      </c>
      <c r="O1305" t="str">
        <f t="shared" si="83"/>
        <v>Proposta Ok</v>
      </c>
    </row>
    <row r="1306" spans="12:15" x14ac:dyDescent="0.25">
      <c r="L1306">
        <f t="shared" si="80"/>
        <v>0</v>
      </c>
      <c r="M1306">
        <f t="shared" si="81"/>
        <v>1</v>
      </c>
      <c r="N1306">
        <f t="shared" si="82"/>
        <v>0</v>
      </c>
      <c r="O1306" t="str">
        <f t="shared" si="83"/>
        <v>Proposta Ok</v>
      </c>
    </row>
    <row r="1307" spans="12:15" x14ac:dyDescent="0.25">
      <c r="L1307">
        <f t="shared" si="80"/>
        <v>0</v>
      </c>
      <c r="M1307">
        <f t="shared" si="81"/>
        <v>1</v>
      </c>
      <c r="N1307">
        <f t="shared" si="82"/>
        <v>0</v>
      </c>
      <c r="O1307" t="str">
        <f t="shared" si="83"/>
        <v>Proposta Ok</v>
      </c>
    </row>
    <row r="1308" spans="12:15" x14ac:dyDescent="0.25">
      <c r="L1308">
        <f t="shared" si="80"/>
        <v>0</v>
      </c>
      <c r="M1308">
        <f t="shared" si="81"/>
        <v>1</v>
      </c>
      <c r="N1308">
        <f t="shared" si="82"/>
        <v>0</v>
      </c>
      <c r="O1308" t="str">
        <f t="shared" si="83"/>
        <v>Proposta Ok</v>
      </c>
    </row>
    <row r="1309" spans="12:15" x14ac:dyDescent="0.25">
      <c r="L1309">
        <f t="shared" si="80"/>
        <v>0</v>
      </c>
      <c r="M1309">
        <f t="shared" si="81"/>
        <v>1</v>
      </c>
      <c r="N1309">
        <f t="shared" si="82"/>
        <v>0</v>
      </c>
      <c r="O1309" t="str">
        <f t="shared" si="83"/>
        <v>Proposta Ok</v>
      </c>
    </row>
    <row r="1310" spans="12:15" x14ac:dyDescent="0.25">
      <c r="L1310">
        <f t="shared" si="80"/>
        <v>0</v>
      </c>
      <c r="M1310">
        <f t="shared" si="81"/>
        <v>1</v>
      </c>
      <c r="N1310">
        <f t="shared" si="82"/>
        <v>0</v>
      </c>
      <c r="O1310" t="str">
        <f t="shared" si="83"/>
        <v>Proposta Ok</v>
      </c>
    </row>
    <row r="1311" spans="12:15" x14ac:dyDescent="0.25">
      <c r="L1311">
        <f t="shared" si="80"/>
        <v>0</v>
      </c>
      <c r="M1311">
        <f t="shared" si="81"/>
        <v>1</v>
      </c>
      <c r="N1311">
        <f t="shared" si="82"/>
        <v>0</v>
      </c>
      <c r="O1311" t="str">
        <f t="shared" si="83"/>
        <v>Proposta Ok</v>
      </c>
    </row>
    <row r="1312" spans="12:15" x14ac:dyDescent="0.25">
      <c r="L1312">
        <f t="shared" si="80"/>
        <v>0</v>
      </c>
      <c r="M1312">
        <f t="shared" si="81"/>
        <v>1</v>
      </c>
      <c r="N1312">
        <f t="shared" si="82"/>
        <v>0</v>
      </c>
      <c r="O1312" t="str">
        <f t="shared" si="83"/>
        <v>Proposta Ok</v>
      </c>
    </row>
    <row r="1313" spans="12:15" x14ac:dyDescent="0.25">
      <c r="L1313">
        <f t="shared" si="80"/>
        <v>0</v>
      </c>
      <c r="M1313">
        <f t="shared" si="81"/>
        <v>1</v>
      </c>
      <c r="N1313">
        <f t="shared" si="82"/>
        <v>0</v>
      </c>
      <c r="O1313" t="str">
        <f t="shared" si="83"/>
        <v>Proposta Ok</v>
      </c>
    </row>
    <row r="1314" spans="12:15" x14ac:dyDescent="0.25">
      <c r="L1314">
        <f t="shared" si="80"/>
        <v>0</v>
      </c>
      <c r="M1314">
        <f t="shared" si="81"/>
        <v>1</v>
      </c>
      <c r="N1314">
        <f t="shared" si="82"/>
        <v>0</v>
      </c>
      <c r="O1314" t="str">
        <f t="shared" si="83"/>
        <v>Proposta Ok</v>
      </c>
    </row>
    <row r="1315" spans="12:15" x14ac:dyDescent="0.25">
      <c r="L1315">
        <f t="shared" si="80"/>
        <v>0</v>
      </c>
      <c r="M1315">
        <f t="shared" si="81"/>
        <v>1</v>
      </c>
      <c r="N1315">
        <f t="shared" si="82"/>
        <v>0</v>
      </c>
      <c r="O1315" t="str">
        <f t="shared" si="83"/>
        <v>Proposta Ok</v>
      </c>
    </row>
    <row r="1316" spans="12:15" x14ac:dyDescent="0.25">
      <c r="L1316">
        <f t="shared" si="80"/>
        <v>0</v>
      </c>
      <c r="M1316">
        <f t="shared" si="81"/>
        <v>1</v>
      </c>
      <c r="N1316">
        <f t="shared" si="82"/>
        <v>0</v>
      </c>
      <c r="O1316" t="str">
        <f t="shared" si="83"/>
        <v>Proposta Ok</v>
      </c>
    </row>
    <row r="1317" spans="12:15" x14ac:dyDescent="0.25">
      <c r="L1317">
        <f t="shared" si="80"/>
        <v>0</v>
      </c>
      <c r="M1317">
        <f t="shared" si="81"/>
        <v>1</v>
      </c>
      <c r="N1317">
        <f t="shared" si="82"/>
        <v>0</v>
      </c>
      <c r="O1317" t="str">
        <f t="shared" si="83"/>
        <v>Proposta Ok</v>
      </c>
    </row>
    <row r="1318" spans="12:15" x14ac:dyDescent="0.25">
      <c r="L1318">
        <f t="shared" si="80"/>
        <v>0</v>
      </c>
      <c r="M1318">
        <f t="shared" si="81"/>
        <v>1</v>
      </c>
      <c r="N1318">
        <f t="shared" si="82"/>
        <v>0</v>
      </c>
      <c r="O1318" t="str">
        <f t="shared" si="83"/>
        <v>Proposta Ok</v>
      </c>
    </row>
    <row r="1319" spans="12:15" x14ac:dyDescent="0.25">
      <c r="L1319">
        <f t="shared" si="80"/>
        <v>0</v>
      </c>
      <c r="M1319">
        <f t="shared" si="81"/>
        <v>1</v>
      </c>
      <c r="N1319">
        <f t="shared" si="82"/>
        <v>0</v>
      </c>
      <c r="O1319" t="str">
        <f t="shared" si="83"/>
        <v>Proposta Ok</v>
      </c>
    </row>
    <row r="1320" spans="12:15" x14ac:dyDescent="0.25">
      <c r="L1320">
        <f t="shared" si="80"/>
        <v>0</v>
      </c>
      <c r="M1320">
        <f t="shared" si="81"/>
        <v>1</v>
      </c>
      <c r="N1320">
        <f t="shared" si="82"/>
        <v>0</v>
      </c>
      <c r="O1320" t="str">
        <f t="shared" si="83"/>
        <v>Proposta Ok</v>
      </c>
    </row>
    <row r="1321" spans="12:15" x14ac:dyDescent="0.25">
      <c r="L1321">
        <f t="shared" si="80"/>
        <v>0</v>
      </c>
      <c r="M1321">
        <f t="shared" si="81"/>
        <v>1</v>
      </c>
      <c r="N1321">
        <f t="shared" si="82"/>
        <v>0</v>
      </c>
      <c r="O1321" t="str">
        <f t="shared" si="83"/>
        <v>Proposta Ok</v>
      </c>
    </row>
    <row r="1322" spans="12:15" x14ac:dyDescent="0.25">
      <c r="L1322">
        <f t="shared" si="80"/>
        <v>0</v>
      </c>
      <c r="M1322">
        <f t="shared" si="81"/>
        <v>1</v>
      </c>
      <c r="N1322">
        <f t="shared" si="82"/>
        <v>0</v>
      </c>
      <c r="O1322" t="str">
        <f t="shared" si="83"/>
        <v>Proposta Ok</v>
      </c>
    </row>
    <row r="1323" spans="12:15" x14ac:dyDescent="0.25">
      <c r="L1323">
        <f t="shared" si="80"/>
        <v>0</v>
      </c>
      <c r="M1323">
        <f t="shared" si="81"/>
        <v>1</v>
      </c>
      <c r="N1323">
        <f t="shared" si="82"/>
        <v>0</v>
      </c>
      <c r="O1323" t="str">
        <f t="shared" si="83"/>
        <v>Proposta Ok</v>
      </c>
    </row>
    <row r="1324" spans="12:15" x14ac:dyDescent="0.25">
      <c r="L1324">
        <f t="shared" si="80"/>
        <v>0</v>
      </c>
      <c r="M1324">
        <f t="shared" si="81"/>
        <v>1</v>
      </c>
      <c r="N1324">
        <f t="shared" si="82"/>
        <v>0</v>
      </c>
      <c r="O1324" t="str">
        <f t="shared" si="83"/>
        <v>Proposta Ok</v>
      </c>
    </row>
    <row r="1325" spans="12:15" x14ac:dyDescent="0.25">
      <c r="L1325">
        <f t="shared" si="80"/>
        <v>0</v>
      </c>
      <c r="M1325">
        <f t="shared" si="81"/>
        <v>1</v>
      </c>
      <c r="N1325">
        <f t="shared" si="82"/>
        <v>0</v>
      </c>
      <c r="O1325" t="str">
        <f t="shared" si="83"/>
        <v>Proposta Ok</v>
      </c>
    </row>
    <row r="1326" spans="12:15" x14ac:dyDescent="0.25">
      <c r="L1326">
        <f t="shared" si="80"/>
        <v>0</v>
      </c>
      <c r="M1326">
        <f t="shared" si="81"/>
        <v>1</v>
      </c>
      <c r="N1326">
        <f t="shared" si="82"/>
        <v>0</v>
      </c>
      <c r="O1326" t="str">
        <f t="shared" si="83"/>
        <v>Proposta Ok</v>
      </c>
    </row>
    <row r="1327" spans="12:15" x14ac:dyDescent="0.25">
      <c r="L1327">
        <f t="shared" si="80"/>
        <v>0</v>
      </c>
      <c r="M1327">
        <f t="shared" si="81"/>
        <v>1</v>
      </c>
      <c r="N1327">
        <f t="shared" si="82"/>
        <v>0</v>
      </c>
      <c r="O1327" t="str">
        <f t="shared" si="83"/>
        <v>Proposta Ok</v>
      </c>
    </row>
    <row r="1328" spans="12:15" x14ac:dyDescent="0.25">
      <c r="L1328">
        <f t="shared" si="80"/>
        <v>0</v>
      </c>
      <c r="M1328">
        <f t="shared" si="81"/>
        <v>1</v>
      </c>
      <c r="N1328">
        <f t="shared" si="82"/>
        <v>0</v>
      </c>
      <c r="O1328" t="str">
        <f t="shared" si="83"/>
        <v>Proposta Ok</v>
      </c>
    </row>
    <row r="1329" spans="12:15" x14ac:dyDescent="0.25">
      <c r="L1329">
        <f t="shared" si="80"/>
        <v>0</v>
      </c>
      <c r="M1329">
        <f t="shared" si="81"/>
        <v>1</v>
      </c>
      <c r="N1329">
        <f t="shared" si="82"/>
        <v>0</v>
      </c>
      <c r="O1329" t="str">
        <f t="shared" si="83"/>
        <v>Proposta Ok</v>
      </c>
    </row>
    <row r="1330" spans="12:15" x14ac:dyDescent="0.25">
      <c r="L1330">
        <f t="shared" si="80"/>
        <v>0</v>
      </c>
      <c r="M1330">
        <f t="shared" si="81"/>
        <v>1</v>
      </c>
      <c r="N1330">
        <f t="shared" si="82"/>
        <v>0</v>
      </c>
      <c r="O1330" t="str">
        <f t="shared" si="83"/>
        <v>Proposta Ok</v>
      </c>
    </row>
    <row r="1331" spans="12:15" x14ac:dyDescent="0.25">
      <c r="L1331">
        <f t="shared" si="80"/>
        <v>0</v>
      </c>
      <c r="M1331">
        <f t="shared" si="81"/>
        <v>1</v>
      </c>
      <c r="N1331">
        <f t="shared" si="82"/>
        <v>0</v>
      </c>
      <c r="O1331" t="str">
        <f t="shared" si="83"/>
        <v>Proposta Ok</v>
      </c>
    </row>
    <row r="1332" spans="12:15" x14ac:dyDescent="0.25">
      <c r="L1332">
        <f t="shared" si="80"/>
        <v>0</v>
      </c>
      <c r="M1332">
        <f t="shared" si="81"/>
        <v>1</v>
      </c>
      <c r="N1332">
        <f t="shared" si="82"/>
        <v>0</v>
      </c>
      <c r="O1332" t="str">
        <f t="shared" si="83"/>
        <v>Proposta Ok</v>
      </c>
    </row>
    <row r="1333" spans="12:15" x14ac:dyDescent="0.25">
      <c r="L1333">
        <f t="shared" si="80"/>
        <v>0</v>
      </c>
      <c r="M1333">
        <f t="shared" si="81"/>
        <v>1</v>
      </c>
      <c r="N1333">
        <f t="shared" si="82"/>
        <v>0</v>
      </c>
      <c r="O1333" t="str">
        <f t="shared" si="83"/>
        <v>Proposta Ok</v>
      </c>
    </row>
    <row r="1334" spans="12:15" x14ac:dyDescent="0.25">
      <c r="L1334">
        <f t="shared" si="80"/>
        <v>0</v>
      </c>
      <c r="M1334">
        <f t="shared" si="81"/>
        <v>1</v>
      </c>
      <c r="N1334">
        <f t="shared" si="82"/>
        <v>0</v>
      </c>
      <c r="O1334" t="str">
        <f t="shared" si="83"/>
        <v>Proposta Ok</v>
      </c>
    </row>
    <row r="1335" spans="12:15" x14ac:dyDescent="0.25">
      <c r="L1335">
        <f t="shared" si="80"/>
        <v>0</v>
      </c>
      <c r="M1335">
        <f t="shared" si="81"/>
        <v>1</v>
      </c>
      <c r="N1335">
        <f t="shared" si="82"/>
        <v>0</v>
      </c>
      <c r="O1335" t="str">
        <f t="shared" si="83"/>
        <v>Proposta Ok</v>
      </c>
    </row>
    <row r="1336" spans="12:15" x14ac:dyDescent="0.25">
      <c r="L1336">
        <f t="shared" si="80"/>
        <v>0</v>
      </c>
      <c r="M1336">
        <f t="shared" si="81"/>
        <v>1</v>
      </c>
      <c r="N1336">
        <f t="shared" si="82"/>
        <v>0</v>
      </c>
      <c r="O1336" t="str">
        <f t="shared" si="83"/>
        <v>Proposta Ok</v>
      </c>
    </row>
    <row r="1337" spans="12:15" x14ac:dyDescent="0.25">
      <c r="L1337">
        <f t="shared" si="80"/>
        <v>0</v>
      </c>
      <c r="M1337">
        <f t="shared" si="81"/>
        <v>1</v>
      </c>
      <c r="N1337">
        <f t="shared" si="82"/>
        <v>0</v>
      </c>
      <c r="O1337" t="str">
        <f t="shared" si="83"/>
        <v>Proposta Ok</v>
      </c>
    </row>
    <row r="1338" spans="12:15" x14ac:dyDescent="0.25">
      <c r="L1338">
        <f t="shared" si="80"/>
        <v>0</v>
      </c>
      <c r="M1338">
        <f t="shared" si="81"/>
        <v>1</v>
      </c>
      <c r="N1338">
        <f t="shared" si="82"/>
        <v>0</v>
      </c>
      <c r="O1338" t="str">
        <f t="shared" si="83"/>
        <v>Proposta Ok</v>
      </c>
    </row>
    <row r="1339" spans="12:15" x14ac:dyDescent="0.25">
      <c r="L1339">
        <f t="shared" si="80"/>
        <v>0</v>
      </c>
      <c r="M1339">
        <f t="shared" si="81"/>
        <v>1</v>
      </c>
      <c r="N1339">
        <f t="shared" si="82"/>
        <v>0</v>
      </c>
      <c r="O1339" t="str">
        <f t="shared" si="83"/>
        <v>Proposta Ok</v>
      </c>
    </row>
    <row r="1340" spans="12:15" x14ac:dyDescent="0.25">
      <c r="L1340">
        <f t="shared" si="80"/>
        <v>0</v>
      </c>
      <c r="M1340">
        <f t="shared" si="81"/>
        <v>1</v>
      </c>
      <c r="N1340">
        <f t="shared" si="82"/>
        <v>0</v>
      </c>
      <c r="O1340" t="str">
        <f t="shared" si="83"/>
        <v>Proposta Ok</v>
      </c>
    </row>
    <row r="1341" spans="12:15" x14ac:dyDescent="0.25">
      <c r="L1341">
        <f t="shared" si="80"/>
        <v>0</v>
      </c>
      <c r="M1341">
        <f t="shared" si="81"/>
        <v>1</v>
      </c>
      <c r="N1341">
        <f t="shared" si="82"/>
        <v>0</v>
      </c>
      <c r="O1341" t="str">
        <f t="shared" si="83"/>
        <v>Proposta Ok</v>
      </c>
    </row>
    <row r="1342" spans="12:15" x14ac:dyDescent="0.25">
      <c r="L1342">
        <f t="shared" ref="L1342:L1405" si="84">IF(OR(I1342="Termo OK (Exceção)",I1342="Termo OK"),1,0)</f>
        <v>0</v>
      </c>
      <c r="M1342">
        <f t="shared" ref="M1342:M1405" si="85">IF(OR(I1342="Termo OK (Exceção)",I1342="Termo OK"),0,1)</f>
        <v>1</v>
      </c>
      <c r="N1342">
        <f t="shared" ref="N1342:N1405" si="86">IF(J1342="SIM",1,0)</f>
        <v>0</v>
      </c>
      <c r="O1342" t="str">
        <f t="shared" si="83"/>
        <v>Proposta Ok</v>
      </c>
    </row>
    <row r="1343" spans="12:15" x14ac:dyDescent="0.25">
      <c r="L1343">
        <f t="shared" si="84"/>
        <v>0</v>
      </c>
      <c r="M1343">
        <f t="shared" si="85"/>
        <v>1</v>
      </c>
      <c r="N1343">
        <f t="shared" si="86"/>
        <v>0</v>
      </c>
      <c r="O1343" t="str">
        <f t="shared" si="83"/>
        <v>Proposta Ok</v>
      </c>
    </row>
    <row r="1344" spans="12:15" x14ac:dyDescent="0.25">
      <c r="L1344">
        <f t="shared" si="84"/>
        <v>0</v>
      </c>
      <c r="M1344">
        <f t="shared" si="85"/>
        <v>1</v>
      </c>
      <c r="N1344">
        <f t="shared" si="86"/>
        <v>0</v>
      </c>
      <c r="O1344" t="str">
        <f t="shared" si="83"/>
        <v>Proposta Ok</v>
      </c>
    </row>
    <row r="1345" spans="12:15" x14ac:dyDescent="0.25">
      <c r="L1345">
        <f t="shared" si="84"/>
        <v>0</v>
      </c>
      <c r="M1345">
        <f t="shared" si="85"/>
        <v>1</v>
      </c>
      <c r="N1345">
        <f t="shared" si="86"/>
        <v>0</v>
      </c>
      <c r="O1345" t="str">
        <f t="shared" si="83"/>
        <v>Proposta Ok</v>
      </c>
    </row>
    <row r="1346" spans="12:15" x14ac:dyDescent="0.25">
      <c r="L1346">
        <f t="shared" si="84"/>
        <v>0</v>
      </c>
      <c r="M1346">
        <f t="shared" si="85"/>
        <v>1</v>
      </c>
      <c r="N1346">
        <f t="shared" si="86"/>
        <v>0</v>
      </c>
      <c r="O1346" t="str">
        <f t="shared" si="83"/>
        <v>Proposta Ok</v>
      </c>
    </row>
    <row r="1347" spans="12:15" x14ac:dyDescent="0.25">
      <c r="L1347">
        <f t="shared" si="84"/>
        <v>0</v>
      </c>
      <c r="M1347">
        <f t="shared" si="85"/>
        <v>1</v>
      </c>
      <c r="N1347">
        <f t="shared" si="86"/>
        <v>0</v>
      </c>
      <c r="O1347" t="str">
        <f t="shared" ref="O1347:O1410" si="87">IF(SUMIFS(M:M,A:A,A1347)&gt;0,"Proposta não Ok","Proposta Ok")</f>
        <v>Proposta Ok</v>
      </c>
    </row>
    <row r="1348" spans="12:15" x14ac:dyDescent="0.25">
      <c r="L1348">
        <f t="shared" si="84"/>
        <v>0</v>
      </c>
      <c r="M1348">
        <f t="shared" si="85"/>
        <v>1</v>
      </c>
      <c r="N1348">
        <f t="shared" si="86"/>
        <v>0</v>
      </c>
      <c r="O1348" t="str">
        <f t="shared" si="87"/>
        <v>Proposta Ok</v>
      </c>
    </row>
    <row r="1349" spans="12:15" x14ac:dyDescent="0.25">
      <c r="L1349">
        <f t="shared" si="84"/>
        <v>0</v>
      </c>
      <c r="M1349">
        <f t="shared" si="85"/>
        <v>1</v>
      </c>
      <c r="N1349">
        <f t="shared" si="86"/>
        <v>0</v>
      </c>
      <c r="O1349" t="str">
        <f t="shared" si="87"/>
        <v>Proposta Ok</v>
      </c>
    </row>
    <row r="1350" spans="12:15" x14ac:dyDescent="0.25">
      <c r="L1350">
        <f t="shared" si="84"/>
        <v>0</v>
      </c>
      <c r="M1350">
        <f t="shared" si="85"/>
        <v>1</v>
      </c>
      <c r="N1350">
        <f t="shared" si="86"/>
        <v>0</v>
      </c>
      <c r="O1350" t="str">
        <f t="shared" si="87"/>
        <v>Proposta Ok</v>
      </c>
    </row>
    <row r="1351" spans="12:15" x14ac:dyDescent="0.25">
      <c r="L1351">
        <f t="shared" si="84"/>
        <v>0</v>
      </c>
      <c r="M1351">
        <f t="shared" si="85"/>
        <v>1</v>
      </c>
      <c r="N1351">
        <f t="shared" si="86"/>
        <v>0</v>
      </c>
      <c r="O1351" t="str">
        <f t="shared" si="87"/>
        <v>Proposta Ok</v>
      </c>
    </row>
    <row r="1352" spans="12:15" x14ac:dyDescent="0.25">
      <c r="L1352">
        <f t="shared" si="84"/>
        <v>0</v>
      </c>
      <c r="M1352">
        <f t="shared" si="85"/>
        <v>1</v>
      </c>
      <c r="N1352">
        <f t="shared" si="86"/>
        <v>0</v>
      </c>
      <c r="O1352" t="str">
        <f t="shared" si="87"/>
        <v>Proposta Ok</v>
      </c>
    </row>
    <row r="1353" spans="12:15" x14ac:dyDescent="0.25">
      <c r="L1353">
        <f t="shared" si="84"/>
        <v>0</v>
      </c>
      <c r="M1353">
        <f t="shared" si="85"/>
        <v>1</v>
      </c>
      <c r="N1353">
        <f t="shared" si="86"/>
        <v>0</v>
      </c>
      <c r="O1353" t="str">
        <f t="shared" si="87"/>
        <v>Proposta Ok</v>
      </c>
    </row>
    <row r="1354" spans="12:15" x14ac:dyDescent="0.25">
      <c r="L1354">
        <f t="shared" si="84"/>
        <v>0</v>
      </c>
      <c r="M1354">
        <f t="shared" si="85"/>
        <v>1</v>
      </c>
      <c r="N1354">
        <f t="shared" si="86"/>
        <v>0</v>
      </c>
      <c r="O1354" t="str">
        <f t="shared" si="87"/>
        <v>Proposta Ok</v>
      </c>
    </row>
    <row r="1355" spans="12:15" x14ac:dyDescent="0.25">
      <c r="L1355">
        <f t="shared" si="84"/>
        <v>0</v>
      </c>
      <c r="M1355">
        <f t="shared" si="85"/>
        <v>1</v>
      </c>
      <c r="N1355">
        <f t="shared" si="86"/>
        <v>0</v>
      </c>
      <c r="O1355" t="str">
        <f t="shared" si="87"/>
        <v>Proposta Ok</v>
      </c>
    </row>
    <row r="1356" spans="12:15" x14ac:dyDescent="0.25">
      <c r="L1356">
        <f t="shared" si="84"/>
        <v>0</v>
      </c>
      <c r="M1356">
        <f t="shared" si="85"/>
        <v>1</v>
      </c>
      <c r="N1356">
        <f t="shared" si="86"/>
        <v>0</v>
      </c>
      <c r="O1356" t="str">
        <f t="shared" si="87"/>
        <v>Proposta Ok</v>
      </c>
    </row>
    <row r="1357" spans="12:15" x14ac:dyDescent="0.25">
      <c r="L1357">
        <f t="shared" si="84"/>
        <v>0</v>
      </c>
      <c r="M1357">
        <f t="shared" si="85"/>
        <v>1</v>
      </c>
      <c r="N1357">
        <f t="shared" si="86"/>
        <v>0</v>
      </c>
      <c r="O1357" t="str">
        <f t="shared" si="87"/>
        <v>Proposta Ok</v>
      </c>
    </row>
    <row r="1358" spans="12:15" x14ac:dyDescent="0.25">
      <c r="L1358">
        <f t="shared" si="84"/>
        <v>0</v>
      </c>
      <c r="M1358">
        <f t="shared" si="85"/>
        <v>1</v>
      </c>
      <c r="N1358">
        <f t="shared" si="86"/>
        <v>0</v>
      </c>
      <c r="O1358" t="str">
        <f t="shared" si="87"/>
        <v>Proposta Ok</v>
      </c>
    </row>
    <row r="1359" spans="12:15" x14ac:dyDescent="0.25">
      <c r="L1359">
        <f t="shared" si="84"/>
        <v>0</v>
      </c>
      <c r="M1359">
        <f t="shared" si="85"/>
        <v>1</v>
      </c>
      <c r="N1359">
        <f t="shared" si="86"/>
        <v>0</v>
      </c>
      <c r="O1359" t="str">
        <f t="shared" si="87"/>
        <v>Proposta Ok</v>
      </c>
    </row>
    <row r="1360" spans="12:15" x14ac:dyDescent="0.25">
      <c r="L1360">
        <f t="shared" si="84"/>
        <v>0</v>
      </c>
      <c r="M1360">
        <f t="shared" si="85"/>
        <v>1</v>
      </c>
      <c r="N1360">
        <f t="shared" si="86"/>
        <v>0</v>
      </c>
      <c r="O1360" t="str">
        <f t="shared" si="87"/>
        <v>Proposta Ok</v>
      </c>
    </row>
    <row r="1361" spans="12:15" x14ac:dyDescent="0.25">
      <c r="L1361">
        <f t="shared" si="84"/>
        <v>0</v>
      </c>
      <c r="M1361">
        <f t="shared" si="85"/>
        <v>1</v>
      </c>
      <c r="N1361">
        <f t="shared" si="86"/>
        <v>0</v>
      </c>
      <c r="O1361" t="str">
        <f t="shared" si="87"/>
        <v>Proposta Ok</v>
      </c>
    </row>
    <row r="1362" spans="12:15" x14ac:dyDescent="0.25">
      <c r="L1362">
        <f t="shared" si="84"/>
        <v>0</v>
      </c>
      <c r="M1362">
        <f t="shared" si="85"/>
        <v>1</v>
      </c>
      <c r="N1362">
        <f t="shared" si="86"/>
        <v>0</v>
      </c>
      <c r="O1362" t="str">
        <f t="shared" si="87"/>
        <v>Proposta Ok</v>
      </c>
    </row>
    <row r="1363" spans="12:15" x14ac:dyDescent="0.25">
      <c r="L1363">
        <f t="shared" si="84"/>
        <v>0</v>
      </c>
      <c r="M1363">
        <f t="shared" si="85"/>
        <v>1</v>
      </c>
      <c r="N1363">
        <f t="shared" si="86"/>
        <v>0</v>
      </c>
      <c r="O1363" t="str">
        <f t="shared" si="87"/>
        <v>Proposta Ok</v>
      </c>
    </row>
    <row r="1364" spans="12:15" x14ac:dyDescent="0.25">
      <c r="L1364">
        <f t="shared" si="84"/>
        <v>0</v>
      </c>
      <c r="M1364">
        <f t="shared" si="85"/>
        <v>1</v>
      </c>
      <c r="N1364">
        <f t="shared" si="86"/>
        <v>0</v>
      </c>
      <c r="O1364" t="str">
        <f t="shared" si="87"/>
        <v>Proposta Ok</v>
      </c>
    </row>
    <row r="1365" spans="12:15" x14ac:dyDescent="0.25">
      <c r="L1365">
        <f t="shared" si="84"/>
        <v>0</v>
      </c>
      <c r="M1365">
        <f t="shared" si="85"/>
        <v>1</v>
      </c>
      <c r="N1365">
        <f t="shared" si="86"/>
        <v>0</v>
      </c>
      <c r="O1365" t="str">
        <f t="shared" si="87"/>
        <v>Proposta Ok</v>
      </c>
    </row>
    <row r="1366" spans="12:15" x14ac:dyDescent="0.25">
      <c r="L1366">
        <f t="shared" si="84"/>
        <v>0</v>
      </c>
      <c r="M1366">
        <f t="shared" si="85"/>
        <v>1</v>
      </c>
      <c r="N1366">
        <f t="shared" si="86"/>
        <v>0</v>
      </c>
      <c r="O1366" t="str">
        <f t="shared" si="87"/>
        <v>Proposta Ok</v>
      </c>
    </row>
    <row r="1367" spans="12:15" x14ac:dyDescent="0.25">
      <c r="L1367">
        <f t="shared" si="84"/>
        <v>0</v>
      </c>
      <c r="M1367">
        <f t="shared" si="85"/>
        <v>1</v>
      </c>
      <c r="N1367">
        <f t="shared" si="86"/>
        <v>0</v>
      </c>
      <c r="O1367" t="str">
        <f t="shared" si="87"/>
        <v>Proposta Ok</v>
      </c>
    </row>
    <row r="1368" spans="12:15" x14ac:dyDescent="0.25">
      <c r="L1368">
        <f t="shared" si="84"/>
        <v>0</v>
      </c>
      <c r="M1368">
        <f t="shared" si="85"/>
        <v>1</v>
      </c>
      <c r="N1368">
        <f t="shared" si="86"/>
        <v>0</v>
      </c>
      <c r="O1368" t="str">
        <f t="shared" si="87"/>
        <v>Proposta Ok</v>
      </c>
    </row>
    <row r="1369" spans="12:15" x14ac:dyDescent="0.25">
      <c r="L1369">
        <f t="shared" si="84"/>
        <v>0</v>
      </c>
      <c r="M1369">
        <f t="shared" si="85"/>
        <v>1</v>
      </c>
      <c r="N1369">
        <f t="shared" si="86"/>
        <v>0</v>
      </c>
      <c r="O1369" t="str">
        <f t="shared" si="87"/>
        <v>Proposta Ok</v>
      </c>
    </row>
    <row r="1370" spans="12:15" x14ac:dyDescent="0.25">
      <c r="L1370">
        <f t="shared" si="84"/>
        <v>0</v>
      </c>
      <c r="M1370">
        <f t="shared" si="85"/>
        <v>1</v>
      </c>
      <c r="N1370">
        <f t="shared" si="86"/>
        <v>0</v>
      </c>
      <c r="O1370" t="str">
        <f t="shared" si="87"/>
        <v>Proposta Ok</v>
      </c>
    </row>
    <row r="1371" spans="12:15" x14ac:dyDescent="0.25">
      <c r="L1371">
        <f t="shared" si="84"/>
        <v>0</v>
      </c>
      <c r="M1371">
        <f t="shared" si="85"/>
        <v>1</v>
      </c>
      <c r="N1371">
        <f t="shared" si="86"/>
        <v>0</v>
      </c>
      <c r="O1371" t="str">
        <f t="shared" si="87"/>
        <v>Proposta Ok</v>
      </c>
    </row>
    <row r="1372" spans="12:15" x14ac:dyDescent="0.25">
      <c r="L1372">
        <f t="shared" si="84"/>
        <v>0</v>
      </c>
      <c r="M1372">
        <f t="shared" si="85"/>
        <v>1</v>
      </c>
      <c r="N1372">
        <f t="shared" si="86"/>
        <v>0</v>
      </c>
      <c r="O1372" t="str">
        <f t="shared" si="87"/>
        <v>Proposta Ok</v>
      </c>
    </row>
    <row r="1373" spans="12:15" x14ac:dyDescent="0.25">
      <c r="L1373">
        <f t="shared" si="84"/>
        <v>0</v>
      </c>
      <c r="M1373">
        <f t="shared" si="85"/>
        <v>1</v>
      </c>
      <c r="N1373">
        <f t="shared" si="86"/>
        <v>0</v>
      </c>
      <c r="O1373" t="str">
        <f t="shared" si="87"/>
        <v>Proposta Ok</v>
      </c>
    </row>
    <row r="1374" spans="12:15" x14ac:dyDescent="0.25">
      <c r="L1374">
        <f t="shared" si="84"/>
        <v>0</v>
      </c>
      <c r="M1374">
        <f t="shared" si="85"/>
        <v>1</v>
      </c>
      <c r="N1374">
        <f t="shared" si="86"/>
        <v>0</v>
      </c>
      <c r="O1374" t="str">
        <f t="shared" si="87"/>
        <v>Proposta Ok</v>
      </c>
    </row>
    <row r="1375" spans="12:15" x14ac:dyDescent="0.25">
      <c r="L1375">
        <f t="shared" si="84"/>
        <v>0</v>
      </c>
      <c r="M1375">
        <f t="shared" si="85"/>
        <v>1</v>
      </c>
      <c r="N1375">
        <f t="shared" si="86"/>
        <v>0</v>
      </c>
      <c r="O1375" t="str">
        <f t="shared" si="87"/>
        <v>Proposta Ok</v>
      </c>
    </row>
    <row r="1376" spans="12:15" x14ac:dyDescent="0.25">
      <c r="L1376">
        <f t="shared" si="84"/>
        <v>0</v>
      </c>
      <c r="M1376">
        <f t="shared" si="85"/>
        <v>1</v>
      </c>
      <c r="N1376">
        <f t="shared" si="86"/>
        <v>0</v>
      </c>
      <c r="O1376" t="str">
        <f t="shared" si="87"/>
        <v>Proposta Ok</v>
      </c>
    </row>
    <row r="1377" spans="12:15" x14ac:dyDescent="0.25">
      <c r="L1377">
        <f t="shared" si="84"/>
        <v>0</v>
      </c>
      <c r="M1377">
        <f t="shared" si="85"/>
        <v>1</v>
      </c>
      <c r="N1377">
        <f t="shared" si="86"/>
        <v>0</v>
      </c>
      <c r="O1377" t="str">
        <f t="shared" si="87"/>
        <v>Proposta Ok</v>
      </c>
    </row>
    <row r="1378" spans="12:15" x14ac:dyDescent="0.25">
      <c r="L1378">
        <f t="shared" si="84"/>
        <v>0</v>
      </c>
      <c r="M1378">
        <f t="shared" si="85"/>
        <v>1</v>
      </c>
      <c r="N1378">
        <f t="shared" si="86"/>
        <v>0</v>
      </c>
      <c r="O1378" t="str">
        <f t="shared" si="87"/>
        <v>Proposta Ok</v>
      </c>
    </row>
    <row r="1379" spans="12:15" x14ac:dyDescent="0.25">
      <c r="L1379">
        <f t="shared" si="84"/>
        <v>0</v>
      </c>
      <c r="M1379">
        <f t="shared" si="85"/>
        <v>1</v>
      </c>
      <c r="N1379">
        <f t="shared" si="86"/>
        <v>0</v>
      </c>
      <c r="O1379" t="str">
        <f t="shared" si="87"/>
        <v>Proposta Ok</v>
      </c>
    </row>
    <row r="1380" spans="12:15" x14ac:dyDescent="0.25">
      <c r="L1380">
        <f t="shared" si="84"/>
        <v>0</v>
      </c>
      <c r="M1380">
        <f t="shared" si="85"/>
        <v>1</v>
      </c>
      <c r="N1380">
        <f t="shared" si="86"/>
        <v>0</v>
      </c>
      <c r="O1380" t="str">
        <f t="shared" si="87"/>
        <v>Proposta Ok</v>
      </c>
    </row>
    <row r="1381" spans="12:15" x14ac:dyDescent="0.25">
      <c r="L1381">
        <f t="shared" si="84"/>
        <v>0</v>
      </c>
      <c r="M1381">
        <f t="shared" si="85"/>
        <v>1</v>
      </c>
      <c r="N1381">
        <f t="shared" si="86"/>
        <v>0</v>
      </c>
      <c r="O1381" t="str">
        <f t="shared" si="87"/>
        <v>Proposta Ok</v>
      </c>
    </row>
    <row r="1382" spans="12:15" x14ac:dyDescent="0.25">
      <c r="L1382">
        <f t="shared" si="84"/>
        <v>0</v>
      </c>
      <c r="M1382">
        <f t="shared" si="85"/>
        <v>1</v>
      </c>
      <c r="N1382">
        <f t="shared" si="86"/>
        <v>0</v>
      </c>
      <c r="O1382" t="str">
        <f t="shared" si="87"/>
        <v>Proposta Ok</v>
      </c>
    </row>
    <row r="1383" spans="12:15" x14ac:dyDescent="0.25">
      <c r="L1383">
        <f t="shared" si="84"/>
        <v>0</v>
      </c>
      <c r="M1383">
        <f t="shared" si="85"/>
        <v>1</v>
      </c>
      <c r="N1383">
        <f t="shared" si="86"/>
        <v>0</v>
      </c>
      <c r="O1383" t="str">
        <f t="shared" si="87"/>
        <v>Proposta Ok</v>
      </c>
    </row>
    <row r="1384" spans="12:15" x14ac:dyDescent="0.25">
      <c r="L1384">
        <f t="shared" si="84"/>
        <v>0</v>
      </c>
      <c r="M1384">
        <f t="shared" si="85"/>
        <v>1</v>
      </c>
      <c r="N1384">
        <f t="shared" si="86"/>
        <v>0</v>
      </c>
      <c r="O1384" t="str">
        <f t="shared" si="87"/>
        <v>Proposta Ok</v>
      </c>
    </row>
    <row r="1385" spans="12:15" x14ac:dyDescent="0.25">
      <c r="L1385">
        <f t="shared" si="84"/>
        <v>0</v>
      </c>
      <c r="M1385">
        <f t="shared" si="85"/>
        <v>1</v>
      </c>
      <c r="N1385">
        <f t="shared" si="86"/>
        <v>0</v>
      </c>
      <c r="O1385" t="str">
        <f t="shared" si="87"/>
        <v>Proposta Ok</v>
      </c>
    </row>
    <row r="1386" spans="12:15" x14ac:dyDescent="0.25">
      <c r="L1386">
        <f t="shared" si="84"/>
        <v>0</v>
      </c>
      <c r="M1386">
        <f t="shared" si="85"/>
        <v>1</v>
      </c>
      <c r="N1386">
        <f t="shared" si="86"/>
        <v>0</v>
      </c>
      <c r="O1386" t="str">
        <f t="shared" si="87"/>
        <v>Proposta Ok</v>
      </c>
    </row>
    <row r="1387" spans="12:15" x14ac:dyDescent="0.25">
      <c r="L1387">
        <f t="shared" si="84"/>
        <v>0</v>
      </c>
      <c r="M1387">
        <f t="shared" si="85"/>
        <v>1</v>
      </c>
      <c r="N1387">
        <f t="shared" si="86"/>
        <v>0</v>
      </c>
      <c r="O1387" t="str">
        <f t="shared" si="87"/>
        <v>Proposta Ok</v>
      </c>
    </row>
    <row r="1388" spans="12:15" x14ac:dyDescent="0.25">
      <c r="L1388">
        <f t="shared" si="84"/>
        <v>0</v>
      </c>
      <c r="M1388">
        <f t="shared" si="85"/>
        <v>1</v>
      </c>
      <c r="N1388">
        <f t="shared" si="86"/>
        <v>0</v>
      </c>
      <c r="O1388" t="str">
        <f t="shared" si="87"/>
        <v>Proposta Ok</v>
      </c>
    </row>
    <row r="1389" spans="12:15" x14ac:dyDescent="0.25">
      <c r="L1389">
        <f t="shared" si="84"/>
        <v>0</v>
      </c>
      <c r="M1389">
        <f t="shared" si="85"/>
        <v>1</v>
      </c>
      <c r="N1389">
        <f t="shared" si="86"/>
        <v>0</v>
      </c>
      <c r="O1389" t="str">
        <f t="shared" si="87"/>
        <v>Proposta Ok</v>
      </c>
    </row>
    <row r="1390" spans="12:15" x14ac:dyDescent="0.25">
      <c r="L1390">
        <f t="shared" si="84"/>
        <v>0</v>
      </c>
      <c r="M1390">
        <f t="shared" si="85"/>
        <v>1</v>
      </c>
      <c r="N1390">
        <f t="shared" si="86"/>
        <v>0</v>
      </c>
      <c r="O1390" t="str">
        <f t="shared" si="87"/>
        <v>Proposta Ok</v>
      </c>
    </row>
    <row r="1391" spans="12:15" x14ac:dyDescent="0.25">
      <c r="L1391">
        <f t="shared" si="84"/>
        <v>0</v>
      </c>
      <c r="M1391">
        <f t="shared" si="85"/>
        <v>1</v>
      </c>
      <c r="N1391">
        <f t="shared" si="86"/>
        <v>0</v>
      </c>
      <c r="O1391" t="str">
        <f t="shared" si="87"/>
        <v>Proposta Ok</v>
      </c>
    </row>
    <row r="1392" spans="12:15" x14ac:dyDescent="0.25">
      <c r="L1392">
        <f t="shared" si="84"/>
        <v>0</v>
      </c>
      <c r="M1392">
        <f t="shared" si="85"/>
        <v>1</v>
      </c>
      <c r="N1392">
        <f t="shared" si="86"/>
        <v>0</v>
      </c>
      <c r="O1392" t="str">
        <f t="shared" si="87"/>
        <v>Proposta Ok</v>
      </c>
    </row>
    <row r="1393" spans="12:15" x14ac:dyDescent="0.25">
      <c r="L1393">
        <f t="shared" si="84"/>
        <v>0</v>
      </c>
      <c r="M1393">
        <f t="shared" si="85"/>
        <v>1</v>
      </c>
      <c r="N1393">
        <f t="shared" si="86"/>
        <v>0</v>
      </c>
      <c r="O1393" t="str">
        <f t="shared" si="87"/>
        <v>Proposta Ok</v>
      </c>
    </row>
    <row r="1394" spans="12:15" x14ac:dyDescent="0.25">
      <c r="L1394">
        <f t="shared" si="84"/>
        <v>0</v>
      </c>
      <c r="M1394">
        <f t="shared" si="85"/>
        <v>1</v>
      </c>
      <c r="N1394">
        <f t="shared" si="86"/>
        <v>0</v>
      </c>
      <c r="O1394" t="str">
        <f t="shared" si="87"/>
        <v>Proposta Ok</v>
      </c>
    </row>
    <row r="1395" spans="12:15" x14ac:dyDescent="0.25">
      <c r="L1395">
        <f t="shared" si="84"/>
        <v>0</v>
      </c>
      <c r="M1395">
        <f t="shared" si="85"/>
        <v>1</v>
      </c>
      <c r="N1395">
        <f t="shared" si="86"/>
        <v>0</v>
      </c>
      <c r="O1395" t="str">
        <f t="shared" si="87"/>
        <v>Proposta Ok</v>
      </c>
    </row>
    <row r="1396" spans="12:15" x14ac:dyDescent="0.25">
      <c r="L1396">
        <f t="shared" si="84"/>
        <v>0</v>
      </c>
      <c r="M1396">
        <f t="shared" si="85"/>
        <v>1</v>
      </c>
      <c r="N1396">
        <f t="shared" si="86"/>
        <v>0</v>
      </c>
      <c r="O1396" t="str">
        <f t="shared" si="87"/>
        <v>Proposta Ok</v>
      </c>
    </row>
    <row r="1397" spans="12:15" x14ac:dyDescent="0.25">
      <c r="L1397">
        <f t="shared" si="84"/>
        <v>0</v>
      </c>
      <c r="M1397">
        <f t="shared" si="85"/>
        <v>1</v>
      </c>
      <c r="N1397">
        <f t="shared" si="86"/>
        <v>0</v>
      </c>
      <c r="O1397" t="str">
        <f t="shared" si="87"/>
        <v>Proposta Ok</v>
      </c>
    </row>
    <row r="1398" spans="12:15" x14ac:dyDescent="0.25">
      <c r="L1398">
        <f t="shared" si="84"/>
        <v>0</v>
      </c>
      <c r="M1398">
        <f t="shared" si="85"/>
        <v>1</v>
      </c>
      <c r="N1398">
        <f t="shared" si="86"/>
        <v>0</v>
      </c>
      <c r="O1398" t="str">
        <f t="shared" si="87"/>
        <v>Proposta Ok</v>
      </c>
    </row>
    <row r="1399" spans="12:15" x14ac:dyDescent="0.25">
      <c r="L1399">
        <f t="shared" si="84"/>
        <v>0</v>
      </c>
      <c r="M1399">
        <f t="shared" si="85"/>
        <v>1</v>
      </c>
      <c r="N1399">
        <f t="shared" si="86"/>
        <v>0</v>
      </c>
      <c r="O1399" t="str">
        <f t="shared" si="87"/>
        <v>Proposta Ok</v>
      </c>
    </row>
    <row r="1400" spans="12:15" x14ac:dyDescent="0.25">
      <c r="L1400">
        <f t="shared" si="84"/>
        <v>0</v>
      </c>
      <c r="M1400">
        <f t="shared" si="85"/>
        <v>1</v>
      </c>
      <c r="N1400">
        <f t="shared" si="86"/>
        <v>0</v>
      </c>
      <c r="O1400" t="str">
        <f t="shared" si="87"/>
        <v>Proposta Ok</v>
      </c>
    </row>
    <row r="1401" spans="12:15" x14ac:dyDescent="0.25">
      <c r="L1401">
        <f t="shared" si="84"/>
        <v>0</v>
      </c>
      <c r="M1401">
        <f t="shared" si="85"/>
        <v>1</v>
      </c>
      <c r="N1401">
        <f t="shared" si="86"/>
        <v>0</v>
      </c>
      <c r="O1401" t="str">
        <f t="shared" si="87"/>
        <v>Proposta Ok</v>
      </c>
    </row>
    <row r="1402" spans="12:15" x14ac:dyDescent="0.25">
      <c r="L1402">
        <f t="shared" si="84"/>
        <v>0</v>
      </c>
      <c r="M1402">
        <f t="shared" si="85"/>
        <v>1</v>
      </c>
      <c r="N1402">
        <f t="shared" si="86"/>
        <v>0</v>
      </c>
      <c r="O1402" t="str">
        <f t="shared" si="87"/>
        <v>Proposta Ok</v>
      </c>
    </row>
    <row r="1403" spans="12:15" x14ac:dyDescent="0.25">
      <c r="L1403">
        <f t="shared" si="84"/>
        <v>0</v>
      </c>
      <c r="M1403">
        <f t="shared" si="85"/>
        <v>1</v>
      </c>
      <c r="N1403">
        <f t="shared" si="86"/>
        <v>0</v>
      </c>
      <c r="O1403" t="str">
        <f t="shared" si="87"/>
        <v>Proposta Ok</v>
      </c>
    </row>
    <row r="1404" spans="12:15" x14ac:dyDescent="0.25">
      <c r="L1404">
        <f t="shared" si="84"/>
        <v>0</v>
      </c>
      <c r="M1404">
        <f t="shared" si="85"/>
        <v>1</v>
      </c>
      <c r="N1404">
        <f t="shared" si="86"/>
        <v>0</v>
      </c>
      <c r="O1404" t="str">
        <f t="shared" si="87"/>
        <v>Proposta Ok</v>
      </c>
    </row>
    <row r="1405" spans="12:15" x14ac:dyDescent="0.25">
      <c r="L1405">
        <f t="shared" si="84"/>
        <v>0</v>
      </c>
      <c r="M1405">
        <f t="shared" si="85"/>
        <v>1</v>
      </c>
      <c r="N1405">
        <f t="shared" si="86"/>
        <v>0</v>
      </c>
      <c r="O1405" t="str">
        <f t="shared" si="87"/>
        <v>Proposta Ok</v>
      </c>
    </row>
    <row r="1406" spans="12:15" x14ac:dyDescent="0.25">
      <c r="L1406">
        <f t="shared" ref="L1406:L1469" si="88">IF(OR(I1406="Termo OK (Exceção)",I1406="Termo OK"),1,0)</f>
        <v>0</v>
      </c>
      <c r="M1406">
        <f t="shared" ref="M1406:M1469" si="89">IF(OR(I1406="Termo OK (Exceção)",I1406="Termo OK"),0,1)</f>
        <v>1</v>
      </c>
      <c r="N1406">
        <f t="shared" ref="N1406:N1469" si="90">IF(J1406="SIM",1,0)</f>
        <v>0</v>
      </c>
      <c r="O1406" t="str">
        <f t="shared" si="87"/>
        <v>Proposta Ok</v>
      </c>
    </row>
    <row r="1407" spans="12:15" x14ac:dyDescent="0.25">
      <c r="L1407">
        <f t="shared" si="88"/>
        <v>0</v>
      </c>
      <c r="M1407">
        <f t="shared" si="89"/>
        <v>1</v>
      </c>
      <c r="N1407">
        <f t="shared" si="90"/>
        <v>0</v>
      </c>
      <c r="O1407" t="str">
        <f t="shared" si="87"/>
        <v>Proposta Ok</v>
      </c>
    </row>
    <row r="1408" spans="12:15" x14ac:dyDescent="0.25">
      <c r="L1408">
        <f t="shared" si="88"/>
        <v>0</v>
      </c>
      <c r="M1408">
        <f t="shared" si="89"/>
        <v>1</v>
      </c>
      <c r="N1408">
        <f t="shared" si="90"/>
        <v>0</v>
      </c>
      <c r="O1408" t="str">
        <f t="shared" si="87"/>
        <v>Proposta Ok</v>
      </c>
    </row>
    <row r="1409" spans="12:15" x14ac:dyDescent="0.25">
      <c r="L1409">
        <f t="shared" si="88"/>
        <v>0</v>
      </c>
      <c r="M1409">
        <f t="shared" si="89"/>
        <v>1</v>
      </c>
      <c r="N1409">
        <f t="shared" si="90"/>
        <v>0</v>
      </c>
      <c r="O1409" t="str">
        <f t="shared" si="87"/>
        <v>Proposta Ok</v>
      </c>
    </row>
    <row r="1410" spans="12:15" x14ac:dyDescent="0.25">
      <c r="L1410">
        <f t="shared" si="88"/>
        <v>0</v>
      </c>
      <c r="M1410">
        <f t="shared" si="89"/>
        <v>1</v>
      </c>
      <c r="N1410">
        <f t="shared" si="90"/>
        <v>0</v>
      </c>
      <c r="O1410" t="str">
        <f t="shared" si="87"/>
        <v>Proposta Ok</v>
      </c>
    </row>
    <row r="1411" spans="12:15" x14ac:dyDescent="0.25">
      <c r="L1411">
        <f t="shared" si="88"/>
        <v>0</v>
      </c>
      <c r="M1411">
        <f t="shared" si="89"/>
        <v>1</v>
      </c>
      <c r="N1411">
        <f t="shared" si="90"/>
        <v>0</v>
      </c>
      <c r="O1411" t="str">
        <f t="shared" ref="O1411:O1474" si="91">IF(SUMIFS(M:M,A:A,A1411)&gt;0,"Proposta não Ok","Proposta Ok")</f>
        <v>Proposta Ok</v>
      </c>
    </row>
    <row r="1412" spans="12:15" x14ac:dyDescent="0.25">
      <c r="L1412">
        <f t="shared" si="88"/>
        <v>0</v>
      </c>
      <c r="M1412">
        <f t="shared" si="89"/>
        <v>1</v>
      </c>
      <c r="N1412">
        <f t="shared" si="90"/>
        <v>0</v>
      </c>
      <c r="O1412" t="str">
        <f t="shared" si="91"/>
        <v>Proposta Ok</v>
      </c>
    </row>
    <row r="1413" spans="12:15" x14ac:dyDescent="0.25">
      <c r="L1413">
        <f t="shared" si="88"/>
        <v>0</v>
      </c>
      <c r="M1413">
        <f t="shared" si="89"/>
        <v>1</v>
      </c>
      <c r="N1413">
        <f t="shared" si="90"/>
        <v>0</v>
      </c>
      <c r="O1413" t="str">
        <f t="shared" si="91"/>
        <v>Proposta Ok</v>
      </c>
    </row>
    <row r="1414" spans="12:15" x14ac:dyDescent="0.25">
      <c r="L1414">
        <f t="shared" si="88"/>
        <v>0</v>
      </c>
      <c r="M1414">
        <f t="shared" si="89"/>
        <v>1</v>
      </c>
      <c r="N1414">
        <f t="shared" si="90"/>
        <v>0</v>
      </c>
      <c r="O1414" t="str">
        <f t="shared" si="91"/>
        <v>Proposta Ok</v>
      </c>
    </row>
    <row r="1415" spans="12:15" x14ac:dyDescent="0.25">
      <c r="L1415">
        <f t="shared" si="88"/>
        <v>0</v>
      </c>
      <c r="M1415">
        <f t="shared" si="89"/>
        <v>1</v>
      </c>
      <c r="N1415">
        <f t="shared" si="90"/>
        <v>0</v>
      </c>
      <c r="O1415" t="str">
        <f t="shared" si="91"/>
        <v>Proposta Ok</v>
      </c>
    </row>
    <row r="1416" spans="12:15" x14ac:dyDescent="0.25">
      <c r="L1416">
        <f t="shared" si="88"/>
        <v>0</v>
      </c>
      <c r="M1416">
        <f t="shared" si="89"/>
        <v>1</v>
      </c>
      <c r="N1416">
        <f t="shared" si="90"/>
        <v>0</v>
      </c>
      <c r="O1416" t="str">
        <f t="shared" si="91"/>
        <v>Proposta Ok</v>
      </c>
    </row>
    <row r="1417" spans="12:15" x14ac:dyDescent="0.25">
      <c r="L1417">
        <f t="shared" si="88"/>
        <v>0</v>
      </c>
      <c r="M1417">
        <f t="shared" si="89"/>
        <v>1</v>
      </c>
      <c r="N1417">
        <f t="shared" si="90"/>
        <v>0</v>
      </c>
      <c r="O1417" t="str">
        <f t="shared" si="91"/>
        <v>Proposta Ok</v>
      </c>
    </row>
    <row r="1418" spans="12:15" x14ac:dyDescent="0.25">
      <c r="L1418">
        <f t="shared" si="88"/>
        <v>0</v>
      </c>
      <c r="M1418">
        <f t="shared" si="89"/>
        <v>1</v>
      </c>
      <c r="N1418">
        <f t="shared" si="90"/>
        <v>0</v>
      </c>
      <c r="O1418" t="str">
        <f t="shared" si="91"/>
        <v>Proposta Ok</v>
      </c>
    </row>
    <row r="1419" spans="12:15" x14ac:dyDescent="0.25">
      <c r="L1419">
        <f t="shared" si="88"/>
        <v>0</v>
      </c>
      <c r="M1419">
        <f t="shared" si="89"/>
        <v>1</v>
      </c>
      <c r="N1419">
        <f t="shared" si="90"/>
        <v>0</v>
      </c>
      <c r="O1419" t="str">
        <f t="shared" si="91"/>
        <v>Proposta Ok</v>
      </c>
    </row>
    <row r="1420" spans="12:15" x14ac:dyDescent="0.25">
      <c r="L1420">
        <f t="shared" si="88"/>
        <v>0</v>
      </c>
      <c r="M1420">
        <f t="shared" si="89"/>
        <v>1</v>
      </c>
      <c r="N1420">
        <f t="shared" si="90"/>
        <v>0</v>
      </c>
      <c r="O1420" t="str">
        <f t="shared" si="91"/>
        <v>Proposta Ok</v>
      </c>
    </row>
    <row r="1421" spans="12:15" x14ac:dyDescent="0.25">
      <c r="L1421">
        <f t="shared" si="88"/>
        <v>0</v>
      </c>
      <c r="M1421">
        <f t="shared" si="89"/>
        <v>1</v>
      </c>
      <c r="N1421">
        <f t="shared" si="90"/>
        <v>0</v>
      </c>
      <c r="O1421" t="str">
        <f t="shared" si="91"/>
        <v>Proposta Ok</v>
      </c>
    </row>
    <row r="1422" spans="12:15" x14ac:dyDescent="0.25">
      <c r="L1422">
        <f t="shared" si="88"/>
        <v>0</v>
      </c>
      <c r="M1422">
        <f t="shared" si="89"/>
        <v>1</v>
      </c>
      <c r="N1422">
        <f t="shared" si="90"/>
        <v>0</v>
      </c>
      <c r="O1422" t="str">
        <f t="shared" si="91"/>
        <v>Proposta Ok</v>
      </c>
    </row>
    <row r="1423" spans="12:15" x14ac:dyDescent="0.25">
      <c r="L1423">
        <f t="shared" si="88"/>
        <v>0</v>
      </c>
      <c r="M1423">
        <f t="shared" si="89"/>
        <v>1</v>
      </c>
      <c r="N1423">
        <f t="shared" si="90"/>
        <v>0</v>
      </c>
      <c r="O1423" t="str">
        <f t="shared" si="91"/>
        <v>Proposta Ok</v>
      </c>
    </row>
    <row r="1424" spans="12:15" x14ac:dyDescent="0.25">
      <c r="L1424">
        <f t="shared" si="88"/>
        <v>0</v>
      </c>
      <c r="M1424">
        <f t="shared" si="89"/>
        <v>1</v>
      </c>
      <c r="N1424">
        <f t="shared" si="90"/>
        <v>0</v>
      </c>
      <c r="O1424" t="str">
        <f t="shared" si="91"/>
        <v>Proposta Ok</v>
      </c>
    </row>
    <row r="1425" spans="12:15" x14ac:dyDescent="0.25">
      <c r="L1425">
        <f t="shared" si="88"/>
        <v>0</v>
      </c>
      <c r="M1425">
        <f t="shared" si="89"/>
        <v>1</v>
      </c>
      <c r="N1425">
        <f t="shared" si="90"/>
        <v>0</v>
      </c>
      <c r="O1425" t="str">
        <f t="shared" si="91"/>
        <v>Proposta Ok</v>
      </c>
    </row>
    <row r="1426" spans="12:15" x14ac:dyDescent="0.25">
      <c r="L1426">
        <f t="shared" si="88"/>
        <v>0</v>
      </c>
      <c r="M1426">
        <f t="shared" si="89"/>
        <v>1</v>
      </c>
      <c r="N1426">
        <f t="shared" si="90"/>
        <v>0</v>
      </c>
      <c r="O1426" t="str">
        <f t="shared" si="91"/>
        <v>Proposta Ok</v>
      </c>
    </row>
    <row r="1427" spans="12:15" x14ac:dyDescent="0.25">
      <c r="L1427">
        <f t="shared" si="88"/>
        <v>0</v>
      </c>
      <c r="M1427">
        <f t="shared" si="89"/>
        <v>1</v>
      </c>
      <c r="N1427">
        <f t="shared" si="90"/>
        <v>0</v>
      </c>
      <c r="O1427" t="str">
        <f t="shared" si="91"/>
        <v>Proposta Ok</v>
      </c>
    </row>
    <row r="1428" spans="12:15" x14ac:dyDescent="0.25">
      <c r="L1428">
        <f t="shared" si="88"/>
        <v>0</v>
      </c>
      <c r="M1428">
        <f t="shared" si="89"/>
        <v>1</v>
      </c>
      <c r="N1428">
        <f t="shared" si="90"/>
        <v>0</v>
      </c>
      <c r="O1428" t="str">
        <f t="shared" si="91"/>
        <v>Proposta Ok</v>
      </c>
    </row>
    <row r="1429" spans="12:15" x14ac:dyDescent="0.25">
      <c r="L1429">
        <f t="shared" si="88"/>
        <v>0</v>
      </c>
      <c r="M1429">
        <f t="shared" si="89"/>
        <v>1</v>
      </c>
      <c r="N1429">
        <f t="shared" si="90"/>
        <v>0</v>
      </c>
      <c r="O1429" t="str">
        <f t="shared" si="91"/>
        <v>Proposta Ok</v>
      </c>
    </row>
    <row r="1430" spans="12:15" x14ac:dyDescent="0.25">
      <c r="L1430">
        <f t="shared" si="88"/>
        <v>0</v>
      </c>
      <c r="M1430">
        <f t="shared" si="89"/>
        <v>1</v>
      </c>
      <c r="N1430">
        <f t="shared" si="90"/>
        <v>0</v>
      </c>
      <c r="O1430" t="str">
        <f t="shared" si="91"/>
        <v>Proposta Ok</v>
      </c>
    </row>
    <row r="1431" spans="12:15" x14ac:dyDescent="0.25">
      <c r="L1431">
        <f t="shared" si="88"/>
        <v>0</v>
      </c>
      <c r="M1431">
        <f t="shared" si="89"/>
        <v>1</v>
      </c>
      <c r="N1431">
        <f t="shared" si="90"/>
        <v>0</v>
      </c>
      <c r="O1431" t="str">
        <f t="shared" si="91"/>
        <v>Proposta Ok</v>
      </c>
    </row>
    <row r="1432" spans="12:15" x14ac:dyDescent="0.25">
      <c r="L1432">
        <f t="shared" si="88"/>
        <v>0</v>
      </c>
      <c r="M1432">
        <f t="shared" si="89"/>
        <v>1</v>
      </c>
      <c r="N1432">
        <f t="shared" si="90"/>
        <v>0</v>
      </c>
      <c r="O1432" t="str">
        <f t="shared" si="91"/>
        <v>Proposta Ok</v>
      </c>
    </row>
    <row r="1433" spans="12:15" x14ac:dyDescent="0.25">
      <c r="L1433">
        <f t="shared" si="88"/>
        <v>0</v>
      </c>
      <c r="M1433">
        <f t="shared" si="89"/>
        <v>1</v>
      </c>
      <c r="N1433">
        <f t="shared" si="90"/>
        <v>0</v>
      </c>
      <c r="O1433" t="str">
        <f t="shared" si="91"/>
        <v>Proposta Ok</v>
      </c>
    </row>
    <row r="1434" spans="12:15" x14ac:dyDescent="0.25">
      <c r="L1434">
        <f t="shared" si="88"/>
        <v>0</v>
      </c>
      <c r="M1434">
        <f t="shared" si="89"/>
        <v>1</v>
      </c>
      <c r="N1434">
        <f t="shared" si="90"/>
        <v>0</v>
      </c>
      <c r="O1434" t="str">
        <f t="shared" si="91"/>
        <v>Proposta Ok</v>
      </c>
    </row>
    <row r="1435" spans="12:15" x14ac:dyDescent="0.25">
      <c r="L1435">
        <f t="shared" si="88"/>
        <v>0</v>
      </c>
      <c r="M1435">
        <f t="shared" si="89"/>
        <v>1</v>
      </c>
      <c r="N1435">
        <f t="shared" si="90"/>
        <v>0</v>
      </c>
      <c r="O1435" t="str">
        <f t="shared" si="91"/>
        <v>Proposta Ok</v>
      </c>
    </row>
    <row r="1436" spans="12:15" x14ac:dyDescent="0.25">
      <c r="L1436">
        <f t="shared" si="88"/>
        <v>0</v>
      </c>
      <c r="M1436">
        <f t="shared" si="89"/>
        <v>1</v>
      </c>
      <c r="N1436">
        <f t="shared" si="90"/>
        <v>0</v>
      </c>
      <c r="O1436" t="str">
        <f t="shared" si="91"/>
        <v>Proposta Ok</v>
      </c>
    </row>
    <row r="1437" spans="12:15" x14ac:dyDescent="0.25">
      <c r="L1437">
        <f t="shared" si="88"/>
        <v>0</v>
      </c>
      <c r="M1437">
        <f t="shared" si="89"/>
        <v>1</v>
      </c>
      <c r="N1437">
        <f t="shared" si="90"/>
        <v>0</v>
      </c>
      <c r="O1437" t="str">
        <f t="shared" si="91"/>
        <v>Proposta Ok</v>
      </c>
    </row>
    <row r="1438" spans="12:15" x14ac:dyDescent="0.25">
      <c r="L1438">
        <f t="shared" si="88"/>
        <v>0</v>
      </c>
      <c r="M1438">
        <f t="shared" si="89"/>
        <v>1</v>
      </c>
      <c r="N1438">
        <f t="shared" si="90"/>
        <v>0</v>
      </c>
      <c r="O1438" t="str">
        <f t="shared" si="91"/>
        <v>Proposta Ok</v>
      </c>
    </row>
    <row r="1439" spans="12:15" x14ac:dyDescent="0.25">
      <c r="L1439">
        <f t="shared" si="88"/>
        <v>0</v>
      </c>
      <c r="M1439">
        <f t="shared" si="89"/>
        <v>1</v>
      </c>
      <c r="N1439">
        <f t="shared" si="90"/>
        <v>0</v>
      </c>
      <c r="O1439" t="str">
        <f t="shared" si="91"/>
        <v>Proposta Ok</v>
      </c>
    </row>
    <row r="1440" spans="12:15" x14ac:dyDescent="0.25">
      <c r="L1440">
        <f t="shared" si="88"/>
        <v>0</v>
      </c>
      <c r="M1440">
        <f t="shared" si="89"/>
        <v>1</v>
      </c>
      <c r="N1440">
        <f t="shared" si="90"/>
        <v>0</v>
      </c>
      <c r="O1440" t="str">
        <f t="shared" si="91"/>
        <v>Proposta Ok</v>
      </c>
    </row>
    <row r="1441" spans="12:15" x14ac:dyDescent="0.25">
      <c r="L1441">
        <f t="shared" si="88"/>
        <v>0</v>
      </c>
      <c r="M1441">
        <f t="shared" si="89"/>
        <v>1</v>
      </c>
      <c r="N1441">
        <f t="shared" si="90"/>
        <v>0</v>
      </c>
      <c r="O1441" t="str">
        <f t="shared" si="91"/>
        <v>Proposta Ok</v>
      </c>
    </row>
    <row r="1442" spans="12:15" x14ac:dyDescent="0.25">
      <c r="L1442">
        <f t="shared" si="88"/>
        <v>0</v>
      </c>
      <c r="M1442">
        <f t="shared" si="89"/>
        <v>1</v>
      </c>
      <c r="N1442">
        <f t="shared" si="90"/>
        <v>0</v>
      </c>
      <c r="O1442" t="str">
        <f t="shared" si="91"/>
        <v>Proposta Ok</v>
      </c>
    </row>
    <row r="1443" spans="12:15" x14ac:dyDescent="0.25">
      <c r="L1443">
        <f t="shared" si="88"/>
        <v>0</v>
      </c>
      <c r="M1443">
        <f t="shared" si="89"/>
        <v>1</v>
      </c>
      <c r="N1443">
        <f t="shared" si="90"/>
        <v>0</v>
      </c>
      <c r="O1443" t="str">
        <f t="shared" si="91"/>
        <v>Proposta Ok</v>
      </c>
    </row>
    <row r="1444" spans="12:15" x14ac:dyDescent="0.25">
      <c r="L1444">
        <f t="shared" si="88"/>
        <v>0</v>
      </c>
      <c r="M1444">
        <f t="shared" si="89"/>
        <v>1</v>
      </c>
      <c r="N1444">
        <f t="shared" si="90"/>
        <v>0</v>
      </c>
      <c r="O1444" t="str">
        <f t="shared" si="91"/>
        <v>Proposta Ok</v>
      </c>
    </row>
    <row r="1445" spans="12:15" x14ac:dyDescent="0.25">
      <c r="L1445">
        <f t="shared" si="88"/>
        <v>0</v>
      </c>
      <c r="M1445">
        <f t="shared" si="89"/>
        <v>1</v>
      </c>
      <c r="N1445">
        <f t="shared" si="90"/>
        <v>0</v>
      </c>
      <c r="O1445" t="str">
        <f t="shared" si="91"/>
        <v>Proposta Ok</v>
      </c>
    </row>
    <row r="1446" spans="12:15" x14ac:dyDescent="0.25">
      <c r="L1446">
        <f t="shared" si="88"/>
        <v>0</v>
      </c>
      <c r="M1446">
        <f t="shared" si="89"/>
        <v>1</v>
      </c>
      <c r="N1446">
        <f t="shared" si="90"/>
        <v>0</v>
      </c>
      <c r="O1446" t="str">
        <f t="shared" si="91"/>
        <v>Proposta Ok</v>
      </c>
    </row>
    <row r="1447" spans="12:15" x14ac:dyDescent="0.25">
      <c r="L1447">
        <f t="shared" si="88"/>
        <v>0</v>
      </c>
      <c r="M1447">
        <f t="shared" si="89"/>
        <v>1</v>
      </c>
      <c r="N1447">
        <f t="shared" si="90"/>
        <v>0</v>
      </c>
      <c r="O1447" t="str">
        <f t="shared" si="91"/>
        <v>Proposta Ok</v>
      </c>
    </row>
    <row r="1448" spans="12:15" x14ac:dyDescent="0.25">
      <c r="L1448">
        <f t="shared" si="88"/>
        <v>0</v>
      </c>
      <c r="M1448">
        <f t="shared" si="89"/>
        <v>1</v>
      </c>
      <c r="N1448">
        <f t="shared" si="90"/>
        <v>0</v>
      </c>
      <c r="O1448" t="str">
        <f t="shared" si="91"/>
        <v>Proposta Ok</v>
      </c>
    </row>
    <row r="1449" spans="12:15" x14ac:dyDescent="0.25">
      <c r="L1449">
        <f t="shared" si="88"/>
        <v>0</v>
      </c>
      <c r="M1449">
        <f t="shared" si="89"/>
        <v>1</v>
      </c>
      <c r="N1449">
        <f t="shared" si="90"/>
        <v>0</v>
      </c>
      <c r="O1449" t="str">
        <f t="shared" si="91"/>
        <v>Proposta Ok</v>
      </c>
    </row>
    <row r="1450" spans="12:15" x14ac:dyDescent="0.25">
      <c r="L1450">
        <f t="shared" si="88"/>
        <v>0</v>
      </c>
      <c r="M1450">
        <f t="shared" si="89"/>
        <v>1</v>
      </c>
      <c r="N1450">
        <f t="shared" si="90"/>
        <v>0</v>
      </c>
      <c r="O1450" t="str">
        <f t="shared" si="91"/>
        <v>Proposta Ok</v>
      </c>
    </row>
    <row r="1451" spans="12:15" x14ac:dyDescent="0.25">
      <c r="L1451">
        <f t="shared" si="88"/>
        <v>0</v>
      </c>
      <c r="M1451">
        <f t="shared" si="89"/>
        <v>1</v>
      </c>
      <c r="N1451">
        <f t="shared" si="90"/>
        <v>0</v>
      </c>
      <c r="O1451" t="str">
        <f t="shared" si="91"/>
        <v>Proposta Ok</v>
      </c>
    </row>
    <row r="1452" spans="12:15" x14ac:dyDescent="0.25">
      <c r="L1452">
        <f t="shared" si="88"/>
        <v>0</v>
      </c>
      <c r="M1452">
        <f t="shared" si="89"/>
        <v>1</v>
      </c>
      <c r="N1452">
        <f t="shared" si="90"/>
        <v>0</v>
      </c>
      <c r="O1452" t="str">
        <f t="shared" si="91"/>
        <v>Proposta Ok</v>
      </c>
    </row>
    <row r="1453" spans="12:15" x14ac:dyDescent="0.25">
      <c r="L1453">
        <f t="shared" si="88"/>
        <v>0</v>
      </c>
      <c r="M1453">
        <f t="shared" si="89"/>
        <v>1</v>
      </c>
      <c r="N1453">
        <f t="shared" si="90"/>
        <v>0</v>
      </c>
      <c r="O1453" t="str">
        <f t="shared" si="91"/>
        <v>Proposta Ok</v>
      </c>
    </row>
    <row r="1454" spans="12:15" x14ac:dyDescent="0.25">
      <c r="L1454">
        <f t="shared" si="88"/>
        <v>0</v>
      </c>
      <c r="M1454">
        <f t="shared" si="89"/>
        <v>1</v>
      </c>
      <c r="N1454">
        <f t="shared" si="90"/>
        <v>0</v>
      </c>
      <c r="O1454" t="str">
        <f t="shared" si="91"/>
        <v>Proposta Ok</v>
      </c>
    </row>
    <row r="1455" spans="12:15" x14ac:dyDescent="0.25">
      <c r="L1455">
        <f t="shared" si="88"/>
        <v>0</v>
      </c>
      <c r="M1455">
        <f t="shared" si="89"/>
        <v>1</v>
      </c>
      <c r="N1455">
        <f t="shared" si="90"/>
        <v>0</v>
      </c>
      <c r="O1455" t="str">
        <f t="shared" si="91"/>
        <v>Proposta Ok</v>
      </c>
    </row>
    <row r="1456" spans="12:15" x14ac:dyDescent="0.25">
      <c r="L1456">
        <f t="shared" si="88"/>
        <v>0</v>
      </c>
      <c r="M1456">
        <f t="shared" si="89"/>
        <v>1</v>
      </c>
      <c r="N1456">
        <f t="shared" si="90"/>
        <v>0</v>
      </c>
      <c r="O1456" t="str">
        <f t="shared" si="91"/>
        <v>Proposta Ok</v>
      </c>
    </row>
    <row r="1457" spans="12:15" x14ac:dyDescent="0.25">
      <c r="L1457">
        <f t="shared" si="88"/>
        <v>0</v>
      </c>
      <c r="M1457">
        <f t="shared" si="89"/>
        <v>1</v>
      </c>
      <c r="N1457">
        <f t="shared" si="90"/>
        <v>0</v>
      </c>
      <c r="O1457" t="str">
        <f t="shared" si="91"/>
        <v>Proposta Ok</v>
      </c>
    </row>
    <row r="1458" spans="12:15" x14ac:dyDescent="0.25">
      <c r="L1458">
        <f t="shared" si="88"/>
        <v>0</v>
      </c>
      <c r="M1458">
        <f t="shared" si="89"/>
        <v>1</v>
      </c>
      <c r="N1458">
        <f t="shared" si="90"/>
        <v>0</v>
      </c>
      <c r="O1458" t="str">
        <f t="shared" si="91"/>
        <v>Proposta Ok</v>
      </c>
    </row>
    <row r="1459" spans="12:15" x14ac:dyDescent="0.25">
      <c r="L1459">
        <f t="shared" si="88"/>
        <v>0</v>
      </c>
      <c r="M1459">
        <f t="shared" si="89"/>
        <v>1</v>
      </c>
      <c r="N1459">
        <f t="shared" si="90"/>
        <v>0</v>
      </c>
      <c r="O1459" t="str">
        <f t="shared" si="91"/>
        <v>Proposta Ok</v>
      </c>
    </row>
    <row r="1460" spans="12:15" x14ac:dyDescent="0.25">
      <c r="L1460">
        <f t="shared" si="88"/>
        <v>0</v>
      </c>
      <c r="M1460">
        <f t="shared" si="89"/>
        <v>1</v>
      </c>
      <c r="N1460">
        <f t="shared" si="90"/>
        <v>0</v>
      </c>
      <c r="O1460" t="str">
        <f t="shared" si="91"/>
        <v>Proposta Ok</v>
      </c>
    </row>
    <row r="1461" spans="12:15" x14ac:dyDescent="0.25">
      <c r="L1461">
        <f t="shared" si="88"/>
        <v>0</v>
      </c>
      <c r="M1461">
        <f t="shared" si="89"/>
        <v>1</v>
      </c>
      <c r="N1461">
        <f t="shared" si="90"/>
        <v>0</v>
      </c>
      <c r="O1461" t="str">
        <f t="shared" si="91"/>
        <v>Proposta Ok</v>
      </c>
    </row>
    <row r="1462" spans="12:15" x14ac:dyDescent="0.25">
      <c r="L1462">
        <f t="shared" si="88"/>
        <v>0</v>
      </c>
      <c r="M1462">
        <f t="shared" si="89"/>
        <v>1</v>
      </c>
      <c r="N1462">
        <f t="shared" si="90"/>
        <v>0</v>
      </c>
      <c r="O1462" t="str">
        <f t="shared" si="91"/>
        <v>Proposta Ok</v>
      </c>
    </row>
    <row r="1463" spans="12:15" x14ac:dyDescent="0.25">
      <c r="L1463">
        <f t="shared" si="88"/>
        <v>0</v>
      </c>
      <c r="M1463">
        <f t="shared" si="89"/>
        <v>1</v>
      </c>
      <c r="N1463">
        <f t="shared" si="90"/>
        <v>0</v>
      </c>
      <c r="O1463" t="str">
        <f t="shared" si="91"/>
        <v>Proposta Ok</v>
      </c>
    </row>
    <row r="1464" spans="12:15" x14ac:dyDescent="0.25">
      <c r="L1464">
        <f t="shared" si="88"/>
        <v>0</v>
      </c>
      <c r="M1464">
        <f t="shared" si="89"/>
        <v>1</v>
      </c>
      <c r="N1464">
        <f t="shared" si="90"/>
        <v>0</v>
      </c>
      <c r="O1464" t="str">
        <f t="shared" si="91"/>
        <v>Proposta Ok</v>
      </c>
    </row>
    <row r="1465" spans="12:15" x14ac:dyDescent="0.25">
      <c r="L1465">
        <f t="shared" si="88"/>
        <v>0</v>
      </c>
      <c r="M1465">
        <f t="shared" si="89"/>
        <v>1</v>
      </c>
      <c r="N1465">
        <f t="shared" si="90"/>
        <v>0</v>
      </c>
      <c r="O1465" t="str">
        <f t="shared" si="91"/>
        <v>Proposta Ok</v>
      </c>
    </row>
    <row r="1466" spans="12:15" x14ac:dyDescent="0.25">
      <c r="L1466">
        <f t="shared" si="88"/>
        <v>0</v>
      </c>
      <c r="M1466">
        <f t="shared" si="89"/>
        <v>1</v>
      </c>
      <c r="N1466">
        <f t="shared" si="90"/>
        <v>0</v>
      </c>
      <c r="O1466" t="str">
        <f t="shared" si="91"/>
        <v>Proposta Ok</v>
      </c>
    </row>
    <row r="1467" spans="12:15" x14ac:dyDescent="0.25">
      <c r="L1467">
        <f t="shared" si="88"/>
        <v>0</v>
      </c>
      <c r="M1467">
        <f t="shared" si="89"/>
        <v>1</v>
      </c>
      <c r="N1467">
        <f t="shared" si="90"/>
        <v>0</v>
      </c>
      <c r="O1467" t="str">
        <f t="shared" si="91"/>
        <v>Proposta Ok</v>
      </c>
    </row>
    <row r="1468" spans="12:15" x14ac:dyDescent="0.25">
      <c r="L1468">
        <f t="shared" si="88"/>
        <v>0</v>
      </c>
      <c r="M1468">
        <f t="shared" si="89"/>
        <v>1</v>
      </c>
      <c r="N1468">
        <f t="shared" si="90"/>
        <v>0</v>
      </c>
      <c r="O1468" t="str">
        <f t="shared" si="91"/>
        <v>Proposta Ok</v>
      </c>
    </row>
    <row r="1469" spans="12:15" x14ac:dyDescent="0.25">
      <c r="L1469">
        <f t="shared" si="88"/>
        <v>0</v>
      </c>
      <c r="M1469">
        <f t="shared" si="89"/>
        <v>1</v>
      </c>
      <c r="N1469">
        <f t="shared" si="90"/>
        <v>0</v>
      </c>
      <c r="O1469" t="str">
        <f t="shared" si="91"/>
        <v>Proposta Ok</v>
      </c>
    </row>
    <row r="1470" spans="12:15" x14ac:dyDescent="0.25">
      <c r="L1470">
        <f t="shared" ref="L1470:L1533" si="92">IF(OR(I1470="Termo OK (Exceção)",I1470="Termo OK"),1,0)</f>
        <v>0</v>
      </c>
      <c r="M1470">
        <f t="shared" ref="M1470:M1533" si="93">IF(OR(I1470="Termo OK (Exceção)",I1470="Termo OK"),0,1)</f>
        <v>1</v>
      </c>
      <c r="N1470">
        <f t="shared" ref="N1470:N1533" si="94">IF(J1470="SIM",1,0)</f>
        <v>0</v>
      </c>
      <c r="O1470" t="str">
        <f t="shared" si="91"/>
        <v>Proposta Ok</v>
      </c>
    </row>
    <row r="1471" spans="12:15" x14ac:dyDescent="0.25">
      <c r="L1471">
        <f t="shared" si="92"/>
        <v>0</v>
      </c>
      <c r="M1471">
        <f t="shared" si="93"/>
        <v>1</v>
      </c>
      <c r="N1471">
        <f t="shared" si="94"/>
        <v>0</v>
      </c>
      <c r="O1471" t="str">
        <f t="shared" si="91"/>
        <v>Proposta Ok</v>
      </c>
    </row>
    <row r="1472" spans="12:15" x14ac:dyDescent="0.25">
      <c r="L1472">
        <f t="shared" si="92"/>
        <v>0</v>
      </c>
      <c r="M1472">
        <f t="shared" si="93"/>
        <v>1</v>
      </c>
      <c r="N1472">
        <f t="shared" si="94"/>
        <v>0</v>
      </c>
      <c r="O1472" t="str">
        <f t="shared" si="91"/>
        <v>Proposta Ok</v>
      </c>
    </row>
    <row r="1473" spans="12:15" x14ac:dyDescent="0.25">
      <c r="L1473">
        <f t="shared" si="92"/>
        <v>0</v>
      </c>
      <c r="M1473">
        <f t="shared" si="93"/>
        <v>1</v>
      </c>
      <c r="N1473">
        <f t="shared" si="94"/>
        <v>0</v>
      </c>
      <c r="O1473" t="str">
        <f t="shared" si="91"/>
        <v>Proposta Ok</v>
      </c>
    </row>
    <row r="1474" spans="12:15" x14ac:dyDescent="0.25">
      <c r="L1474">
        <f t="shared" si="92"/>
        <v>0</v>
      </c>
      <c r="M1474">
        <f t="shared" si="93"/>
        <v>1</v>
      </c>
      <c r="N1474">
        <f t="shared" si="94"/>
        <v>0</v>
      </c>
      <c r="O1474" t="str">
        <f t="shared" si="91"/>
        <v>Proposta Ok</v>
      </c>
    </row>
    <row r="1475" spans="12:15" x14ac:dyDescent="0.25">
      <c r="L1475">
        <f t="shared" si="92"/>
        <v>0</v>
      </c>
      <c r="M1475">
        <f t="shared" si="93"/>
        <v>1</v>
      </c>
      <c r="N1475">
        <f t="shared" si="94"/>
        <v>0</v>
      </c>
      <c r="O1475" t="str">
        <f t="shared" ref="O1475:O1538" si="95">IF(SUMIFS(M:M,A:A,A1475)&gt;0,"Proposta não Ok","Proposta Ok")</f>
        <v>Proposta Ok</v>
      </c>
    </row>
    <row r="1476" spans="12:15" x14ac:dyDescent="0.25">
      <c r="L1476">
        <f t="shared" si="92"/>
        <v>0</v>
      </c>
      <c r="M1476">
        <f t="shared" si="93"/>
        <v>1</v>
      </c>
      <c r="N1476">
        <f t="shared" si="94"/>
        <v>0</v>
      </c>
      <c r="O1476" t="str">
        <f t="shared" si="95"/>
        <v>Proposta Ok</v>
      </c>
    </row>
    <row r="1477" spans="12:15" x14ac:dyDescent="0.25">
      <c r="L1477">
        <f t="shared" si="92"/>
        <v>0</v>
      </c>
      <c r="M1477">
        <f t="shared" si="93"/>
        <v>1</v>
      </c>
      <c r="N1477">
        <f t="shared" si="94"/>
        <v>0</v>
      </c>
      <c r="O1477" t="str">
        <f t="shared" si="95"/>
        <v>Proposta Ok</v>
      </c>
    </row>
    <row r="1478" spans="12:15" x14ac:dyDescent="0.25">
      <c r="L1478">
        <f t="shared" si="92"/>
        <v>0</v>
      </c>
      <c r="M1478">
        <f t="shared" si="93"/>
        <v>1</v>
      </c>
      <c r="N1478">
        <f t="shared" si="94"/>
        <v>0</v>
      </c>
      <c r="O1478" t="str">
        <f t="shared" si="95"/>
        <v>Proposta Ok</v>
      </c>
    </row>
    <row r="1479" spans="12:15" x14ac:dyDescent="0.25">
      <c r="L1479">
        <f t="shared" si="92"/>
        <v>0</v>
      </c>
      <c r="M1479">
        <f t="shared" si="93"/>
        <v>1</v>
      </c>
      <c r="N1479">
        <f t="shared" si="94"/>
        <v>0</v>
      </c>
      <c r="O1479" t="str">
        <f t="shared" si="95"/>
        <v>Proposta Ok</v>
      </c>
    </row>
    <row r="1480" spans="12:15" x14ac:dyDescent="0.25">
      <c r="L1480">
        <f t="shared" si="92"/>
        <v>0</v>
      </c>
      <c r="M1480">
        <f t="shared" si="93"/>
        <v>1</v>
      </c>
      <c r="N1480">
        <f t="shared" si="94"/>
        <v>0</v>
      </c>
      <c r="O1480" t="str">
        <f t="shared" si="95"/>
        <v>Proposta Ok</v>
      </c>
    </row>
    <row r="1481" spans="12:15" x14ac:dyDescent="0.25">
      <c r="L1481">
        <f t="shared" si="92"/>
        <v>0</v>
      </c>
      <c r="M1481">
        <f t="shared" si="93"/>
        <v>1</v>
      </c>
      <c r="N1481">
        <f t="shared" si="94"/>
        <v>0</v>
      </c>
      <c r="O1481" t="str">
        <f t="shared" si="95"/>
        <v>Proposta Ok</v>
      </c>
    </row>
    <row r="1482" spans="12:15" x14ac:dyDescent="0.25">
      <c r="L1482">
        <f t="shared" si="92"/>
        <v>0</v>
      </c>
      <c r="M1482">
        <f t="shared" si="93"/>
        <v>1</v>
      </c>
      <c r="N1482">
        <f t="shared" si="94"/>
        <v>0</v>
      </c>
      <c r="O1482" t="str">
        <f t="shared" si="95"/>
        <v>Proposta Ok</v>
      </c>
    </row>
    <row r="1483" spans="12:15" x14ac:dyDescent="0.25">
      <c r="L1483">
        <f t="shared" si="92"/>
        <v>0</v>
      </c>
      <c r="M1483">
        <f t="shared" si="93"/>
        <v>1</v>
      </c>
      <c r="N1483">
        <f t="shared" si="94"/>
        <v>0</v>
      </c>
      <c r="O1483" t="str">
        <f t="shared" si="95"/>
        <v>Proposta Ok</v>
      </c>
    </row>
    <row r="1484" spans="12:15" x14ac:dyDescent="0.25">
      <c r="L1484">
        <f t="shared" si="92"/>
        <v>0</v>
      </c>
      <c r="M1484">
        <f t="shared" si="93"/>
        <v>1</v>
      </c>
      <c r="N1484">
        <f t="shared" si="94"/>
        <v>0</v>
      </c>
      <c r="O1484" t="str">
        <f t="shared" si="95"/>
        <v>Proposta Ok</v>
      </c>
    </row>
    <row r="1485" spans="12:15" x14ac:dyDescent="0.25">
      <c r="L1485">
        <f t="shared" si="92"/>
        <v>0</v>
      </c>
      <c r="M1485">
        <f t="shared" si="93"/>
        <v>1</v>
      </c>
      <c r="N1485">
        <f t="shared" si="94"/>
        <v>0</v>
      </c>
      <c r="O1485" t="str">
        <f t="shared" si="95"/>
        <v>Proposta Ok</v>
      </c>
    </row>
    <row r="1486" spans="12:15" x14ac:dyDescent="0.25">
      <c r="L1486">
        <f t="shared" si="92"/>
        <v>0</v>
      </c>
      <c r="M1486">
        <f t="shared" si="93"/>
        <v>1</v>
      </c>
      <c r="N1486">
        <f t="shared" si="94"/>
        <v>0</v>
      </c>
      <c r="O1486" t="str">
        <f t="shared" si="95"/>
        <v>Proposta Ok</v>
      </c>
    </row>
    <row r="1487" spans="12:15" x14ac:dyDescent="0.25">
      <c r="L1487">
        <f t="shared" si="92"/>
        <v>0</v>
      </c>
      <c r="M1487">
        <f t="shared" si="93"/>
        <v>1</v>
      </c>
      <c r="N1487">
        <f t="shared" si="94"/>
        <v>0</v>
      </c>
      <c r="O1487" t="str">
        <f t="shared" si="95"/>
        <v>Proposta Ok</v>
      </c>
    </row>
    <row r="1488" spans="12:15" x14ac:dyDescent="0.25">
      <c r="L1488">
        <f t="shared" si="92"/>
        <v>0</v>
      </c>
      <c r="M1488">
        <f t="shared" si="93"/>
        <v>1</v>
      </c>
      <c r="N1488">
        <f t="shared" si="94"/>
        <v>0</v>
      </c>
      <c r="O1488" t="str">
        <f t="shared" si="95"/>
        <v>Proposta Ok</v>
      </c>
    </row>
    <row r="1489" spans="12:15" x14ac:dyDescent="0.25">
      <c r="L1489">
        <f t="shared" si="92"/>
        <v>0</v>
      </c>
      <c r="M1489">
        <f t="shared" si="93"/>
        <v>1</v>
      </c>
      <c r="N1489">
        <f t="shared" si="94"/>
        <v>0</v>
      </c>
      <c r="O1489" t="str">
        <f t="shared" si="95"/>
        <v>Proposta Ok</v>
      </c>
    </row>
    <row r="1490" spans="12:15" x14ac:dyDescent="0.25">
      <c r="L1490">
        <f t="shared" si="92"/>
        <v>0</v>
      </c>
      <c r="M1490">
        <f t="shared" si="93"/>
        <v>1</v>
      </c>
      <c r="N1490">
        <f t="shared" si="94"/>
        <v>0</v>
      </c>
      <c r="O1490" t="str">
        <f t="shared" si="95"/>
        <v>Proposta Ok</v>
      </c>
    </row>
    <row r="1491" spans="12:15" x14ac:dyDescent="0.25">
      <c r="L1491">
        <f t="shared" si="92"/>
        <v>0</v>
      </c>
      <c r="M1491">
        <f t="shared" si="93"/>
        <v>1</v>
      </c>
      <c r="N1491">
        <f t="shared" si="94"/>
        <v>0</v>
      </c>
      <c r="O1491" t="str">
        <f t="shared" si="95"/>
        <v>Proposta Ok</v>
      </c>
    </row>
    <row r="1492" spans="12:15" x14ac:dyDescent="0.25">
      <c r="L1492">
        <f t="shared" si="92"/>
        <v>0</v>
      </c>
      <c r="M1492">
        <f t="shared" si="93"/>
        <v>1</v>
      </c>
      <c r="N1492">
        <f t="shared" si="94"/>
        <v>0</v>
      </c>
      <c r="O1492" t="str">
        <f t="shared" si="95"/>
        <v>Proposta Ok</v>
      </c>
    </row>
    <row r="1493" spans="12:15" x14ac:dyDescent="0.25">
      <c r="L1493">
        <f t="shared" si="92"/>
        <v>0</v>
      </c>
      <c r="M1493">
        <f t="shared" si="93"/>
        <v>1</v>
      </c>
      <c r="N1493">
        <f t="shared" si="94"/>
        <v>0</v>
      </c>
      <c r="O1493" t="str">
        <f t="shared" si="95"/>
        <v>Proposta Ok</v>
      </c>
    </row>
    <row r="1494" spans="12:15" x14ac:dyDescent="0.25">
      <c r="L1494">
        <f t="shared" si="92"/>
        <v>0</v>
      </c>
      <c r="M1494">
        <f t="shared" si="93"/>
        <v>1</v>
      </c>
      <c r="N1494">
        <f t="shared" si="94"/>
        <v>0</v>
      </c>
      <c r="O1494" t="str">
        <f t="shared" si="95"/>
        <v>Proposta Ok</v>
      </c>
    </row>
    <row r="1495" spans="12:15" x14ac:dyDescent="0.25">
      <c r="L1495">
        <f t="shared" si="92"/>
        <v>0</v>
      </c>
      <c r="M1495">
        <f t="shared" si="93"/>
        <v>1</v>
      </c>
      <c r="N1495">
        <f t="shared" si="94"/>
        <v>0</v>
      </c>
      <c r="O1495" t="str">
        <f t="shared" si="95"/>
        <v>Proposta Ok</v>
      </c>
    </row>
    <row r="1496" spans="12:15" x14ac:dyDescent="0.25">
      <c r="L1496">
        <f t="shared" si="92"/>
        <v>0</v>
      </c>
      <c r="M1496">
        <f t="shared" si="93"/>
        <v>1</v>
      </c>
      <c r="N1496">
        <f t="shared" si="94"/>
        <v>0</v>
      </c>
      <c r="O1496" t="str">
        <f t="shared" si="95"/>
        <v>Proposta Ok</v>
      </c>
    </row>
    <row r="1497" spans="12:15" x14ac:dyDescent="0.25">
      <c r="L1497">
        <f t="shared" si="92"/>
        <v>0</v>
      </c>
      <c r="M1497">
        <f t="shared" si="93"/>
        <v>1</v>
      </c>
      <c r="N1497">
        <f t="shared" si="94"/>
        <v>0</v>
      </c>
      <c r="O1497" t="str">
        <f t="shared" si="95"/>
        <v>Proposta Ok</v>
      </c>
    </row>
    <row r="1498" spans="12:15" x14ac:dyDescent="0.25">
      <c r="L1498">
        <f t="shared" si="92"/>
        <v>0</v>
      </c>
      <c r="M1498">
        <f t="shared" si="93"/>
        <v>1</v>
      </c>
      <c r="N1498">
        <f t="shared" si="94"/>
        <v>0</v>
      </c>
      <c r="O1498" t="str">
        <f t="shared" si="95"/>
        <v>Proposta Ok</v>
      </c>
    </row>
    <row r="1499" spans="12:15" x14ac:dyDescent="0.25">
      <c r="L1499">
        <f t="shared" si="92"/>
        <v>0</v>
      </c>
      <c r="M1499">
        <f t="shared" si="93"/>
        <v>1</v>
      </c>
      <c r="N1499">
        <f t="shared" si="94"/>
        <v>0</v>
      </c>
      <c r="O1499" t="str">
        <f t="shared" si="95"/>
        <v>Proposta Ok</v>
      </c>
    </row>
    <row r="1500" spans="12:15" x14ac:dyDescent="0.25">
      <c r="L1500">
        <f t="shared" si="92"/>
        <v>0</v>
      </c>
      <c r="M1500">
        <f t="shared" si="93"/>
        <v>1</v>
      </c>
      <c r="N1500">
        <f t="shared" si="94"/>
        <v>0</v>
      </c>
      <c r="O1500" t="str">
        <f t="shared" si="95"/>
        <v>Proposta Ok</v>
      </c>
    </row>
    <row r="1501" spans="12:15" x14ac:dyDescent="0.25">
      <c r="L1501">
        <f t="shared" si="92"/>
        <v>0</v>
      </c>
      <c r="M1501">
        <f t="shared" si="93"/>
        <v>1</v>
      </c>
      <c r="N1501">
        <f t="shared" si="94"/>
        <v>0</v>
      </c>
      <c r="O1501" t="str">
        <f t="shared" si="95"/>
        <v>Proposta Ok</v>
      </c>
    </row>
    <row r="1502" spans="12:15" x14ac:dyDescent="0.25">
      <c r="L1502">
        <f t="shared" si="92"/>
        <v>0</v>
      </c>
      <c r="M1502">
        <f t="shared" si="93"/>
        <v>1</v>
      </c>
      <c r="N1502">
        <f t="shared" si="94"/>
        <v>0</v>
      </c>
      <c r="O1502" t="str">
        <f t="shared" si="95"/>
        <v>Proposta Ok</v>
      </c>
    </row>
    <row r="1503" spans="12:15" x14ac:dyDescent="0.25">
      <c r="L1503">
        <f t="shared" si="92"/>
        <v>0</v>
      </c>
      <c r="M1503">
        <f t="shared" si="93"/>
        <v>1</v>
      </c>
      <c r="N1503">
        <f t="shared" si="94"/>
        <v>0</v>
      </c>
      <c r="O1503" t="str">
        <f t="shared" si="95"/>
        <v>Proposta Ok</v>
      </c>
    </row>
    <row r="1504" spans="12:15" x14ac:dyDescent="0.25">
      <c r="L1504">
        <f t="shared" si="92"/>
        <v>0</v>
      </c>
      <c r="M1504">
        <f t="shared" si="93"/>
        <v>1</v>
      </c>
      <c r="N1504">
        <f t="shared" si="94"/>
        <v>0</v>
      </c>
      <c r="O1504" t="str">
        <f t="shared" si="95"/>
        <v>Proposta Ok</v>
      </c>
    </row>
    <row r="1505" spans="12:15" x14ac:dyDescent="0.25">
      <c r="L1505">
        <f t="shared" si="92"/>
        <v>0</v>
      </c>
      <c r="M1505">
        <f t="shared" si="93"/>
        <v>1</v>
      </c>
      <c r="N1505">
        <f t="shared" si="94"/>
        <v>0</v>
      </c>
      <c r="O1505" t="str">
        <f t="shared" si="95"/>
        <v>Proposta Ok</v>
      </c>
    </row>
    <row r="1506" spans="12:15" x14ac:dyDescent="0.25">
      <c r="L1506">
        <f t="shared" si="92"/>
        <v>0</v>
      </c>
      <c r="M1506">
        <f t="shared" si="93"/>
        <v>1</v>
      </c>
      <c r="N1506">
        <f t="shared" si="94"/>
        <v>0</v>
      </c>
      <c r="O1506" t="str">
        <f t="shared" si="95"/>
        <v>Proposta Ok</v>
      </c>
    </row>
    <row r="1507" spans="12:15" x14ac:dyDescent="0.25">
      <c r="L1507">
        <f t="shared" si="92"/>
        <v>0</v>
      </c>
      <c r="M1507">
        <f t="shared" si="93"/>
        <v>1</v>
      </c>
      <c r="N1507">
        <f t="shared" si="94"/>
        <v>0</v>
      </c>
      <c r="O1507" t="str">
        <f t="shared" si="95"/>
        <v>Proposta Ok</v>
      </c>
    </row>
    <row r="1508" spans="12:15" x14ac:dyDescent="0.25">
      <c r="L1508">
        <f t="shared" si="92"/>
        <v>0</v>
      </c>
      <c r="M1508">
        <f t="shared" si="93"/>
        <v>1</v>
      </c>
      <c r="N1508">
        <f t="shared" si="94"/>
        <v>0</v>
      </c>
      <c r="O1508" t="str">
        <f t="shared" si="95"/>
        <v>Proposta Ok</v>
      </c>
    </row>
    <row r="1509" spans="12:15" x14ac:dyDescent="0.25">
      <c r="L1509">
        <f t="shared" si="92"/>
        <v>0</v>
      </c>
      <c r="M1509">
        <f t="shared" si="93"/>
        <v>1</v>
      </c>
      <c r="N1509">
        <f t="shared" si="94"/>
        <v>0</v>
      </c>
      <c r="O1509" t="str">
        <f t="shared" si="95"/>
        <v>Proposta Ok</v>
      </c>
    </row>
    <row r="1510" spans="12:15" x14ac:dyDescent="0.25">
      <c r="L1510">
        <f t="shared" si="92"/>
        <v>0</v>
      </c>
      <c r="M1510">
        <f t="shared" si="93"/>
        <v>1</v>
      </c>
      <c r="N1510">
        <f t="shared" si="94"/>
        <v>0</v>
      </c>
      <c r="O1510" t="str">
        <f t="shared" si="95"/>
        <v>Proposta Ok</v>
      </c>
    </row>
    <row r="1511" spans="12:15" x14ac:dyDescent="0.25">
      <c r="L1511">
        <f t="shared" si="92"/>
        <v>0</v>
      </c>
      <c r="M1511">
        <f t="shared" si="93"/>
        <v>1</v>
      </c>
      <c r="N1511">
        <f t="shared" si="94"/>
        <v>0</v>
      </c>
      <c r="O1511" t="str">
        <f t="shared" si="95"/>
        <v>Proposta Ok</v>
      </c>
    </row>
    <row r="1512" spans="12:15" x14ac:dyDescent="0.25">
      <c r="L1512">
        <f t="shared" si="92"/>
        <v>0</v>
      </c>
      <c r="M1512">
        <f t="shared" si="93"/>
        <v>1</v>
      </c>
      <c r="N1512">
        <f t="shared" si="94"/>
        <v>0</v>
      </c>
      <c r="O1512" t="str">
        <f t="shared" si="95"/>
        <v>Proposta Ok</v>
      </c>
    </row>
    <row r="1513" spans="12:15" x14ac:dyDescent="0.25">
      <c r="L1513">
        <f t="shared" si="92"/>
        <v>0</v>
      </c>
      <c r="M1513">
        <f t="shared" si="93"/>
        <v>1</v>
      </c>
      <c r="N1513">
        <f t="shared" si="94"/>
        <v>0</v>
      </c>
      <c r="O1513" t="str">
        <f t="shared" si="95"/>
        <v>Proposta Ok</v>
      </c>
    </row>
    <row r="1514" spans="12:15" x14ac:dyDescent="0.25">
      <c r="L1514">
        <f t="shared" si="92"/>
        <v>0</v>
      </c>
      <c r="M1514">
        <f t="shared" si="93"/>
        <v>1</v>
      </c>
      <c r="N1514">
        <f t="shared" si="94"/>
        <v>0</v>
      </c>
      <c r="O1514" t="str">
        <f t="shared" si="95"/>
        <v>Proposta Ok</v>
      </c>
    </row>
    <row r="1515" spans="12:15" x14ac:dyDescent="0.25">
      <c r="L1515">
        <f t="shared" si="92"/>
        <v>0</v>
      </c>
      <c r="M1515">
        <f t="shared" si="93"/>
        <v>1</v>
      </c>
      <c r="N1515">
        <f t="shared" si="94"/>
        <v>0</v>
      </c>
      <c r="O1515" t="str">
        <f t="shared" si="95"/>
        <v>Proposta Ok</v>
      </c>
    </row>
    <row r="1516" spans="12:15" x14ac:dyDescent="0.25">
      <c r="L1516">
        <f t="shared" si="92"/>
        <v>0</v>
      </c>
      <c r="M1516">
        <f t="shared" si="93"/>
        <v>1</v>
      </c>
      <c r="N1516">
        <f t="shared" si="94"/>
        <v>0</v>
      </c>
      <c r="O1516" t="str">
        <f t="shared" si="95"/>
        <v>Proposta Ok</v>
      </c>
    </row>
    <row r="1517" spans="12:15" x14ac:dyDescent="0.25">
      <c r="L1517">
        <f t="shared" si="92"/>
        <v>0</v>
      </c>
      <c r="M1517">
        <f t="shared" si="93"/>
        <v>1</v>
      </c>
      <c r="N1517">
        <f t="shared" si="94"/>
        <v>0</v>
      </c>
      <c r="O1517" t="str">
        <f t="shared" si="95"/>
        <v>Proposta Ok</v>
      </c>
    </row>
    <row r="1518" spans="12:15" x14ac:dyDescent="0.25">
      <c r="L1518">
        <f t="shared" si="92"/>
        <v>0</v>
      </c>
      <c r="M1518">
        <f t="shared" si="93"/>
        <v>1</v>
      </c>
      <c r="N1518">
        <f t="shared" si="94"/>
        <v>0</v>
      </c>
      <c r="O1518" t="str">
        <f t="shared" si="95"/>
        <v>Proposta Ok</v>
      </c>
    </row>
    <row r="1519" spans="12:15" x14ac:dyDescent="0.25">
      <c r="L1519">
        <f t="shared" si="92"/>
        <v>0</v>
      </c>
      <c r="M1519">
        <f t="shared" si="93"/>
        <v>1</v>
      </c>
      <c r="N1519">
        <f t="shared" si="94"/>
        <v>0</v>
      </c>
      <c r="O1519" t="str">
        <f t="shared" si="95"/>
        <v>Proposta Ok</v>
      </c>
    </row>
    <row r="1520" spans="12:15" x14ac:dyDescent="0.25">
      <c r="L1520">
        <f t="shared" si="92"/>
        <v>0</v>
      </c>
      <c r="M1520">
        <f t="shared" si="93"/>
        <v>1</v>
      </c>
      <c r="N1520">
        <f t="shared" si="94"/>
        <v>0</v>
      </c>
      <c r="O1520" t="str">
        <f t="shared" si="95"/>
        <v>Proposta Ok</v>
      </c>
    </row>
    <row r="1521" spans="12:15" x14ac:dyDescent="0.25">
      <c r="L1521">
        <f t="shared" si="92"/>
        <v>0</v>
      </c>
      <c r="M1521">
        <f t="shared" si="93"/>
        <v>1</v>
      </c>
      <c r="N1521">
        <f t="shared" si="94"/>
        <v>0</v>
      </c>
      <c r="O1521" t="str">
        <f t="shared" si="95"/>
        <v>Proposta Ok</v>
      </c>
    </row>
    <row r="1522" spans="12:15" x14ac:dyDescent="0.25">
      <c r="L1522">
        <f t="shared" si="92"/>
        <v>0</v>
      </c>
      <c r="M1522">
        <f t="shared" si="93"/>
        <v>1</v>
      </c>
      <c r="N1522">
        <f t="shared" si="94"/>
        <v>0</v>
      </c>
      <c r="O1522" t="str">
        <f t="shared" si="95"/>
        <v>Proposta Ok</v>
      </c>
    </row>
    <row r="1523" spans="12:15" x14ac:dyDescent="0.25">
      <c r="L1523">
        <f t="shared" si="92"/>
        <v>0</v>
      </c>
      <c r="M1523">
        <f t="shared" si="93"/>
        <v>1</v>
      </c>
      <c r="N1523">
        <f t="shared" si="94"/>
        <v>0</v>
      </c>
      <c r="O1523" t="str">
        <f t="shared" si="95"/>
        <v>Proposta Ok</v>
      </c>
    </row>
    <row r="1524" spans="12:15" x14ac:dyDescent="0.25">
      <c r="L1524">
        <f t="shared" si="92"/>
        <v>0</v>
      </c>
      <c r="M1524">
        <f t="shared" si="93"/>
        <v>1</v>
      </c>
      <c r="N1524">
        <f t="shared" si="94"/>
        <v>0</v>
      </c>
      <c r="O1524" t="str">
        <f t="shared" si="95"/>
        <v>Proposta Ok</v>
      </c>
    </row>
    <row r="1525" spans="12:15" x14ac:dyDescent="0.25">
      <c r="L1525">
        <f t="shared" si="92"/>
        <v>0</v>
      </c>
      <c r="M1525">
        <f t="shared" si="93"/>
        <v>1</v>
      </c>
      <c r="N1525">
        <f t="shared" si="94"/>
        <v>0</v>
      </c>
      <c r="O1525" t="str">
        <f t="shared" si="95"/>
        <v>Proposta Ok</v>
      </c>
    </row>
    <row r="1526" spans="12:15" x14ac:dyDescent="0.25">
      <c r="L1526">
        <f t="shared" si="92"/>
        <v>0</v>
      </c>
      <c r="M1526">
        <f t="shared" si="93"/>
        <v>1</v>
      </c>
      <c r="N1526">
        <f t="shared" si="94"/>
        <v>0</v>
      </c>
      <c r="O1526" t="str">
        <f t="shared" si="95"/>
        <v>Proposta Ok</v>
      </c>
    </row>
    <row r="1527" spans="12:15" x14ac:dyDescent="0.25">
      <c r="L1527">
        <f t="shared" si="92"/>
        <v>0</v>
      </c>
      <c r="M1527">
        <f t="shared" si="93"/>
        <v>1</v>
      </c>
      <c r="N1527">
        <f t="shared" si="94"/>
        <v>0</v>
      </c>
      <c r="O1527" t="str">
        <f t="shared" si="95"/>
        <v>Proposta Ok</v>
      </c>
    </row>
    <row r="1528" spans="12:15" x14ac:dyDescent="0.25">
      <c r="L1528">
        <f t="shared" si="92"/>
        <v>0</v>
      </c>
      <c r="M1528">
        <f t="shared" si="93"/>
        <v>1</v>
      </c>
      <c r="N1528">
        <f t="shared" si="94"/>
        <v>0</v>
      </c>
      <c r="O1528" t="str">
        <f t="shared" si="95"/>
        <v>Proposta Ok</v>
      </c>
    </row>
    <row r="1529" spans="12:15" x14ac:dyDescent="0.25">
      <c r="L1529">
        <f t="shared" si="92"/>
        <v>0</v>
      </c>
      <c r="M1529">
        <f t="shared" si="93"/>
        <v>1</v>
      </c>
      <c r="N1529">
        <f t="shared" si="94"/>
        <v>0</v>
      </c>
      <c r="O1529" t="str">
        <f t="shared" si="95"/>
        <v>Proposta Ok</v>
      </c>
    </row>
    <row r="1530" spans="12:15" x14ac:dyDescent="0.25">
      <c r="L1530">
        <f t="shared" si="92"/>
        <v>0</v>
      </c>
      <c r="M1530">
        <f t="shared" si="93"/>
        <v>1</v>
      </c>
      <c r="N1530">
        <f t="shared" si="94"/>
        <v>0</v>
      </c>
      <c r="O1530" t="str">
        <f t="shared" si="95"/>
        <v>Proposta Ok</v>
      </c>
    </row>
    <row r="1531" spans="12:15" x14ac:dyDescent="0.25">
      <c r="L1531">
        <f t="shared" si="92"/>
        <v>0</v>
      </c>
      <c r="M1531">
        <f t="shared" si="93"/>
        <v>1</v>
      </c>
      <c r="N1531">
        <f t="shared" si="94"/>
        <v>0</v>
      </c>
      <c r="O1531" t="str">
        <f t="shared" si="95"/>
        <v>Proposta Ok</v>
      </c>
    </row>
    <row r="1532" spans="12:15" x14ac:dyDescent="0.25">
      <c r="L1532">
        <f t="shared" si="92"/>
        <v>0</v>
      </c>
      <c r="M1532">
        <f t="shared" si="93"/>
        <v>1</v>
      </c>
      <c r="N1532">
        <f t="shared" si="94"/>
        <v>0</v>
      </c>
      <c r="O1532" t="str">
        <f t="shared" si="95"/>
        <v>Proposta Ok</v>
      </c>
    </row>
    <row r="1533" spans="12:15" x14ac:dyDescent="0.25">
      <c r="L1533">
        <f t="shared" si="92"/>
        <v>0</v>
      </c>
      <c r="M1533">
        <f t="shared" si="93"/>
        <v>1</v>
      </c>
      <c r="N1533">
        <f t="shared" si="94"/>
        <v>0</v>
      </c>
      <c r="O1533" t="str">
        <f t="shared" si="95"/>
        <v>Proposta Ok</v>
      </c>
    </row>
    <row r="1534" spans="12:15" x14ac:dyDescent="0.25">
      <c r="L1534">
        <f t="shared" ref="L1534:L1597" si="96">IF(OR(I1534="Termo OK (Exceção)",I1534="Termo OK"),1,0)</f>
        <v>0</v>
      </c>
      <c r="M1534">
        <f t="shared" ref="M1534:M1597" si="97">IF(OR(I1534="Termo OK (Exceção)",I1534="Termo OK"),0,1)</f>
        <v>1</v>
      </c>
      <c r="N1534">
        <f t="shared" ref="N1534:N1597" si="98">IF(J1534="SIM",1,0)</f>
        <v>0</v>
      </c>
      <c r="O1534" t="str">
        <f t="shared" si="95"/>
        <v>Proposta Ok</v>
      </c>
    </row>
    <row r="1535" spans="12:15" x14ac:dyDescent="0.25">
      <c r="L1535">
        <f t="shared" si="96"/>
        <v>0</v>
      </c>
      <c r="M1535">
        <f t="shared" si="97"/>
        <v>1</v>
      </c>
      <c r="N1535">
        <f t="shared" si="98"/>
        <v>0</v>
      </c>
      <c r="O1535" t="str">
        <f t="shared" si="95"/>
        <v>Proposta Ok</v>
      </c>
    </row>
    <row r="1536" spans="12:15" x14ac:dyDescent="0.25">
      <c r="L1536">
        <f t="shared" si="96"/>
        <v>0</v>
      </c>
      <c r="M1536">
        <f t="shared" si="97"/>
        <v>1</v>
      </c>
      <c r="N1536">
        <f t="shared" si="98"/>
        <v>0</v>
      </c>
      <c r="O1536" t="str">
        <f t="shared" si="95"/>
        <v>Proposta Ok</v>
      </c>
    </row>
    <row r="1537" spans="12:15" x14ac:dyDescent="0.25">
      <c r="L1537">
        <f t="shared" si="96"/>
        <v>0</v>
      </c>
      <c r="M1537">
        <f t="shared" si="97"/>
        <v>1</v>
      </c>
      <c r="N1537">
        <f t="shared" si="98"/>
        <v>0</v>
      </c>
      <c r="O1537" t="str">
        <f t="shared" si="95"/>
        <v>Proposta Ok</v>
      </c>
    </row>
    <row r="1538" spans="12:15" x14ac:dyDescent="0.25">
      <c r="L1538">
        <f t="shared" si="96"/>
        <v>0</v>
      </c>
      <c r="M1538">
        <f t="shared" si="97"/>
        <v>1</v>
      </c>
      <c r="N1538">
        <f t="shared" si="98"/>
        <v>0</v>
      </c>
      <c r="O1538" t="str">
        <f t="shared" si="95"/>
        <v>Proposta Ok</v>
      </c>
    </row>
    <row r="1539" spans="12:15" x14ac:dyDescent="0.25">
      <c r="L1539">
        <f t="shared" si="96"/>
        <v>0</v>
      </c>
      <c r="M1539">
        <f t="shared" si="97"/>
        <v>1</v>
      </c>
      <c r="N1539">
        <f t="shared" si="98"/>
        <v>0</v>
      </c>
      <c r="O1539" t="str">
        <f t="shared" ref="O1539:O1602" si="99">IF(SUMIFS(M:M,A:A,A1539)&gt;0,"Proposta não Ok","Proposta Ok")</f>
        <v>Proposta Ok</v>
      </c>
    </row>
    <row r="1540" spans="12:15" x14ac:dyDescent="0.25">
      <c r="L1540">
        <f t="shared" si="96"/>
        <v>0</v>
      </c>
      <c r="M1540">
        <f t="shared" si="97"/>
        <v>1</v>
      </c>
      <c r="N1540">
        <f t="shared" si="98"/>
        <v>0</v>
      </c>
      <c r="O1540" t="str">
        <f t="shared" si="99"/>
        <v>Proposta Ok</v>
      </c>
    </row>
    <row r="1541" spans="12:15" x14ac:dyDescent="0.25">
      <c r="L1541">
        <f t="shared" si="96"/>
        <v>0</v>
      </c>
      <c r="M1541">
        <f t="shared" si="97"/>
        <v>1</v>
      </c>
      <c r="N1541">
        <f t="shared" si="98"/>
        <v>0</v>
      </c>
      <c r="O1541" t="str">
        <f t="shared" si="99"/>
        <v>Proposta Ok</v>
      </c>
    </row>
    <row r="1542" spans="12:15" x14ac:dyDescent="0.25">
      <c r="L1542">
        <f t="shared" si="96"/>
        <v>0</v>
      </c>
      <c r="M1542">
        <f t="shared" si="97"/>
        <v>1</v>
      </c>
      <c r="N1542">
        <f t="shared" si="98"/>
        <v>0</v>
      </c>
      <c r="O1542" t="str">
        <f t="shared" si="99"/>
        <v>Proposta Ok</v>
      </c>
    </row>
    <row r="1543" spans="12:15" x14ac:dyDescent="0.25">
      <c r="L1543">
        <f t="shared" si="96"/>
        <v>0</v>
      </c>
      <c r="M1543">
        <f t="shared" si="97"/>
        <v>1</v>
      </c>
      <c r="N1543">
        <f t="shared" si="98"/>
        <v>0</v>
      </c>
      <c r="O1543" t="str">
        <f t="shared" si="99"/>
        <v>Proposta Ok</v>
      </c>
    </row>
    <row r="1544" spans="12:15" x14ac:dyDescent="0.25">
      <c r="L1544">
        <f t="shared" si="96"/>
        <v>0</v>
      </c>
      <c r="M1544">
        <f t="shared" si="97"/>
        <v>1</v>
      </c>
      <c r="N1544">
        <f t="shared" si="98"/>
        <v>0</v>
      </c>
      <c r="O1544" t="str">
        <f t="shared" si="99"/>
        <v>Proposta Ok</v>
      </c>
    </row>
    <row r="1545" spans="12:15" x14ac:dyDescent="0.25">
      <c r="L1545">
        <f t="shared" si="96"/>
        <v>0</v>
      </c>
      <c r="M1545">
        <f t="shared" si="97"/>
        <v>1</v>
      </c>
      <c r="N1545">
        <f t="shared" si="98"/>
        <v>0</v>
      </c>
      <c r="O1545" t="str">
        <f t="shared" si="99"/>
        <v>Proposta Ok</v>
      </c>
    </row>
    <row r="1546" spans="12:15" x14ac:dyDescent="0.25">
      <c r="L1546">
        <f t="shared" si="96"/>
        <v>0</v>
      </c>
      <c r="M1546">
        <f t="shared" si="97"/>
        <v>1</v>
      </c>
      <c r="N1546">
        <f t="shared" si="98"/>
        <v>0</v>
      </c>
      <c r="O1546" t="str">
        <f t="shared" si="99"/>
        <v>Proposta Ok</v>
      </c>
    </row>
    <row r="1547" spans="12:15" x14ac:dyDescent="0.25">
      <c r="L1547">
        <f t="shared" si="96"/>
        <v>0</v>
      </c>
      <c r="M1547">
        <f t="shared" si="97"/>
        <v>1</v>
      </c>
      <c r="N1547">
        <f t="shared" si="98"/>
        <v>0</v>
      </c>
      <c r="O1547" t="str">
        <f t="shared" si="99"/>
        <v>Proposta Ok</v>
      </c>
    </row>
    <row r="1548" spans="12:15" x14ac:dyDescent="0.25">
      <c r="L1548">
        <f t="shared" si="96"/>
        <v>0</v>
      </c>
      <c r="M1548">
        <f t="shared" si="97"/>
        <v>1</v>
      </c>
      <c r="N1548">
        <f t="shared" si="98"/>
        <v>0</v>
      </c>
      <c r="O1548" t="str">
        <f t="shared" si="99"/>
        <v>Proposta Ok</v>
      </c>
    </row>
    <row r="1549" spans="12:15" x14ac:dyDescent="0.25">
      <c r="L1549">
        <f t="shared" si="96"/>
        <v>0</v>
      </c>
      <c r="M1549">
        <f t="shared" si="97"/>
        <v>1</v>
      </c>
      <c r="N1549">
        <f t="shared" si="98"/>
        <v>0</v>
      </c>
      <c r="O1549" t="str">
        <f t="shared" si="99"/>
        <v>Proposta Ok</v>
      </c>
    </row>
    <row r="1550" spans="12:15" x14ac:dyDescent="0.25">
      <c r="L1550">
        <f t="shared" si="96"/>
        <v>0</v>
      </c>
      <c r="M1550">
        <f t="shared" si="97"/>
        <v>1</v>
      </c>
      <c r="N1550">
        <f t="shared" si="98"/>
        <v>0</v>
      </c>
      <c r="O1550" t="str">
        <f t="shared" si="99"/>
        <v>Proposta Ok</v>
      </c>
    </row>
    <row r="1551" spans="12:15" x14ac:dyDescent="0.25">
      <c r="L1551">
        <f t="shared" si="96"/>
        <v>0</v>
      </c>
      <c r="M1551">
        <f t="shared" si="97"/>
        <v>1</v>
      </c>
      <c r="N1551">
        <f t="shared" si="98"/>
        <v>0</v>
      </c>
      <c r="O1551" t="str">
        <f t="shared" si="99"/>
        <v>Proposta Ok</v>
      </c>
    </row>
    <row r="1552" spans="12:15" x14ac:dyDescent="0.25">
      <c r="L1552">
        <f t="shared" si="96"/>
        <v>0</v>
      </c>
      <c r="M1552">
        <f t="shared" si="97"/>
        <v>1</v>
      </c>
      <c r="N1552">
        <f t="shared" si="98"/>
        <v>0</v>
      </c>
      <c r="O1552" t="str">
        <f t="shared" si="99"/>
        <v>Proposta Ok</v>
      </c>
    </row>
    <row r="1553" spans="12:15" x14ac:dyDescent="0.25">
      <c r="L1553">
        <f t="shared" si="96"/>
        <v>0</v>
      </c>
      <c r="M1553">
        <f t="shared" si="97"/>
        <v>1</v>
      </c>
      <c r="N1553">
        <f t="shared" si="98"/>
        <v>0</v>
      </c>
      <c r="O1553" t="str">
        <f t="shared" si="99"/>
        <v>Proposta Ok</v>
      </c>
    </row>
    <row r="1554" spans="12:15" x14ac:dyDescent="0.25">
      <c r="L1554">
        <f t="shared" si="96"/>
        <v>0</v>
      </c>
      <c r="M1554">
        <f t="shared" si="97"/>
        <v>1</v>
      </c>
      <c r="N1554">
        <f t="shared" si="98"/>
        <v>0</v>
      </c>
      <c r="O1554" t="str">
        <f t="shared" si="99"/>
        <v>Proposta Ok</v>
      </c>
    </row>
    <row r="1555" spans="12:15" x14ac:dyDescent="0.25">
      <c r="L1555">
        <f t="shared" si="96"/>
        <v>0</v>
      </c>
      <c r="M1555">
        <f t="shared" si="97"/>
        <v>1</v>
      </c>
      <c r="N1555">
        <f t="shared" si="98"/>
        <v>0</v>
      </c>
      <c r="O1555" t="str">
        <f t="shared" si="99"/>
        <v>Proposta Ok</v>
      </c>
    </row>
    <row r="1556" spans="12:15" x14ac:dyDescent="0.25">
      <c r="L1556">
        <f t="shared" si="96"/>
        <v>0</v>
      </c>
      <c r="M1556">
        <f t="shared" si="97"/>
        <v>1</v>
      </c>
      <c r="N1556">
        <f t="shared" si="98"/>
        <v>0</v>
      </c>
      <c r="O1556" t="str">
        <f t="shared" si="99"/>
        <v>Proposta Ok</v>
      </c>
    </row>
    <row r="1557" spans="12:15" x14ac:dyDescent="0.25">
      <c r="L1557">
        <f t="shared" si="96"/>
        <v>0</v>
      </c>
      <c r="M1557">
        <f t="shared" si="97"/>
        <v>1</v>
      </c>
      <c r="N1557">
        <f t="shared" si="98"/>
        <v>0</v>
      </c>
      <c r="O1557" t="str">
        <f t="shared" si="99"/>
        <v>Proposta Ok</v>
      </c>
    </row>
    <row r="1558" spans="12:15" x14ac:dyDescent="0.25">
      <c r="L1558">
        <f t="shared" si="96"/>
        <v>0</v>
      </c>
      <c r="M1558">
        <f t="shared" si="97"/>
        <v>1</v>
      </c>
      <c r="N1558">
        <f t="shared" si="98"/>
        <v>0</v>
      </c>
      <c r="O1558" t="str">
        <f t="shared" si="99"/>
        <v>Proposta Ok</v>
      </c>
    </row>
    <row r="1559" spans="12:15" x14ac:dyDescent="0.25">
      <c r="L1559">
        <f t="shared" si="96"/>
        <v>0</v>
      </c>
      <c r="M1559">
        <f t="shared" si="97"/>
        <v>1</v>
      </c>
      <c r="N1559">
        <f t="shared" si="98"/>
        <v>0</v>
      </c>
      <c r="O1559" t="str">
        <f t="shared" si="99"/>
        <v>Proposta Ok</v>
      </c>
    </row>
    <row r="1560" spans="12:15" x14ac:dyDescent="0.25">
      <c r="L1560">
        <f t="shared" si="96"/>
        <v>0</v>
      </c>
      <c r="M1560">
        <f t="shared" si="97"/>
        <v>1</v>
      </c>
      <c r="N1560">
        <f t="shared" si="98"/>
        <v>0</v>
      </c>
      <c r="O1560" t="str">
        <f t="shared" si="99"/>
        <v>Proposta Ok</v>
      </c>
    </row>
    <row r="1561" spans="12:15" x14ac:dyDescent="0.25">
      <c r="L1561">
        <f t="shared" si="96"/>
        <v>0</v>
      </c>
      <c r="M1561">
        <f t="shared" si="97"/>
        <v>1</v>
      </c>
      <c r="N1561">
        <f t="shared" si="98"/>
        <v>0</v>
      </c>
      <c r="O1561" t="str">
        <f t="shared" si="99"/>
        <v>Proposta Ok</v>
      </c>
    </row>
    <row r="1562" spans="12:15" x14ac:dyDescent="0.25">
      <c r="L1562">
        <f t="shared" si="96"/>
        <v>0</v>
      </c>
      <c r="M1562">
        <f t="shared" si="97"/>
        <v>1</v>
      </c>
      <c r="N1562">
        <f t="shared" si="98"/>
        <v>0</v>
      </c>
      <c r="O1562" t="str">
        <f t="shared" si="99"/>
        <v>Proposta Ok</v>
      </c>
    </row>
    <row r="1563" spans="12:15" x14ac:dyDescent="0.25">
      <c r="L1563">
        <f t="shared" si="96"/>
        <v>0</v>
      </c>
      <c r="M1563">
        <f t="shared" si="97"/>
        <v>1</v>
      </c>
      <c r="N1563">
        <f t="shared" si="98"/>
        <v>0</v>
      </c>
      <c r="O1563" t="str">
        <f t="shared" si="99"/>
        <v>Proposta Ok</v>
      </c>
    </row>
    <row r="1564" spans="12:15" x14ac:dyDescent="0.25">
      <c r="L1564">
        <f t="shared" si="96"/>
        <v>0</v>
      </c>
      <c r="M1564">
        <f t="shared" si="97"/>
        <v>1</v>
      </c>
      <c r="N1564">
        <f t="shared" si="98"/>
        <v>0</v>
      </c>
      <c r="O1564" t="str">
        <f t="shared" si="99"/>
        <v>Proposta Ok</v>
      </c>
    </row>
    <row r="1565" spans="12:15" x14ac:dyDescent="0.25">
      <c r="L1565">
        <f t="shared" si="96"/>
        <v>0</v>
      </c>
      <c r="M1565">
        <f t="shared" si="97"/>
        <v>1</v>
      </c>
      <c r="N1565">
        <f t="shared" si="98"/>
        <v>0</v>
      </c>
      <c r="O1565" t="str">
        <f t="shared" si="99"/>
        <v>Proposta Ok</v>
      </c>
    </row>
    <row r="1566" spans="12:15" x14ac:dyDescent="0.25">
      <c r="L1566">
        <f t="shared" si="96"/>
        <v>0</v>
      </c>
      <c r="M1566">
        <f t="shared" si="97"/>
        <v>1</v>
      </c>
      <c r="N1566">
        <f t="shared" si="98"/>
        <v>0</v>
      </c>
      <c r="O1566" t="str">
        <f t="shared" si="99"/>
        <v>Proposta Ok</v>
      </c>
    </row>
    <row r="1567" spans="12:15" x14ac:dyDescent="0.25">
      <c r="L1567">
        <f t="shared" si="96"/>
        <v>0</v>
      </c>
      <c r="M1567">
        <f t="shared" si="97"/>
        <v>1</v>
      </c>
      <c r="N1567">
        <f t="shared" si="98"/>
        <v>0</v>
      </c>
      <c r="O1567" t="str">
        <f t="shared" si="99"/>
        <v>Proposta Ok</v>
      </c>
    </row>
    <row r="1568" spans="12:15" x14ac:dyDescent="0.25">
      <c r="L1568">
        <f t="shared" si="96"/>
        <v>0</v>
      </c>
      <c r="M1568">
        <f t="shared" si="97"/>
        <v>1</v>
      </c>
      <c r="N1568">
        <f t="shared" si="98"/>
        <v>0</v>
      </c>
      <c r="O1568" t="str">
        <f t="shared" si="99"/>
        <v>Proposta Ok</v>
      </c>
    </row>
    <row r="1569" spans="12:15" x14ac:dyDescent="0.25">
      <c r="L1569">
        <f t="shared" si="96"/>
        <v>0</v>
      </c>
      <c r="M1569">
        <f t="shared" si="97"/>
        <v>1</v>
      </c>
      <c r="N1569">
        <f t="shared" si="98"/>
        <v>0</v>
      </c>
      <c r="O1569" t="str">
        <f t="shared" si="99"/>
        <v>Proposta Ok</v>
      </c>
    </row>
    <row r="1570" spans="12:15" x14ac:dyDescent="0.25">
      <c r="L1570">
        <f t="shared" si="96"/>
        <v>0</v>
      </c>
      <c r="M1570">
        <f t="shared" si="97"/>
        <v>1</v>
      </c>
      <c r="N1570">
        <f t="shared" si="98"/>
        <v>0</v>
      </c>
      <c r="O1570" t="str">
        <f t="shared" si="99"/>
        <v>Proposta Ok</v>
      </c>
    </row>
    <row r="1571" spans="12:15" x14ac:dyDescent="0.25">
      <c r="L1571">
        <f t="shared" si="96"/>
        <v>0</v>
      </c>
      <c r="M1571">
        <f t="shared" si="97"/>
        <v>1</v>
      </c>
      <c r="N1571">
        <f t="shared" si="98"/>
        <v>0</v>
      </c>
      <c r="O1571" t="str">
        <f t="shared" si="99"/>
        <v>Proposta Ok</v>
      </c>
    </row>
    <row r="1572" spans="12:15" x14ac:dyDescent="0.25">
      <c r="L1572">
        <f t="shared" si="96"/>
        <v>0</v>
      </c>
      <c r="M1572">
        <f t="shared" si="97"/>
        <v>1</v>
      </c>
      <c r="N1572">
        <f t="shared" si="98"/>
        <v>0</v>
      </c>
      <c r="O1572" t="str">
        <f t="shared" si="99"/>
        <v>Proposta Ok</v>
      </c>
    </row>
    <row r="1573" spans="12:15" x14ac:dyDescent="0.25">
      <c r="L1573">
        <f t="shared" si="96"/>
        <v>0</v>
      </c>
      <c r="M1573">
        <f t="shared" si="97"/>
        <v>1</v>
      </c>
      <c r="N1573">
        <f t="shared" si="98"/>
        <v>0</v>
      </c>
      <c r="O1573" t="str">
        <f t="shared" si="99"/>
        <v>Proposta Ok</v>
      </c>
    </row>
    <row r="1574" spans="12:15" x14ac:dyDescent="0.25">
      <c r="L1574">
        <f t="shared" si="96"/>
        <v>0</v>
      </c>
      <c r="M1574">
        <f t="shared" si="97"/>
        <v>1</v>
      </c>
      <c r="N1574">
        <f t="shared" si="98"/>
        <v>0</v>
      </c>
      <c r="O1574" t="str">
        <f t="shared" si="99"/>
        <v>Proposta Ok</v>
      </c>
    </row>
    <row r="1575" spans="12:15" x14ac:dyDescent="0.25">
      <c r="L1575">
        <f t="shared" si="96"/>
        <v>0</v>
      </c>
      <c r="M1575">
        <f t="shared" si="97"/>
        <v>1</v>
      </c>
      <c r="N1575">
        <f t="shared" si="98"/>
        <v>0</v>
      </c>
      <c r="O1575" t="str">
        <f t="shared" si="99"/>
        <v>Proposta Ok</v>
      </c>
    </row>
    <row r="1576" spans="12:15" x14ac:dyDescent="0.25">
      <c r="L1576">
        <f t="shared" si="96"/>
        <v>0</v>
      </c>
      <c r="M1576">
        <f t="shared" si="97"/>
        <v>1</v>
      </c>
      <c r="N1576">
        <f t="shared" si="98"/>
        <v>0</v>
      </c>
      <c r="O1576" t="str">
        <f t="shared" si="99"/>
        <v>Proposta Ok</v>
      </c>
    </row>
    <row r="1577" spans="12:15" x14ac:dyDescent="0.25">
      <c r="L1577">
        <f t="shared" si="96"/>
        <v>0</v>
      </c>
      <c r="M1577">
        <f t="shared" si="97"/>
        <v>1</v>
      </c>
      <c r="N1577">
        <f t="shared" si="98"/>
        <v>0</v>
      </c>
      <c r="O1577" t="str">
        <f t="shared" si="99"/>
        <v>Proposta Ok</v>
      </c>
    </row>
    <row r="1578" spans="12:15" x14ac:dyDescent="0.25">
      <c r="L1578">
        <f t="shared" si="96"/>
        <v>0</v>
      </c>
      <c r="M1578">
        <f t="shared" si="97"/>
        <v>1</v>
      </c>
      <c r="N1578">
        <f t="shared" si="98"/>
        <v>0</v>
      </c>
      <c r="O1578" t="str">
        <f t="shared" si="99"/>
        <v>Proposta Ok</v>
      </c>
    </row>
    <row r="1579" spans="12:15" x14ac:dyDescent="0.25">
      <c r="L1579">
        <f t="shared" si="96"/>
        <v>0</v>
      </c>
      <c r="M1579">
        <f t="shared" si="97"/>
        <v>1</v>
      </c>
      <c r="N1579">
        <f t="shared" si="98"/>
        <v>0</v>
      </c>
      <c r="O1579" t="str">
        <f t="shared" si="99"/>
        <v>Proposta Ok</v>
      </c>
    </row>
    <row r="1580" spans="12:15" x14ac:dyDescent="0.25">
      <c r="L1580">
        <f t="shared" si="96"/>
        <v>0</v>
      </c>
      <c r="M1580">
        <f t="shared" si="97"/>
        <v>1</v>
      </c>
      <c r="N1580">
        <f t="shared" si="98"/>
        <v>0</v>
      </c>
      <c r="O1580" t="str">
        <f t="shared" si="99"/>
        <v>Proposta Ok</v>
      </c>
    </row>
    <row r="1581" spans="12:15" x14ac:dyDescent="0.25">
      <c r="L1581">
        <f t="shared" si="96"/>
        <v>0</v>
      </c>
      <c r="M1581">
        <f t="shared" si="97"/>
        <v>1</v>
      </c>
      <c r="N1581">
        <f t="shared" si="98"/>
        <v>0</v>
      </c>
      <c r="O1581" t="str">
        <f t="shared" si="99"/>
        <v>Proposta Ok</v>
      </c>
    </row>
    <row r="1582" spans="12:15" x14ac:dyDescent="0.25">
      <c r="L1582">
        <f t="shared" si="96"/>
        <v>0</v>
      </c>
      <c r="M1582">
        <f t="shared" si="97"/>
        <v>1</v>
      </c>
      <c r="N1582">
        <f t="shared" si="98"/>
        <v>0</v>
      </c>
      <c r="O1582" t="str">
        <f t="shared" si="99"/>
        <v>Proposta Ok</v>
      </c>
    </row>
    <row r="1583" spans="12:15" x14ac:dyDescent="0.25">
      <c r="L1583">
        <f t="shared" si="96"/>
        <v>0</v>
      </c>
      <c r="M1583">
        <f t="shared" si="97"/>
        <v>1</v>
      </c>
      <c r="N1583">
        <f t="shared" si="98"/>
        <v>0</v>
      </c>
      <c r="O1583" t="str">
        <f t="shared" si="99"/>
        <v>Proposta Ok</v>
      </c>
    </row>
    <row r="1584" spans="12:15" x14ac:dyDescent="0.25">
      <c r="L1584">
        <f t="shared" si="96"/>
        <v>0</v>
      </c>
      <c r="M1584">
        <f t="shared" si="97"/>
        <v>1</v>
      </c>
      <c r="N1584">
        <f t="shared" si="98"/>
        <v>0</v>
      </c>
      <c r="O1584" t="str">
        <f t="shared" si="99"/>
        <v>Proposta Ok</v>
      </c>
    </row>
    <row r="1585" spans="12:15" x14ac:dyDescent="0.25">
      <c r="L1585">
        <f t="shared" si="96"/>
        <v>0</v>
      </c>
      <c r="M1585">
        <f t="shared" si="97"/>
        <v>1</v>
      </c>
      <c r="N1585">
        <f t="shared" si="98"/>
        <v>0</v>
      </c>
      <c r="O1585" t="str">
        <f t="shared" si="99"/>
        <v>Proposta Ok</v>
      </c>
    </row>
    <row r="1586" spans="12:15" x14ac:dyDescent="0.25">
      <c r="L1586">
        <f t="shared" si="96"/>
        <v>0</v>
      </c>
      <c r="M1586">
        <f t="shared" si="97"/>
        <v>1</v>
      </c>
      <c r="N1586">
        <f t="shared" si="98"/>
        <v>0</v>
      </c>
      <c r="O1586" t="str">
        <f t="shared" si="99"/>
        <v>Proposta Ok</v>
      </c>
    </row>
    <row r="1587" spans="12:15" x14ac:dyDescent="0.25">
      <c r="L1587">
        <f t="shared" si="96"/>
        <v>0</v>
      </c>
      <c r="M1587">
        <f t="shared" si="97"/>
        <v>1</v>
      </c>
      <c r="N1587">
        <f t="shared" si="98"/>
        <v>0</v>
      </c>
      <c r="O1587" t="str">
        <f t="shared" si="99"/>
        <v>Proposta Ok</v>
      </c>
    </row>
    <row r="1588" spans="12:15" x14ac:dyDescent="0.25">
      <c r="L1588">
        <f t="shared" si="96"/>
        <v>0</v>
      </c>
      <c r="M1588">
        <f t="shared" si="97"/>
        <v>1</v>
      </c>
      <c r="N1588">
        <f t="shared" si="98"/>
        <v>0</v>
      </c>
      <c r="O1588" t="str">
        <f t="shared" si="99"/>
        <v>Proposta Ok</v>
      </c>
    </row>
    <row r="1589" spans="12:15" x14ac:dyDescent="0.25">
      <c r="L1589">
        <f t="shared" si="96"/>
        <v>0</v>
      </c>
      <c r="M1589">
        <f t="shared" si="97"/>
        <v>1</v>
      </c>
      <c r="N1589">
        <f t="shared" si="98"/>
        <v>0</v>
      </c>
      <c r="O1589" t="str">
        <f t="shared" si="99"/>
        <v>Proposta Ok</v>
      </c>
    </row>
    <row r="1590" spans="12:15" x14ac:dyDescent="0.25">
      <c r="L1590">
        <f t="shared" si="96"/>
        <v>0</v>
      </c>
      <c r="M1590">
        <f t="shared" si="97"/>
        <v>1</v>
      </c>
      <c r="N1590">
        <f t="shared" si="98"/>
        <v>0</v>
      </c>
      <c r="O1590" t="str">
        <f t="shared" si="99"/>
        <v>Proposta Ok</v>
      </c>
    </row>
    <row r="1591" spans="12:15" x14ac:dyDescent="0.25">
      <c r="L1591">
        <f t="shared" si="96"/>
        <v>0</v>
      </c>
      <c r="M1591">
        <f t="shared" si="97"/>
        <v>1</v>
      </c>
      <c r="N1591">
        <f t="shared" si="98"/>
        <v>0</v>
      </c>
      <c r="O1591" t="str">
        <f t="shared" si="99"/>
        <v>Proposta Ok</v>
      </c>
    </row>
    <row r="1592" spans="12:15" x14ac:dyDescent="0.25">
      <c r="L1592">
        <f t="shared" si="96"/>
        <v>0</v>
      </c>
      <c r="M1592">
        <f t="shared" si="97"/>
        <v>1</v>
      </c>
      <c r="N1592">
        <f t="shared" si="98"/>
        <v>0</v>
      </c>
      <c r="O1592" t="str">
        <f t="shared" si="99"/>
        <v>Proposta Ok</v>
      </c>
    </row>
    <row r="1593" spans="12:15" x14ac:dyDescent="0.25">
      <c r="L1593">
        <f t="shared" si="96"/>
        <v>0</v>
      </c>
      <c r="M1593">
        <f t="shared" si="97"/>
        <v>1</v>
      </c>
      <c r="N1593">
        <f t="shared" si="98"/>
        <v>0</v>
      </c>
      <c r="O1593" t="str">
        <f t="shared" si="99"/>
        <v>Proposta Ok</v>
      </c>
    </row>
    <row r="1594" spans="12:15" x14ac:dyDescent="0.25">
      <c r="L1594">
        <f t="shared" si="96"/>
        <v>0</v>
      </c>
      <c r="M1594">
        <f t="shared" si="97"/>
        <v>1</v>
      </c>
      <c r="N1594">
        <f t="shared" si="98"/>
        <v>0</v>
      </c>
      <c r="O1594" t="str">
        <f t="shared" si="99"/>
        <v>Proposta Ok</v>
      </c>
    </row>
    <row r="1595" spans="12:15" x14ac:dyDescent="0.25">
      <c r="L1595">
        <f t="shared" si="96"/>
        <v>0</v>
      </c>
      <c r="M1595">
        <f t="shared" si="97"/>
        <v>1</v>
      </c>
      <c r="N1595">
        <f t="shared" si="98"/>
        <v>0</v>
      </c>
      <c r="O1595" t="str">
        <f t="shared" si="99"/>
        <v>Proposta Ok</v>
      </c>
    </row>
    <row r="1596" spans="12:15" x14ac:dyDescent="0.25">
      <c r="L1596">
        <f t="shared" si="96"/>
        <v>0</v>
      </c>
      <c r="M1596">
        <f t="shared" si="97"/>
        <v>1</v>
      </c>
      <c r="N1596">
        <f t="shared" si="98"/>
        <v>0</v>
      </c>
      <c r="O1596" t="str">
        <f t="shared" si="99"/>
        <v>Proposta Ok</v>
      </c>
    </row>
    <row r="1597" spans="12:15" x14ac:dyDescent="0.25">
      <c r="L1597">
        <f t="shared" si="96"/>
        <v>0</v>
      </c>
      <c r="M1597">
        <f t="shared" si="97"/>
        <v>1</v>
      </c>
      <c r="N1597">
        <f t="shared" si="98"/>
        <v>0</v>
      </c>
      <c r="O1597" t="str">
        <f t="shared" si="99"/>
        <v>Proposta Ok</v>
      </c>
    </row>
    <row r="1598" spans="12:15" x14ac:dyDescent="0.25">
      <c r="L1598">
        <f t="shared" ref="L1598:L1661" si="100">IF(OR(I1598="Termo OK (Exceção)",I1598="Termo OK"),1,0)</f>
        <v>0</v>
      </c>
      <c r="M1598">
        <f t="shared" ref="M1598:M1661" si="101">IF(OR(I1598="Termo OK (Exceção)",I1598="Termo OK"),0,1)</f>
        <v>1</v>
      </c>
      <c r="N1598">
        <f t="shared" ref="N1598:N1661" si="102">IF(J1598="SIM",1,0)</f>
        <v>0</v>
      </c>
      <c r="O1598" t="str">
        <f t="shared" si="99"/>
        <v>Proposta Ok</v>
      </c>
    </row>
    <row r="1599" spans="12:15" x14ac:dyDescent="0.25">
      <c r="L1599">
        <f t="shared" si="100"/>
        <v>0</v>
      </c>
      <c r="M1599">
        <f t="shared" si="101"/>
        <v>1</v>
      </c>
      <c r="N1599">
        <f t="shared" si="102"/>
        <v>0</v>
      </c>
      <c r="O1599" t="str">
        <f t="shared" si="99"/>
        <v>Proposta Ok</v>
      </c>
    </row>
    <row r="1600" spans="12:15" x14ac:dyDescent="0.25">
      <c r="L1600">
        <f t="shared" si="100"/>
        <v>0</v>
      </c>
      <c r="M1600">
        <f t="shared" si="101"/>
        <v>1</v>
      </c>
      <c r="N1600">
        <f t="shared" si="102"/>
        <v>0</v>
      </c>
      <c r="O1600" t="str">
        <f t="shared" si="99"/>
        <v>Proposta Ok</v>
      </c>
    </row>
    <row r="1601" spans="12:15" x14ac:dyDescent="0.25">
      <c r="L1601">
        <f t="shared" si="100"/>
        <v>0</v>
      </c>
      <c r="M1601">
        <f t="shared" si="101"/>
        <v>1</v>
      </c>
      <c r="N1601">
        <f t="shared" si="102"/>
        <v>0</v>
      </c>
      <c r="O1601" t="str">
        <f t="shared" si="99"/>
        <v>Proposta Ok</v>
      </c>
    </row>
    <row r="1602" spans="12:15" x14ac:dyDescent="0.25">
      <c r="L1602">
        <f t="shared" si="100"/>
        <v>0</v>
      </c>
      <c r="M1602">
        <f t="shared" si="101"/>
        <v>1</v>
      </c>
      <c r="N1602">
        <f t="shared" si="102"/>
        <v>0</v>
      </c>
      <c r="O1602" t="str">
        <f t="shared" si="99"/>
        <v>Proposta Ok</v>
      </c>
    </row>
    <row r="1603" spans="12:15" x14ac:dyDescent="0.25">
      <c r="L1603">
        <f t="shared" si="100"/>
        <v>0</v>
      </c>
      <c r="M1603">
        <f t="shared" si="101"/>
        <v>1</v>
      </c>
      <c r="N1603">
        <f t="shared" si="102"/>
        <v>0</v>
      </c>
      <c r="O1603" t="str">
        <f t="shared" ref="O1603:O1666" si="103">IF(SUMIFS(M:M,A:A,A1603)&gt;0,"Proposta não Ok","Proposta Ok")</f>
        <v>Proposta Ok</v>
      </c>
    </row>
    <row r="1604" spans="12:15" x14ac:dyDescent="0.25">
      <c r="L1604">
        <f t="shared" si="100"/>
        <v>0</v>
      </c>
      <c r="M1604">
        <f t="shared" si="101"/>
        <v>1</v>
      </c>
      <c r="N1604">
        <f t="shared" si="102"/>
        <v>0</v>
      </c>
      <c r="O1604" t="str">
        <f t="shared" si="103"/>
        <v>Proposta Ok</v>
      </c>
    </row>
    <row r="1605" spans="12:15" x14ac:dyDescent="0.25">
      <c r="L1605">
        <f t="shared" si="100"/>
        <v>0</v>
      </c>
      <c r="M1605">
        <f t="shared" si="101"/>
        <v>1</v>
      </c>
      <c r="N1605">
        <f t="shared" si="102"/>
        <v>0</v>
      </c>
      <c r="O1605" t="str">
        <f t="shared" si="103"/>
        <v>Proposta Ok</v>
      </c>
    </row>
    <row r="1606" spans="12:15" x14ac:dyDescent="0.25">
      <c r="L1606">
        <f t="shared" si="100"/>
        <v>0</v>
      </c>
      <c r="M1606">
        <f t="shared" si="101"/>
        <v>1</v>
      </c>
      <c r="N1606">
        <f t="shared" si="102"/>
        <v>0</v>
      </c>
      <c r="O1606" t="str">
        <f t="shared" si="103"/>
        <v>Proposta Ok</v>
      </c>
    </row>
    <row r="1607" spans="12:15" x14ac:dyDescent="0.25">
      <c r="L1607">
        <f t="shared" si="100"/>
        <v>0</v>
      </c>
      <c r="M1607">
        <f t="shared" si="101"/>
        <v>1</v>
      </c>
      <c r="N1607">
        <f t="shared" si="102"/>
        <v>0</v>
      </c>
      <c r="O1607" t="str">
        <f t="shared" si="103"/>
        <v>Proposta Ok</v>
      </c>
    </row>
    <row r="1608" spans="12:15" x14ac:dyDescent="0.25">
      <c r="L1608">
        <f t="shared" si="100"/>
        <v>0</v>
      </c>
      <c r="M1608">
        <f t="shared" si="101"/>
        <v>1</v>
      </c>
      <c r="N1608">
        <f t="shared" si="102"/>
        <v>0</v>
      </c>
      <c r="O1608" t="str">
        <f t="shared" si="103"/>
        <v>Proposta Ok</v>
      </c>
    </row>
    <row r="1609" spans="12:15" x14ac:dyDescent="0.25">
      <c r="L1609">
        <f t="shared" si="100"/>
        <v>0</v>
      </c>
      <c r="M1609">
        <f t="shared" si="101"/>
        <v>1</v>
      </c>
      <c r="N1609">
        <f t="shared" si="102"/>
        <v>0</v>
      </c>
      <c r="O1609" t="str">
        <f t="shared" si="103"/>
        <v>Proposta Ok</v>
      </c>
    </row>
    <row r="1610" spans="12:15" x14ac:dyDescent="0.25">
      <c r="L1610">
        <f t="shared" si="100"/>
        <v>0</v>
      </c>
      <c r="M1610">
        <f t="shared" si="101"/>
        <v>1</v>
      </c>
      <c r="N1610">
        <f t="shared" si="102"/>
        <v>0</v>
      </c>
      <c r="O1610" t="str">
        <f t="shared" si="103"/>
        <v>Proposta Ok</v>
      </c>
    </row>
    <row r="1611" spans="12:15" x14ac:dyDescent="0.25">
      <c r="L1611">
        <f t="shared" si="100"/>
        <v>0</v>
      </c>
      <c r="M1611">
        <f t="shared" si="101"/>
        <v>1</v>
      </c>
      <c r="N1611">
        <f t="shared" si="102"/>
        <v>0</v>
      </c>
      <c r="O1611" t="str">
        <f t="shared" si="103"/>
        <v>Proposta Ok</v>
      </c>
    </row>
    <row r="1612" spans="12:15" x14ac:dyDescent="0.25">
      <c r="L1612">
        <f t="shared" si="100"/>
        <v>0</v>
      </c>
      <c r="M1612">
        <f t="shared" si="101"/>
        <v>1</v>
      </c>
      <c r="N1612">
        <f t="shared" si="102"/>
        <v>0</v>
      </c>
      <c r="O1612" t="str">
        <f t="shared" si="103"/>
        <v>Proposta Ok</v>
      </c>
    </row>
    <row r="1613" spans="12:15" x14ac:dyDescent="0.25">
      <c r="L1613">
        <f t="shared" si="100"/>
        <v>0</v>
      </c>
      <c r="M1613">
        <f t="shared" si="101"/>
        <v>1</v>
      </c>
      <c r="N1613">
        <f t="shared" si="102"/>
        <v>0</v>
      </c>
      <c r="O1613" t="str">
        <f t="shared" si="103"/>
        <v>Proposta Ok</v>
      </c>
    </row>
    <row r="1614" spans="12:15" x14ac:dyDescent="0.25">
      <c r="L1614">
        <f t="shared" si="100"/>
        <v>0</v>
      </c>
      <c r="M1614">
        <f t="shared" si="101"/>
        <v>1</v>
      </c>
      <c r="N1614">
        <f t="shared" si="102"/>
        <v>0</v>
      </c>
      <c r="O1614" t="str">
        <f t="shared" si="103"/>
        <v>Proposta Ok</v>
      </c>
    </row>
    <row r="1615" spans="12:15" x14ac:dyDescent="0.25">
      <c r="L1615">
        <f t="shared" si="100"/>
        <v>0</v>
      </c>
      <c r="M1615">
        <f t="shared" si="101"/>
        <v>1</v>
      </c>
      <c r="N1615">
        <f t="shared" si="102"/>
        <v>0</v>
      </c>
      <c r="O1615" t="str">
        <f t="shared" si="103"/>
        <v>Proposta Ok</v>
      </c>
    </row>
    <row r="1616" spans="12:15" x14ac:dyDescent="0.25">
      <c r="L1616">
        <f t="shared" si="100"/>
        <v>0</v>
      </c>
      <c r="M1616">
        <f t="shared" si="101"/>
        <v>1</v>
      </c>
      <c r="N1616">
        <f t="shared" si="102"/>
        <v>0</v>
      </c>
      <c r="O1616" t="str">
        <f t="shared" si="103"/>
        <v>Proposta Ok</v>
      </c>
    </row>
    <row r="1617" spans="12:15" x14ac:dyDescent="0.25">
      <c r="L1617">
        <f t="shared" si="100"/>
        <v>0</v>
      </c>
      <c r="M1617">
        <f t="shared" si="101"/>
        <v>1</v>
      </c>
      <c r="N1617">
        <f t="shared" si="102"/>
        <v>0</v>
      </c>
      <c r="O1617" t="str">
        <f t="shared" si="103"/>
        <v>Proposta Ok</v>
      </c>
    </row>
    <row r="1618" spans="12:15" x14ac:dyDescent="0.25">
      <c r="L1618">
        <f t="shared" si="100"/>
        <v>0</v>
      </c>
      <c r="M1618">
        <f t="shared" si="101"/>
        <v>1</v>
      </c>
      <c r="N1618">
        <f t="shared" si="102"/>
        <v>0</v>
      </c>
      <c r="O1618" t="str">
        <f t="shared" si="103"/>
        <v>Proposta Ok</v>
      </c>
    </row>
    <row r="1619" spans="12:15" x14ac:dyDescent="0.25">
      <c r="L1619">
        <f t="shared" si="100"/>
        <v>0</v>
      </c>
      <c r="M1619">
        <f t="shared" si="101"/>
        <v>1</v>
      </c>
      <c r="N1619">
        <f t="shared" si="102"/>
        <v>0</v>
      </c>
      <c r="O1619" t="str">
        <f t="shared" si="103"/>
        <v>Proposta Ok</v>
      </c>
    </row>
    <row r="1620" spans="12:15" x14ac:dyDescent="0.25">
      <c r="L1620">
        <f t="shared" si="100"/>
        <v>0</v>
      </c>
      <c r="M1620">
        <f t="shared" si="101"/>
        <v>1</v>
      </c>
      <c r="N1620">
        <f t="shared" si="102"/>
        <v>0</v>
      </c>
      <c r="O1620" t="str">
        <f t="shared" si="103"/>
        <v>Proposta Ok</v>
      </c>
    </row>
    <row r="1621" spans="12:15" x14ac:dyDescent="0.25">
      <c r="L1621">
        <f t="shared" si="100"/>
        <v>0</v>
      </c>
      <c r="M1621">
        <f t="shared" si="101"/>
        <v>1</v>
      </c>
      <c r="N1621">
        <f t="shared" si="102"/>
        <v>0</v>
      </c>
      <c r="O1621" t="str">
        <f t="shared" si="103"/>
        <v>Proposta Ok</v>
      </c>
    </row>
    <row r="1622" spans="12:15" x14ac:dyDescent="0.25">
      <c r="L1622">
        <f t="shared" si="100"/>
        <v>0</v>
      </c>
      <c r="M1622">
        <f t="shared" si="101"/>
        <v>1</v>
      </c>
      <c r="N1622">
        <f t="shared" si="102"/>
        <v>0</v>
      </c>
      <c r="O1622" t="str">
        <f t="shared" si="103"/>
        <v>Proposta Ok</v>
      </c>
    </row>
    <row r="1623" spans="12:15" x14ac:dyDescent="0.25">
      <c r="L1623">
        <f t="shared" si="100"/>
        <v>0</v>
      </c>
      <c r="M1623">
        <f t="shared" si="101"/>
        <v>1</v>
      </c>
      <c r="N1623">
        <f t="shared" si="102"/>
        <v>0</v>
      </c>
      <c r="O1623" t="str">
        <f t="shared" si="103"/>
        <v>Proposta Ok</v>
      </c>
    </row>
    <row r="1624" spans="12:15" x14ac:dyDescent="0.25">
      <c r="L1624">
        <f t="shared" si="100"/>
        <v>0</v>
      </c>
      <c r="M1624">
        <f t="shared" si="101"/>
        <v>1</v>
      </c>
      <c r="N1624">
        <f t="shared" si="102"/>
        <v>0</v>
      </c>
      <c r="O1624" t="str">
        <f t="shared" si="103"/>
        <v>Proposta Ok</v>
      </c>
    </row>
    <row r="1625" spans="12:15" x14ac:dyDescent="0.25">
      <c r="L1625">
        <f t="shared" si="100"/>
        <v>0</v>
      </c>
      <c r="M1625">
        <f t="shared" si="101"/>
        <v>1</v>
      </c>
      <c r="N1625">
        <f t="shared" si="102"/>
        <v>0</v>
      </c>
      <c r="O1625" t="str">
        <f t="shared" si="103"/>
        <v>Proposta Ok</v>
      </c>
    </row>
    <row r="1626" spans="12:15" x14ac:dyDescent="0.25">
      <c r="L1626">
        <f t="shared" si="100"/>
        <v>0</v>
      </c>
      <c r="M1626">
        <f t="shared" si="101"/>
        <v>1</v>
      </c>
      <c r="N1626">
        <f t="shared" si="102"/>
        <v>0</v>
      </c>
      <c r="O1626" t="str">
        <f t="shared" si="103"/>
        <v>Proposta Ok</v>
      </c>
    </row>
    <row r="1627" spans="12:15" x14ac:dyDescent="0.25">
      <c r="L1627">
        <f t="shared" si="100"/>
        <v>0</v>
      </c>
      <c r="M1627">
        <f t="shared" si="101"/>
        <v>1</v>
      </c>
      <c r="N1627">
        <f t="shared" si="102"/>
        <v>0</v>
      </c>
      <c r="O1627" t="str">
        <f t="shared" si="103"/>
        <v>Proposta Ok</v>
      </c>
    </row>
    <row r="1628" spans="12:15" x14ac:dyDescent="0.25">
      <c r="L1628">
        <f t="shared" si="100"/>
        <v>0</v>
      </c>
      <c r="M1628">
        <f t="shared" si="101"/>
        <v>1</v>
      </c>
      <c r="N1628">
        <f t="shared" si="102"/>
        <v>0</v>
      </c>
      <c r="O1628" t="str">
        <f t="shared" si="103"/>
        <v>Proposta Ok</v>
      </c>
    </row>
    <row r="1629" spans="12:15" x14ac:dyDescent="0.25">
      <c r="L1629">
        <f t="shared" si="100"/>
        <v>0</v>
      </c>
      <c r="M1629">
        <f t="shared" si="101"/>
        <v>1</v>
      </c>
      <c r="N1629">
        <f t="shared" si="102"/>
        <v>0</v>
      </c>
      <c r="O1629" t="str">
        <f t="shared" si="103"/>
        <v>Proposta Ok</v>
      </c>
    </row>
    <row r="1630" spans="12:15" x14ac:dyDescent="0.25">
      <c r="L1630">
        <f t="shared" si="100"/>
        <v>0</v>
      </c>
      <c r="M1630">
        <f t="shared" si="101"/>
        <v>1</v>
      </c>
      <c r="N1630">
        <f t="shared" si="102"/>
        <v>0</v>
      </c>
      <c r="O1630" t="str">
        <f t="shared" si="103"/>
        <v>Proposta Ok</v>
      </c>
    </row>
    <row r="1631" spans="12:15" x14ac:dyDescent="0.25">
      <c r="L1631">
        <f t="shared" si="100"/>
        <v>0</v>
      </c>
      <c r="M1631">
        <f t="shared" si="101"/>
        <v>1</v>
      </c>
      <c r="N1631">
        <f t="shared" si="102"/>
        <v>0</v>
      </c>
      <c r="O1631" t="str">
        <f t="shared" si="103"/>
        <v>Proposta Ok</v>
      </c>
    </row>
    <row r="1632" spans="12:15" x14ac:dyDescent="0.25">
      <c r="L1632">
        <f t="shared" si="100"/>
        <v>0</v>
      </c>
      <c r="M1632">
        <f t="shared" si="101"/>
        <v>1</v>
      </c>
      <c r="N1632">
        <f t="shared" si="102"/>
        <v>0</v>
      </c>
      <c r="O1632" t="str">
        <f t="shared" si="103"/>
        <v>Proposta Ok</v>
      </c>
    </row>
    <row r="1633" spans="12:15" x14ac:dyDescent="0.25">
      <c r="L1633">
        <f t="shared" si="100"/>
        <v>0</v>
      </c>
      <c r="M1633">
        <f t="shared" si="101"/>
        <v>1</v>
      </c>
      <c r="N1633">
        <f t="shared" si="102"/>
        <v>0</v>
      </c>
      <c r="O1633" t="str">
        <f t="shared" si="103"/>
        <v>Proposta Ok</v>
      </c>
    </row>
    <row r="1634" spans="12:15" x14ac:dyDescent="0.25">
      <c r="L1634">
        <f t="shared" si="100"/>
        <v>0</v>
      </c>
      <c r="M1634">
        <f t="shared" si="101"/>
        <v>1</v>
      </c>
      <c r="N1634">
        <f t="shared" si="102"/>
        <v>0</v>
      </c>
      <c r="O1634" t="str">
        <f t="shared" si="103"/>
        <v>Proposta Ok</v>
      </c>
    </row>
    <row r="1635" spans="12:15" x14ac:dyDescent="0.25">
      <c r="L1635">
        <f t="shared" si="100"/>
        <v>0</v>
      </c>
      <c r="M1635">
        <f t="shared" si="101"/>
        <v>1</v>
      </c>
      <c r="N1635">
        <f t="shared" si="102"/>
        <v>0</v>
      </c>
      <c r="O1635" t="str">
        <f t="shared" si="103"/>
        <v>Proposta Ok</v>
      </c>
    </row>
    <row r="1636" spans="12:15" x14ac:dyDescent="0.25">
      <c r="L1636">
        <f t="shared" si="100"/>
        <v>0</v>
      </c>
      <c r="M1636">
        <f t="shared" si="101"/>
        <v>1</v>
      </c>
      <c r="N1636">
        <f t="shared" si="102"/>
        <v>0</v>
      </c>
      <c r="O1636" t="str">
        <f t="shared" si="103"/>
        <v>Proposta Ok</v>
      </c>
    </row>
    <row r="1637" spans="12:15" x14ac:dyDescent="0.25">
      <c r="L1637">
        <f t="shared" si="100"/>
        <v>0</v>
      </c>
      <c r="M1637">
        <f t="shared" si="101"/>
        <v>1</v>
      </c>
      <c r="N1637">
        <f t="shared" si="102"/>
        <v>0</v>
      </c>
      <c r="O1637" t="str">
        <f t="shared" si="103"/>
        <v>Proposta Ok</v>
      </c>
    </row>
    <row r="1638" spans="12:15" x14ac:dyDescent="0.25">
      <c r="L1638">
        <f t="shared" si="100"/>
        <v>0</v>
      </c>
      <c r="M1638">
        <f t="shared" si="101"/>
        <v>1</v>
      </c>
      <c r="N1638">
        <f t="shared" si="102"/>
        <v>0</v>
      </c>
      <c r="O1638" t="str">
        <f t="shared" si="103"/>
        <v>Proposta Ok</v>
      </c>
    </row>
    <row r="1639" spans="12:15" x14ac:dyDescent="0.25">
      <c r="L1639">
        <f t="shared" si="100"/>
        <v>0</v>
      </c>
      <c r="M1639">
        <f t="shared" si="101"/>
        <v>1</v>
      </c>
      <c r="N1639">
        <f t="shared" si="102"/>
        <v>0</v>
      </c>
      <c r="O1639" t="str">
        <f t="shared" si="103"/>
        <v>Proposta Ok</v>
      </c>
    </row>
    <row r="1640" spans="12:15" x14ac:dyDescent="0.25">
      <c r="L1640">
        <f t="shared" si="100"/>
        <v>0</v>
      </c>
      <c r="M1640">
        <f t="shared" si="101"/>
        <v>1</v>
      </c>
      <c r="N1640">
        <f t="shared" si="102"/>
        <v>0</v>
      </c>
      <c r="O1640" t="str">
        <f t="shared" si="103"/>
        <v>Proposta Ok</v>
      </c>
    </row>
    <row r="1641" spans="12:15" x14ac:dyDescent="0.25">
      <c r="L1641">
        <f t="shared" si="100"/>
        <v>0</v>
      </c>
      <c r="M1641">
        <f t="shared" si="101"/>
        <v>1</v>
      </c>
      <c r="N1641">
        <f t="shared" si="102"/>
        <v>0</v>
      </c>
      <c r="O1641" t="str">
        <f t="shared" si="103"/>
        <v>Proposta Ok</v>
      </c>
    </row>
    <row r="1642" spans="12:15" x14ac:dyDescent="0.25">
      <c r="L1642">
        <f t="shared" si="100"/>
        <v>0</v>
      </c>
      <c r="M1642">
        <f t="shared" si="101"/>
        <v>1</v>
      </c>
      <c r="N1642">
        <f t="shared" si="102"/>
        <v>0</v>
      </c>
      <c r="O1642" t="str">
        <f t="shared" si="103"/>
        <v>Proposta Ok</v>
      </c>
    </row>
    <row r="1643" spans="12:15" x14ac:dyDescent="0.25">
      <c r="L1643">
        <f t="shared" si="100"/>
        <v>0</v>
      </c>
      <c r="M1643">
        <f t="shared" si="101"/>
        <v>1</v>
      </c>
      <c r="N1643">
        <f t="shared" si="102"/>
        <v>0</v>
      </c>
      <c r="O1643" t="str">
        <f t="shared" si="103"/>
        <v>Proposta Ok</v>
      </c>
    </row>
    <row r="1644" spans="12:15" x14ac:dyDescent="0.25">
      <c r="L1644">
        <f t="shared" si="100"/>
        <v>0</v>
      </c>
      <c r="M1644">
        <f t="shared" si="101"/>
        <v>1</v>
      </c>
      <c r="N1644">
        <f t="shared" si="102"/>
        <v>0</v>
      </c>
      <c r="O1644" t="str">
        <f t="shared" si="103"/>
        <v>Proposta Ok</v>
      </c>
    </row>
    <row r="1645" spans="12:15" x14ac:dyDescent="0.25">
      <c r="L1645">
        <f t="shared" si="100"/>
        <v>0</v>
      </c>
      <c r="M1645">
        <f t="shared" si="101"/>
        <v>1</v>
      </c>
      <c r="N1645">
        <f t="shared" si="102"/>
        <v>0</v>
      </c>
      <c r="O1645" t="str">
        <f t="shared" si="103"/>
        <v>Proposta Ok</v>
      </c>
    </row>
    <row r="1646" spans="12:15" x14ac:dyDescent="0.25">
      <c r="L1646">
        <f t="shared" si="100"/>
        <v>0</v>
      </c>
      <c r="M1646">
        <f t="shared" si="101"/>
        <v>1</v>
      </c>
      <c r="N1646">
        <f t="shared" si="102"/>
        <v>0</v>
      </c>
      <c r="O1646" t="str">
        <f t="shared" si="103"/>
        <v>Proposta Ok</v>
      </c>
    </row>
    <row r="1647" spans="12:15" x14ac:dyDescent="0.25">
      <c r="L1647">
        <f t="shared" si="100"/>
        <v>0</v>
      </c>
      <c r="M1647">
        <f t="shared" si="101"/>
        <v>1</v>
      </c>
      <c r="N1647">
        <f t="shared" si="102"/>
        <v>0</v>
      </c>
      <c r="O1647" t="str">
        <f t="shared" si="103"/>
        <v>Proposta Ok</v>
      </c>
    </row>
    <row r="1648" spans="12:15" x14ac:dyDescent="0.25">
      <c r="L1648">
        <f t="shared" si="100"/>
        <v>0</v>
      </c>
      <c r="M1648">
        <f t="shared" si="101"/>
        <v>1</v>
      </c>
      <c r="N1648">
        <f t="shared" si="102"/>
        <v>0</v>
      </c>
      <c r="O1648" t="str">
        <f t="shared" si="103"/>
        <v>Proposta Ok</v>
      </c>
    </row>
    <row r="1649" spans="12:15" x14ac:dyDescent="0.25">
      <c r="L1649">
        <f t="shared" si="100"/>
        <v>0</v>
      </c>
      <c r="M1649">
        <f t="shared" si="101"/>
        <v>1</v>
      </c>
      <c r="N1649">
        <f t="shared" si="102"/>
        <v>0</v>
      </c>
      <c r="O1649" t="str">
        <f t="shared" si="103"/>
        <v>Proposta Ok</v>
      </c>
    </row>
    <row r="1650" spans="12:15" x14ac:dyDescent="0.25">
      <c r="L1650">
        <f t="shared" si="100"/>
        <v>0</v>
      </c>
      <c r="M1650">
        <f t="shared" si="101"/>
        <v>1</v>
      </c>
      <c r="N1650">
        <f t="shared" si="102"/>
        <v>0</v>
      </c>
      <c r="O1650" t="str">
        <f t="shared" si="103"/>
        <v>Proposta Ok</v>
      </c>
    </row>
    <row r="1651" spans="12:15" x14ac:dyDescent="0.25">
      <c r="L1651">
        <f t="shared" si="100"/>
        <v>0</v>
      </c>
      <c r="M1651">
        <f t="shared" si="101"/>
        <v>1</v>
      </c>
      <c r="N1651">
        <f t="shared" si="102"/>
        <v>0</v>
      </c>
      <c r="O1651" t="str">
        <f t="shared" si="103"/>
        <v>Proposta Ok</v>
      </c>
    </row>
    <row r="1652" spans="12:15" x14ac:dyDescent="0.25">
      <c r="L1652">
        <f t="shared" si="100"/>
        <v>0</v>
      </c>
      <c r="M1652">
        <f t="shared" si="101"/>
        <v>1</v>
      </c>
      <c r="N1652">
        <f t="shared" si="102"/>
        <v>0</v>
      </c>
      <c r="O1652" t="str">
        <f t="shared" si="103"/>
        <v>Proposta Ok</v>
      </c>
    </row>
    <row r="1653" spans="12:15" x14ac:dyDescent="0.25">
      <c r="L1653">
        <f t="shared" si="100"/>
        <v>0</v>
      </c>
      <c r="M1653">
        <f t="shared" si="101"/>
        <v>1</v>
      </c>
      <c r="N1653">
        <f t="shared" si="102"/>
        <v>0</v>
      </c>
      <c r="O1653" t="str">
        <f t="shared" si="103"/>
        <v>Proposta Ok</v>
      </c>
    </row>
    <row r="1654" spans="12:15" x14ac:dyDescent="0.25">
      <c r="L1654">
        <f t="shared" si="100"/>
        <v>0</v>
      </c>
      <c r="M1654">
        <f t="shared" si="101"/>
        <v>1</v>
      </c>
      <c r="N1654">
        <f t="shared" si="102"/>
        <v>0</v>
      </c>
      <c r="O1654" t="str">
        <f t="shared" si="103"/>
        <v>Proposta Ok</v>
      </c>
    </row>
    <row r="1655" spans="12:15" x14ac:dyDescent="0.25">
      <c r="L1655">
        <f t="shared" si="100"/>
        <v>0</v>
      </c>
      <c r="M1655">
        <f t="shared" si="101"/>
        <v>1</v>
      </c>
      <c r="N1655">
        <f t="shared" si="102"/>
        <v>0</v>
      </c>
      <c r="O1655" t="str">
        <f t="shared" si="103"/>
        <v>Proposta Ok</v>
      </c>
    </row>
    <row r="1656" spans="12:15" x14ac:dyDescent="0.25">
      <c r="L1656">
        <f t="shared" si="100"/>
        <v>0</v>
      </c>
      <c r="M1656">
        <f t="shared" si="101"/>
        <v>1</v>
      </c>
      <c r="N1656">
        <f t="shared" si="102"/>
        <v>0</v>
      </c>
      <c r="O1656" t="str">
        <f t="shared" si="103"/>
        <v>Proposta Ok</v>
      </c>
    </row>
    <row r="1657" spans="12:15" x14ac:dyDescent="0.25">
      <c r="L1657">
        <f t="shared" si="100"/>
        <v>0</v>
      </c>
      <c r="M1657">
        <f t="shared" si="101"/>
        <v>1</v>
      </c>
      <c r="N1657">
        <f t="shared" si="102"/>
        <v>0</v>
      </c>
      <c r="O1657" t="str">
        <f t="shared" si="103"/>
        <v>Proposta Ok</v>
      </c>
    </row>
    <row r="1658" spans="12:15" x14ac:dyDescent="0.25">
      <c r="L1658">
        <f t="shared" si="100"/>
        <v>0</v>
      </c>
      <c r="M1658">
        <f t="shared" si="101"/>
        <v>1</v>
      </c>
      <c r="N1658">
        <f t="shared" si="102"/>
        <v>0</v>
      </c>
      <c r="O1658" t="str">
        <f t="shared" si="103"/>
        <v>Proposta Ok</v>
      </c>
    </row>
    <row r="1659" spans="12:15" x14ac:dyDescent="0.25">
      <c r="L1659">
        <f t="shared" si="100"/>
        <v>0</v>
      </c>
      <c r="M1659">
        <f t="shared" si="101"/>
        <v>1</v>
      </c>
      <c r="N1659">
        <f t="shared" si="102"/>
        <v>0</v>
      </c>
      <c r="O1659" t="str">
        <f t="shared" si="103"/>
        <v>Proposta Ok</v>
      </c>
    </row>
    <row r="1660" spans="12:15" x14ac:dyDescent="0.25">
      <c r="L1660">
        <f t="shared" si="100"/>
        <v>0</v>
      </c>
      <c r="M1660">
        <f t="shared" si="101"/>
        <v>1</v>
      </c>
      <c r="N1660">
        <f t="shared" si="102"/>
        <v>0</v>
      </c>
      <c r="O1660" t="str">
        <f t="shared" si="103"/>
        <v>Proposta Ok</v>
      </c>
    </row>
    <row r="1661" spans="12:15" x14ac:dyDescent="0.25">
      <c r="L1661">
        <f t="shared" si="100"/>
        <v>0</v>
      </c>
      <c r="M1661">
        <f t="shared" si="101"/>
        <v>1</v>
      </c>
      <c r="N1661">
        <f t="shared" si="102"/>
        <v>0</v>
      </c>
      <c r="O1661" t="str">
        <f t="shared" si="103"/>
        <v>Proposta Ok</v>
      </c>
    </row>
    <row r="1662" spans="12:15" x14ac:dyDescent="0.25">
      <c r="L1662">
        <f t="shared" ref="L1662:L1725" si="104">IF(OR(I1662="Termo OK (Exceção)",I1662="Termo OK"),1,0)</f>
        <v>0</v>
      </c>
      <c r="M1662">
        <f t="shared" ref="M1662:M1725" si="105">IF(OR(I1662="Termo OK (Exceção)",I1662="Termo OK"),0,1)</f>
        <v>1</v>
      </c>
      <c r="N1662">
        <f t="shared" ref="N1662:N1725" si="106">IF(J1662="SIM",1,0)</f>
        <v>0</v>
      </c>
      <c r="O1662" t="str">
        <f t="shared" si="103"/>
        <v>Proposta Ok</v>
      </c>
    </row>
    <row r="1663" spans="12:15" x14ac:dyDescent="0.25">
      <c r="L1663">
        <f t="shared" si="104"/>
        <v>0</v>
      </c>
      <c r="M1663">
        <f t="shared" si="105"/>
        <v>1</v>
      </c>
      <c r="N1663">
        <f t="shared" si="106"/>
        <v>0</v>
      </c>
      <c r="O1663" t="str">
        <f t="shared" si="103"/>
        <v>Proposta Ok</v>
      </c>
    </row>
    <row r="1664" spans="12:15" x14ac:dyDescent="0.25">
      <c r="L1664">
        <f t="shared" si="104"/>
        <v>0</v>
      </c>
      <c r="M1664">
        <f t="shared" si="105"/>
        <v>1</v>
      </c>
      <c r="N1664">
        <f t="shared" si="106"/>
        <v>0</v>
      </c>
      <c r="O1664" t="str">
        <f t="shared" si="103"/>
        <v>Proposta Ok</v>
      </c>
    </row>
    <row r="1665" spans="12:15" x14ac:dyDescent="0.25">
      <c r="L1665">
        <f t="shared" si="104"/>
        <v>0</v>
      </c>
      <c r="M1665">
        <f t="shared" si="105"/>
        <v>1</v>
      </c>
      <c r="N1665">
        <f t="shared" si="106"/>
        <v>0</v>
      </c>
      <c r="O1665" t="str">
        <f t="shared" si="103"/>
        <v>Proposta Ok</v>
      </c>
    </row>
    <row r="1666" spans="12:15" x14ac:dyDescent="0.25">
      <c r="L1666">
        <f t="shared" si="104"/>
        <v>0</v>
      </c>
      <c r="M1666">
        <f t="shared" si="105"/>
        <v>1</v>
      </c>
      <c r="N1666">
        <f t="shared" si="106"/>
        <v>0</v>
      </c>
      <c r="O1666" t="str">
        <f t="shared" si="103"/>
        <v>Proposta Ok</v>
      </c>
    </row>
    <row r="1667" spans="12:15" x14ac:dyDescent="0.25">
      <c r="L1667">
        <f t="shared" si="104"/>
        <v>0</v>
      </c>
      <c r="M1667">
        <f t="shared" si="105"/>
        <v>1</v>
      </c>
      <c r="N1667">
        <f t="shared" si="106"/>
        <v>0</v>
      </c>
      <c r="O1667" t="str">
        <f t="shared" ref="O1667:O1730" si="107">IF(SUMIFS(M:M,A:A,A1667)&gt;0,"Proposta não Ok","Proposta Ok")</f>
        <v>Proposta Ok</v>
      </c>
    </row>
    <row r="1668" spans="12:15" x14ac:dyDescent="0.25">
      <c r="L1668">
        <f t="shared" si="104"/>
        <v>0</v>
      </c>
      <c r="M1668">
        <f t="shared" si="105"/>
        <v>1</v>
      </c>
      <c r="N1668">
        <f t="shared" si="106"/>
        <v>0</v>
      </c>
      <c r="O1668" t="str">
        <f t="shared" si="107"/>
        <v>Proposta Ok</v>
      </c>
    </row>
    <row r="1669" spans="12:15" x14ac:dyDescent="0.25">
      <c r="L1669">
        <f t="shared" si="104"/>
        <v>0</v>
      </c>
      <c r="M1669">
        <f t="shared" si="105"/>
        <v>1</v>
      </c>
      <c r="N1669">
        <f t="shared" si="106"/>
        <v>0</v>
      </c>
      <c r="O1669" t="str">
        <f t="shared" si="107"/>
        <v>Proposta Ok</v>
      </c>
    </row>
    <row r="1670" spans="12:15" x14ac:dyDescent="0.25">
      <c r="L1670">
        <f t="shared" si="104"/>
        <v>0</v>
      </c>
      <c r="M1670">
        <f t="shared" si="105"/>
        <v>1</v>
      </c>
      <c r="N1670">
        <f t="shared" si="106"/>
        <v>0</v>
      </c>
      <c r="O1670" t="str">
        <f t="shared" si="107"/>
        <v>Proposta Ok</v>
      </c>
    </row>
    <row r="1671" spans="12:15" x14ac:dyDescent="0.25">
      <c r="L1671">
        <f t="shared" si="104"/>
        <v>0</v>
      </c>
      <c r="M1671">
        <f t="shared" si="105"/>
        <v>1</v>
      </c>
      <c r="N1671">
        <f t="shared" si="106"/>
        <v>0</v>
      </c>
      <c r="O1671" t="str">
        <f t="shared" si="107"/>
        <v>Proposta Ok</v>
      </c>
    </row>
    <row r="1672" spans="12:15" x14ac:dyDescent="0.25">
      <c r="L1672">
        <f t="shared" si="104"/>
        <v>0</v>
      </c>
      <c r="M1672">
        <f t="shared" si="105"/>
        <v>1</v>
      </c>
      <c r="N1672">
        <f t="shared" si="106"/>
        <v>0</v>
      </c>
      <c r="O1672" t="str">
        <f t="shared" si="107"/>
        <v>Proposta Ok</v>
      </c>
    </row>
    <row r="1673" spans="12:15" x14ac:dyDescent="0.25">
      <c r="L1673">
        <f t="shared" si="104"/>
        <v>0</v>
      </c>
      <c r="M1673">
        <f t="shared" si="105"/>
        <v>1</v>
      </c>
      <c r="N1673">
        <f t="shared" si="106"/>
        <v>0</v>
      </c>
      <c r="O1673" t="str">
        <f t="shared" si="107"/>
        <v>Proposta Ok</v>
      </c>
    </row>
    <row r="1674" spans="12:15" x14ac:dyDescent="0.25">
      <c r="L1674">
        <f t="shared" si="104"/>
        <v>0</v>
      </c>
      <c r="M1674">
        <f t="shared" si="105"/>
        <v>1</v>
      </c>
      <c r="N1674">
        <f t="shared" si="106"/>
        <v>0</v>
      </c>
      <c r="O1674" t="str">
        <f t="shared" si="107"/>
        <v>Proposta Ok</v>
      </c>
    </row>
    <row r="1675" spans="12:15" x14ac:dyDescent="0.25">
      <c r="L1675">
        <f t="shared" si="104"/>
        <v>0</v>
      </c>
      <c r="M1675">
        <f t="shared" si="105"/>
        <v>1</v>
      </c>
      <c r="N1675">
        <f t="shared" si="106"/>
        <v>0</v>
      </c>
      <c r="O1675" t="str">
        <f t="shared" si="107"/>
        <v>Proposta Ok</v>
      </c>
    </row>
    <row r="1676" spans="12:15" x14ac:dyDescent="0.25">
      <c r="L1676">
        <f t="shared" si="104"/>
        <v>0</v>
      </c>
      <c r="M1676">
        <f t="shared" si="105"/>
        <v>1</v>
      </c>
      <c r="N1676">
        <f t="shared" si="106"/>
        <v>0</v>
      </c>
      <c r="O1676" t="str">
        <f t="shared" si="107"/>
        <v>Proposta Ok</v>
      </c>
    </row>
    <row r="1677" spans="12:15" x14ac:dyDescent="0.25">
      <c r="L1677">
        <f t="shared" si="104"/>
        <v>0</v>
      </c>
      <c r="M1677">
        <f t="shared" si="105"/>
        <v>1</v>
      </c>
      <c r="N1677">
        <f t="shared" si="106"/>
        <v>0</v>
      </c>
      <c r="O1677" t="str">
        <f t="shared" si="107"/>
        <v>Proposta Ok</v>
      </c>
    </row>
    <row r="1678" spans="12:15" x14ac:dyDescent="0.25">
      <c r="L1678">
        <f t="shared" si="104"/>
        <v>0</v>
      </c>
      <c r="M1678">
        <f t="shared" si="105"/>
        <v>1</v>
      </c>
      <c r="N1678">
        <f t="shared" si="106"/>
        <v>0</v>
      </c>
      <c r="O1678" t="str">
        <f t="shared" si="107"/>
        <v>Proposta Ok</v>
      </c>
    </row>
    <row r="1679" spans="12:15" x14ac:dyDescent="0.25">
      <c r="L1679">
        <f t="shared" si="104"/>
        <v>0</v>
      </c>
      <c r="M1679">
        <f t="shared" si="105"/>
        <v>1</v>
      </c>
      <c r="N1679">
        <f t="shared" si="106"/>
        <v>0</v>
      </c>
      <c r="O1679" t="str">
        <f t="shared" si="107"/>
        <v>Proposta Ok</v>
      </c>
    </row>
    <row r="1680" spans="12:15" x14ac:dyDescent="0.25">
      <c r="L1680">
        <f t="shared" si="104"/>
        <v>0</v>
      </c>
      <c r="M1680">
        <f t="shared" si="105"/>
        <v>1</v>
      </c>
      <c r="N1680">
        <f t="shared" si="106"/>
        <v>0</v>
      </c>
      <c r="O1680" t="str">
        <f t="shared" si="107"/>
        <v>Proposta Ok</v>
      </c>
    </row>
    <row r="1681" spans="12:15" x14ac:dyDescent="0.25">
      <c r="L1681">
        <f t="shared" si="104"/>
        <v>0</v>
      </c>
      <c r="M1681">
        <f t="shared" si="105"/>
        <v>1</v>
      </c>
      <c r="N1681">
        <f t="shared" si="106"/>
        <v>0</v>
      </c>
      <c r="O1681" t="str">
        <f t="shared" si="107"/>
        <v>Proposta Ok</v>
      </c>
    </row>
    <row r="1682" spans="12:15" x14ac:dyDescent="0.25">
      <c r="L1682">
        <f t="shared" si="104"/>
        <v>0</v>
      </c>
      <c r="M1682">
        <f t="shared" si="105"/>
        <v>1</v>
      </c>
      <c r="N1682">
        <f t="shared" si="106"/>
        <v>0</v>
      </c>
      <c r="O1682" t="str">
        <f t="shared" si="107"/>
        <v>Proposta Ok</v>
      </c>
    </row>
    <row r="1683" spans="12:15" x14ac:dyDescent="0.25">
      <c r="L1683">
        <f t="shared" si="104"/>
        <v>0</v>
      </c>
      <c r="M1683">
        <f t="shared" si="105"/>
        <v>1</v>
      </c>
      <c r="N1683">
        <f t="shared" si="106"/>
        <v>0</v>
      </c>
      <c r="O1683" t="str">
        <f t="shared" si="107"/>
        <v>Proposta Ok</v>
      </c>
    </row>
    <row r="1684" spans="12:15" x14ac:dyDescent="0.25">
      <c r="L1684">
        <f t="shared" si="104"/>
        <v>0</v>
      </c>
      <c r="M1684">
        <f t="shared" si="105"/>
        <v>1</v>
      </c>
      <c r="N1684">
        <f t="shared" si="106"/>
        <v>0</v>
      </c>
      <c r="O1684" t="str">
        <f t="shared" si="107"/>
        <v>Proposta Ok</v>
      </c>
    </row>
    <row r="1685" spans="12:15" x14ac:dyDescent="0.25">
      <c r="L1685">
        <f t="shared" si="104"/>
        <v>0</v>
      </c>
      <c r="M1685">
        <f t="shared" si="105"/>
        <v>1</v>
      </c>
      <c r="N1685">
        <f t="shared" si="106"/>
        <v>0</v>
      </c>
      <c r="O1685" t="str">
        <f t="shared" si="107"/>
        <v>Proposta Ok</v>
      </c>
    </row>
    <row r="1686" spans="12:15" x14ac:dyDescent="0.25">
      <c r="L1686">
        <f t="shared" si="104"/>
        <v>0</v>
      </c>
      <c r="M1686">
        <f t="shared" si="105"/>
        <v>1</v>
      </c>
      <c r="N1686">
        <f t="shared" si="106"/>
        <v>0</v>
      </c>
      <c r="O1686" t="str">
        <f t="shared" si="107"/>
        <v>Proposta Ok</v>
      </c>
    </row>
    <row r="1687" spans="12:15" x14ac:dyDescent="0.25">
      <c r="L1687">
        <f t="shared" si="104"/>
        <v>0</v>
      </c>
      <c r="M1687">
        <f t="shared" si="105"/>
        <v>1</v>
      </c>
      <c r="N1687">
        <f t="shared" si="106"/>
        <v>0</v>
      </c>
      <c r="O1687" t="str">
        <f t="shared" si="107"/>
        <v>Proposta Ok</v>
      </c>
    </row>
    <row r="1688" spans="12:15" x14ac:dyDescent="0.25">
      <c r="L1688">
        <f t="shared" si="104"/>
        <v>0</v>
      </c>
      <c r="M1688">
        <f t="shared" si="105"/>
        <v>1</v>
      </c>
      <c r="N1688">
        <f t="shared" si="106"/>
        <v>0</v>
      </c>
      <c r="O1688" t="str">
        <f t="shared" si="107"/>
        <v>Proposta Ok</v>
      </c>
    </row>
    <row r="1689" spans="12:15" x14ac:dyDescent="0.25">
      <c r="L1689">
        <f t="shared" si="104"/>
        <v>0</v>
      </c>
      <c r="M1689">
        <f t="shared" si="105"/>
        <v>1</v>
      </c>
      <c r="N1689">
        <f t="shared" si="106"/>
        <v>0</v>
      </c>
      <c r="O1689" t="str">
        <f t="shared" si="107"/>
        <v>Proposta Ok</v>
      </c>
    </row>
    <row r="1690" spans="12:15" x14ac:dyDescent="0.25">
      <c r="L1690">
        <f t="shared" si="104"/>
        <v>0</v>
      </c>
      <c r="M1690">
        <f t="shared" si="105"/>
        <v>1</v>
      </c>
      <c r="N1690">
        <f t="shared" si="106"/>
        <v>0</v>
      </c>
      <c r="O1690" t="str">
        <f t="shared" si="107"/>
        <v>Proposta Ok</v>
      </c>
    </row>
    <row r="1691" spans="12:15" x14ac:dyDescent="0.25">
      <c r="L1691">
        <f t="shared" si="104"/>
        <v>0</v>
      </c>
      <c r="M1691">
        <f t="shared" si="105"/>
        <v>1</v>
      </c>
      <c r="N1691">
        <f t="shared" si="106"/>
        <v>0</v>
      </c>
      <c r="O1691" t="str">
        <f t="shared" si="107"/>
        <v>Proposta Ok</v>
      </c>
    </row>
    <row r="1692" spans="12:15" x14ac:dyDescent="0.25">
      <c r="L1692">
        <f t="shared" si="104"/>
        <v>0</v>
      </c>
      <c r="M1692">
        <f t="shared" si="105"/>
        <v>1</v>
      </c>
      <c r="N1692">
        <f t="shared" si="106"/>
        <v>0</v>
      </c>
      <c r="O1692" t="str">
        <f t="shared" si="107"/>
        <v>Proposta Ok</v>
      </c>
    </row>
    <row r="1693" spans="12:15" x14ac:dyDescent="0.25">
      <c r="L1693">
        <f t="shared" si="104"/>
        <v>0</v>
      </c>
      <c r="M1693">
        <f t="shared" si="105"/>
        <v>1</v>
      </c>
      <c r="N1693">
        <f t="shared" si="106"/>
        <v>0</v>
      </c>
      <c r="O1693" t="str">
        <f t="shared" si="107"/>
        <v>Proposta Ok</v>
      </c>
    </row>
    <row r="1694" spans="12:15" x14ac:dyDescent="0.25">
      <c r="L1694">
        <f t="shared" si="104"/>
        <v>0</v>
      </c>
      <c r="M1694">
        <f t="shared" si="105"/>
        <v>1</v>
      </c>
      <c r="N1694">
        <f t="shared" si="106"/>
        <v>0</v>
      </c>
      <c r="O1694" t="str">
        <f t="shared" si="107"/>
        <v>Proposta Ok</v>
      </c>
    </row>
    <row r="1695" spans="12:15" x14ac:dyDescent="0.25">
      <c r="L1695">
        <f t="shared" si="104"/>
        <v>0</v>
      </c>
      <c r="M1695">
        <f t="shared" si="105"/>
        <v>1</v>
      </c>
      <c r="N1695">
        <f t="shared" si="106"/>
        <v>0</v>
      </c>
      <c r="O1695" t="str">
        <f t="shared" si="107"/>
        <v>Proposta Ok</v>
      </c>
    </row>
    <row r="1696" spans="12:15" x14ac:dyDescent="0.25">
      <c r="L1696">
        <f t="shared" si="104"/>
        <v>0</v>
      </c>
      <c r="M1696">
        <f t="shared" si="105"/>
        <v>1</v>
      </c>
      <c r="N1696">
        <f t="shared" si="106"/>
        <v>0</v>
      </c>
      <c r="O1696" t="str">
        <f t="shared" si="107"/>
        <v>Proposta Ok</v>
      </c>
    </row>
    <row r="1697" spans="12:15" x14ac:dyDescent="0.25">
      <c r="L1697">
        <f t="shared" si="104"/>
        <v>0</v>
      </c>
      <c r="M1697">
        <f t="shared" si="105"/>
        <v>1</v>
      </c>
      <c r="N1697">
        <f t="shared" si="106"/>
        <v>0</v>
      </c>
      <c r="O1697" t="str">
        <f t="shared" si="107"/>
        <v>Proposta Ok</v>
      </c>
    </row>
    <row r="1698" spans="12:15" x14ac:dyDescent="0.25">
      <c r="L1698">
        <f t="shared" si="104"/>
        <v>0</v>
      </c>
      <c r="M1698">
        <f t="shared" si="105"/>
        <v>1</v>
      </c>
      <c r="N1698">
        <f t="shared" si="106"/>
        <v>0</v>
      </c>
      <c r="O1698" t="str">
        <f t="shared" si="107"/>
        <v>Proposta Ok</v>
      </c>
    </row>
    <row r="1699" spans="12:15" x14ac:dyDescent="0.25">
      <c r="L1699">
        <f t="shared" si="104"/>
        <v>0</v>
      </c>
      <c r="M1699">
        <f t="shared" si="105"/>
        <v>1</v>
      </c>
      <c r="N1699">
        <f t="shared" si="106"/>
        <v>0</v>
      </c>
      <c r="O1699" t="str">
        <f t="shared" si="107"/>
        <v>Proposta Ok</v>
      </c>
    </row>
    <row r="1700" spans="12:15" x14ac:dyDescent="0.25">
      <c r="L1700">
        <f t="shared" si="104"/>
        <v>0</v>
      </c>
      <c r="M1700">
        <f t="shared" si="105"/>
        <v>1</v>
      </c>
      <c r="N1700">
        <f t="shared" si="106"/>
        <v>0</v>
      </c>
      <c r="O1700" t="str">
        <f t="shared" si="107"/>
        <v>Proposta Ok</v>
      </c>
    </row>
    <row r="1701" spans="12:15" x14ac:dyDescent="0.25">
      <c r="L1701">
        <f t="shared" si="104"/>
        <v>0</v>
      </c>
      <c r="M1701">
        <f t="shared" si="105"/>
        <v>1</v>
      </c>
      <c r="N1701">
        <f t="shared" si="106"/>
        <v>0</v>
      </c>
      <c r="O1701" t="str">
        <f t="shared" si="107"/>
        <v>Proposta Ok</v>
      </c>
    </row>
    <row r="1702" spans="12:15" x14ac:dyDescent="0.25">
      <c r="L1702">
        <f t="shared" si="104"/>
        <v>0</v>
      </c>
      <c r="M1702">
        <f t="shared" si="105"/>
        <v>1</v>
      </c>
      <c r="N1702">
        <f t="shared" si="106"/>
        <v>0</v>
      </c>
      <c r="O1702" t="str">
        <f t="shared" si="107"/>
        <v>Proposta Ok</v>
      </c>
    </row>
    <row r="1703" spans="12:15" x14ac:dyDescent="0.25">
      <c r="L1703">
        <f t="shared" si="104"/>
        <v>0</v>
      </c>
      <c r="M1703">
        <f t="shared" si="105"/>
        <v>1</v>
      </c>
      <c r="N1703">
        <f t="shared" si="106"/>
        <v>0</v>
      </c>
      <c r="O1703" t="str">
        <f t="shared" si="107"/>
        <v>Proposta Ok</v>
      </c>
    </row>
    <row r="1704" spans="12:15" x14ac:dyDescent="0.25">
      <c r="L1704">
        <f t="shared" si="104"/>
        <v>0</v>
      </c>
      <c r="M1704">
        <f t="shared" si="105"/>
        <v>1</v>
      </c>
      <c r="N1704">
        <f t="shared" si="106"/>
        <v>0</v>
      </c>
      <c r="O1704" t="str">
        <f t="shared" si="107"/>
        <v>Proposta Ok</v>
      </c>
    </row>
    <row r="1705" spans="12:15" x14ac:dyDescent="0.25">
      <c r="L1705">
        <f t="shared" si="104"/>
        <v>0</v>
      </c>
      <c r="M1705">
        <f t="shared" si="105"/>
        <v>1</v>
      </c>
      <c r="N1705">
        <f t="shared" si="106"/>
        <v>0</v>
      </c>
      <c r="O1705" t="str">
        <f t="shared" si="107"/>
        <v>Proposta Ok</v>
      </c>
    </row>
    <row r="1706" spans="12:15" x14ac:dyDescent="0.25">
      <c r="L1706">
        <f t="shared" si="104"/>
        <v>0</v>
      </c>
      <c r="M1706">
        <f t="shared" si="105"/>
        <v>1</v>
      </c>
      <c r="N1706">
        <f t="shared" si="106"/>
        <v>0</v>
      </c>
      <c r="O1706" t="str">
        <f t="shared" si="107"/>
        <v>Proposta Ok</v>
      </c>
    </row>
    <row r="1707" spans="12:15" x14ac:dyDescent="0.25">
      <c r="L1707">
        <f t="shared" si="104"/>
        <v>0</v>
      </c>
      <c r="M1707">
        <f t="shared" si="105"/>
        <v>1</v>
      </c>
      <c r="N1707">
        <f t="shared" si="106"/>
        <v>0</v>
      </c>
      <c r="O1707" t="str">
        <f t="shared" si="107"/>
        <v>Proposta Ok</v>
      </c>
    </row>
    <row r="1708" spans="12:15" x14ac:dyDescent="0.25">
      <c r="L1708">
        <f t="shared" si="104"/>
        <v>0</v>
      </c>
      <c r="M1708">
        <f t="shared" si="105"/>
        <v>1</v>
      </c>
      <c r="N1708">
        <f t="shared" si="106"/>
        <v>0</v>
      </c>
      <c r="O1708" t="str">
        <f t="shared" si="107"/>
        <v>Proposta Ok</v>
      </c>
    </row>
    <row r="1709" spans="12:15" x14ac:dyDescent="0.25">
      <c r="L1709">
        <f t="shared" si="104"/>
        <v>0</v>
      </c>
      <c r="M1709">
        <f t="shared" si="105"/>
        <v>1</v>
      </c>
      <c r="N1709">
        <f t="shared" si="106"/>
        <v>0</v>
      </c>
      <c r="O1709" t="str">
        <f t="shared" si="107"/>
        <v>Proposta Ok</v>
      </c>
    </row>
    <row r="1710" spans="12:15" x14ac:dyDescent="0.25">
      <c r="L1710">
        <f t="shared" si="104"/>
        <v>0</v>
      </c>
      <c r="M1710">
        <f t="shared" si="105"/>
        <v>1</v>
      </c>
      <c r="N1710">
        <f t="shared" si="106"/>
        <v>0</v>
      </c>
      <c r="O1710" t="str">
        <f t="shared" si="107"/>
        <v>Proposta Ok</v>
      </c>
    </row>
    <row r="1711" spans="12:15" x14ac:dyDescent="0.25">
      <c r="L1711">
        <f t="shared" si="104"/>
        <v>0</v>
      </c>
      <c r="M1711">
        <f t="shared" si="105"/>
        <v>1</v>
      </c>
      <c r="N1711">
        <f t="shared" si="106"/>
        <v>0</v>
      </c>
      <c r="O1711" t="str">
        <f t="shared" si="107"/>
        <v>Proposta Ok</v>
      </c>
    </row>
    <row r="1712" spans="12:15" x14ac:dyDescent="0.25">
      <c r="L1712">
        <f t="shared" si="104"/>
        <v>0</v>
      </c>
      <c r="M1712">
        <f t="shared" si="105"/>
        <v>1</v>
      </c>
      <c r="N1712">
        <f t="shared" si="106"/>
        <v>0</v>
      </c>
      <c r="O1712" t="str">
        <f t="shared" si="107"/>
        <v>Proposta Ok</v>
      </c>
    </row>
    <row r="1713" spans="12:15" x14ac:dyDescent="0.25">
      <c r="L1713">
        <f t="shared" si="104"/>
        <v>0</v>
      </c>
      <c r="M1713">
        <f t="shared" si="105"/>
        <v>1</v>
      </c>
      <c r="N1713">
        <f t="shared" si="106"/>
        <v>0</v>
      </c>
      <c r="O1713" t="str">
        <f t="shared" si="107"/>
        <v>Proposta Ok</v>
      </c>
    </row>
    <row r="1714" spans="12:15" x14ac:dyDescent="0.25">
      <c r="L1714">
        <f t="shared" si="104"/>
        <v>0</v>
      </c>
      <c r="M1714">
        <f t="shared" si="105"/>
        <v>1</v>
      </c>
      <c r="N1714">
        <f t="shared" si="106"/>
        <v>0</v>
      </c>
      <c r="O1714" t="str">
        <f t="shared" si="107"/>
        <v>Proposta Ok</v>
      </c>
    </row>
    <row r="1715" spans="12:15" x14ac:dyDescent="0.25">
      <c r="L1715">
        <f t="shared" si="104"/>
        <v>0</v>
      </c>
      <c r="M1715">
        <f t="shared" si="105"/>
        <v>1</v>
      </c>
      <c r="N1715">
        <f t="shared" si="106"/>
        <v>0</v>
      </c>
      <c r="O1715" t="str">
        <f t="shared" si="107"/>
        <v>Proposta Ok</v>
      </c>
    </row>
    <row r="1716" spans="12:15" x14ac:dyDescent="0.25">
      <c r="L1716">
        <f t="shared" si="104"/>
        <v>0</v>
      </c>
      <c r="M1716">
        <f t="shared" si="105"/>
        <v>1</v>
      </c>
      <c r="N1716">
        <f t="shared" si="106"/>
        <v>0</v>
      </c>
      <c r="O1716" t="str">
        <f t="shared" si="107"/>
        <v>Proposta Ok</v>
      </c>
    </row>
    <row r="1717" spans="12:15" x14ac:dyDescent="0.25">
      <c r="L1717">
        <f t="shared" si="104"/>
        <v>0</v>
      </c>
      <c r="M1717">
        <f t="shared" si="105"/>
        <v>1</v>
      </c>
      <c r="N1717">
        <f t="shared" si="106"/>
        <v>0</v>
      </c>
      <c r="O1717" t="str">
        <f t="shared" si="107"/>
        <v>Proposta Ok</v>
      </c>
    </row>
    <row r="1718" spans="12:15" x14ac:dyDescent="0.25">
      <c r="L1718">
        <f t="shared" si="104"/>
        <v>0</v>
      </c>
      <c r="M1718">
        <f t="shared" si="105"/>
        <v>1</v>
      </c>
      <c r="N1718">
        <f t="shared" si="106"/>
        <v>0</v>
      </c>
      <c r="O1718" t="str">
        <f t="shared" si="107"/>
        <v>Proposta Ok</v>
      </c>
    </row>
    <row r="1719" spans="12:15" x14ac:dyDescent="0.25">
      <c r="L1719">
        <f t="shared" si="104"/>
        <v>0</v>
      </c>
      <c r="M1719">
        <f t="shared" si="105"/>
        <v>1</v>
      </c>
      <c r="N1719">
        <f t="shared" si="106"/>
        <v>0</v>
      </c>
      <c r="O1719" t="str">
        <f t="shared" si="107"/>
        <v>Proposta Ok</v>
      </c>
    </row>
    <row r="1720" spans="12:15" x14ac:dyDescent="0.25">
      <c r="L1720">
        <f t="shared" si="104"/>
        <v>0</v>
      </c>
      <c r="M1720">
        <f t="shared" si="105"/>
        <v>1</v>
      </c>
      <c r="N1720">
        <f t="shared" si="106"/>
        <v>0</v>
      </c>
      <c r="O1720" t="str">
        <f t="shared" si="107"/>
        <v>Proposta Ok</v>
      </c>
    </row>
    <row r="1721" spans="12:15" x14ac:dyDescent="0.25">
      <c r="L1721">
        <f t="shared" si="104"/>
        <v>0</v>
      </c>
      <c r="M1721">
        <f t="shared" si="105"/>
        <v>1</v>
      </c>
      <c r="N1721">
        <f t="shared" si="106"/>
        <v>0</v>
      </c>
      <c r="O1721" t="str">
        <f t="shared" si="107"/>
        <v>Proposta Ok</v>
      </c>
    </row>
    <row r="1722" spans="12:15" x14ac:dyDescent="0.25">
      <c r="L1722">
        <f t="shared" si="104"/>
        <v>0</v>
      </c>
      <c r="M1722">
        <f t="shared" si="105"/>
        <v>1</v>
      </c>
      <c r="N1722">
        <f t="shared" si="106"/>
        <v>0</v>
      </c>
      <c r="O1722" t="str">
        <f t="shared" si="107"/>
        <v>Proposta Ok</v>
      </c>
    </row>
    <row r="1723" spans="12:15" x14ac:dyDescent="0.25">
      <c r="L1723">
        <f t="shared" si="104"/>
        <v>0</v>
      </c>
      <c r="M1723">
        <f t="shared" si="105"/>
        <v>1</v>
      </c>
      <c r="N1723">
        <f t="shared" si="106"/>
        <v>0</v>
      </c>
      <c r="O1723" t="str">
        <f t="shared" si="107"/>
        <v>Proposta Ok</v>
      </c>
    </row>
    <row r="1724" spans="12:15" x14ac:dyDescent="0.25">
      <c r="L1724">
        <f t="shared" si="104"/>
        <v>0</v>
      </c>
      <c r="M1724">
        <f t="shared" si="105"/>
        <v>1</v>
      </c>
      <c r="N1724">
        <f t="shared" si="106"/>
        <v>0</v>
      </c>
      <c r="O1724" t="str">
        <f t="shared" si="107"/>
        <v>Proposta Ok</v>
      </c>
    </row>
    <row r="1725" spans="12:15" x14ac:dyDescent="0.25">
      <c r="L1725">
        <f t="shared" si="104"/>
        <v>0</v>
      </c>
      <c r="M1725">
        <f t="shared" si="105"/>
        <v>1</v>
      </c>
      <c r="N1725">
        <f t="shared" si="106"/>
        <v>0</v>
      </c>
      <c r="O1725" t="str">
        <f t="shared" si="107"/>
        <v>Proposta Ok</v>
      </c>
    </row>
    <row r="1726" spans="12:15" x14ac:dyDescent="0.25">
      <c r="L1726">
        <f t="shared" ref="L1726:L1789" si="108">IF(OR(I1726="Termo OK (Exceção)",I1726="Termo OK"),1,0)</f>
        <v>0</v>
      </c>
      <c r="M1726">
        <f t="shared" ref="M1726:M1789" si="109">IF(OR(I1726="Termo OK (Exceção)",I1726="Termo OK"),0,1)</f>
        <v>1</v>
      </c>
      <c r="N1726">
        <f t="shared" ref="N1726:N1789" si="110">IF(J1726="SIM",1,0)</f>
        <v>0</v>
      </c>
      <c r="O1726" t="str">
        <f t="shared" si="107"/>
        <v>Proposta Ok</v>
      </c>
    </row>
    <row r="1727" spans="12:15" x14ac:dyDescent="0.25">
      <c r="L1727">
        <f t="shared" si="108"/>
        <v>0</v>
      </c>
      <c r="M1727">
        <f t="shared" si="109"/>
        <v>1</v>
      </c>
      <c r="N1727">
        <f t="shared" si="110"/>
        <v>0</v>
      </c>
      <c r="O1727" t="str">
        <f t="shared" si="107"/>
        <v>Proposta Ok</v>
      </c>
    </row>
    <row r="1728" spans="12:15" x14ac:dyDescent="0.25">
      <c r="L1728">
        <f t="shared" si="108"/>
        <v>0</v>
      </c>
      <c r="M1728">
        <f t="shared" si="109"/>
        <v>1</v>
      </c>
      <c r="N1728">
        <f t="shared" si="110"/>
        <v>0</v>
      </c>
      <c r="O1728" t="str">
        <f t="shared" si="107"/>
        <v>Proposta Ok</v>
      </c>
    </row>
    <row r="1729" spans="12:15" x14ac:dyDescent="0.25">
      <c r="L1729">
        <f t="shared" si="108"/>
        <v>0</v>
      </c>
      <c r="M1729">
        <f t="shared" si="109"/>
        <v>1</v>
      </c>
      <c r="N1729">
        <f t="shared" si="110"/>
        <v>0</v>
      </c>
      <c r="O1729" t="str">
        <f t="shared" si="107"/>
        <v>Proposta Ok</v>
      </c>
    </row>
    <row r="1730" spans="12:15" x14ac:dyDescent="0.25">
      <c r="L1730">
        <f t="shared" si="108"/>
        <v>0</v>
      </c>
      <c r="M1730">
        <f t="shared" si="109"/>
        <v>1</v>
      </c>
      <c r="N1730">
        <f t="shared" si="110"/>
        <v>0</v>
      </c>
      <c r="O1730" t="str">
        <f t="shared" si="107"/>
        <v>Proposta Ok</v>
      </c>
    </row>
    <row r="1731" spans="12:15" x14ac:dyDescent="0.25">
      <c r="L1731">
        <f t="shared" si="108"/>
        <v>0</v>
      </c>
      <c r="M1731">
        <f t="shared" si="109"/>
        <v>1</v>
      </c>
      <c r="N1731">
        <f t="shared" si="110"/>
        <v>0</v>
      </c>
      <c r="O1731" t="str">
        <f t="shared" ref="O1731:O1794" si="111">IF(SUMIFS(M:M,A:A,A1731)&gt;0,"Proposta não Ok","Proposta Ok")</f>
        <v>Proposta Ok</v>
      </c>
    </row>
    <row r="1732" spans="12:15" x14ac:dyDescent="0.25">
      <c r="L1732">
        <f t="shared" si="108"/>
        <v>0</v>
      </c>
      <c r="M1732">
        <f t="shared" si="109"/>
        <v>1</v>
      </c>
      <c r="N1732">
        <f t="shared" si="110"/>
        <v>0</v>
      </c>
      <c r="O1732" t="str">
        <f t="shared" si="111"/>
        <v>Proposta Ok</v>
      </c>
    </row>
    <row r="1733" spans="12:15" x14ac:dyDescent="0.25">
      <c r="L1733">
        <f t="shared" si="108"/>
        <v>0</v>
      </c>
      <c r="M1733">
        <f t="shared" si="109"/>
        <v>1</v>
      </c>
      <c r="N1733">
        <f t="shared" si="110"/>
        <v>0</v>
      </c>
      <c r="O1733" t="str">
        <f t="shared" si="111"/>
        <v>Proposta Ok</v>
      </c>
    </row>
    <row r="1734" spans="12:15" x14ac:dyDescent="0.25">
      <c r="L1734">
        <f t="shared" si="108"/>
        <v>0</v>
      </c>
      <c r="M1734">
        <f t="shared" si="109"/>
        <v>1</v>
      </c>
      <c r="N1734">
        <f t="shared" si="110"/>
        <v>0</v>
      </c>
      <c r="O1734" t="str">
        <f t="shared" si="111"/>
        <v>Proposta Ok</v>
      </c>
    </row>
    <row r="1735" spans="12:15" x14ac:dyDescent="0.25">
      <c r="L1735">
        <f t="shared" si="108"/>
        <v>0</v>
      </c>
      <c r="M1735">
        <f t="shared" si="109"/>
        <v>1</v>
      </c>
      <c r="N1735">
        <f t="shared" si="110"/>
        <v>0</v>
      </c>
      <c r="O1735" t="str">
        <f t="shared" si="111"/>
        <v>Proposta Ok</v>
      </c>
    </row>
    <row r="1736" spans="12:15" x14ac:dyDescent="0.25">
      <c r="L1736">
        <f t="shared" si="108"/>
        <v>0</v>
      </c>
      <c r="M1736">
        <f t="shared" si="109"/>
        <v>1</v>
      </c>
      <c r="N1736">
        <f t="shared" si="110"/>
        <v>0</v>
      </c>
      <c r="O1736" t="str">
        <f t="shared" si="111"/>
        <v>Proposta Ok</v>
      </c>
    </row>
    <row r="1737" spans="12:15" x14ac:dyDescent="0.25">
      <c r="L1737">
        <f t="shared" si="108"/>
        <v>0</v>
      </c>
      <c r="M1737">
        <f t="shared" si="109"/>
        <v>1</v>
      </c>
      <c r="N1737">
        <f t="shared" si="110"/>
        <v>0</v>
      </c>
      <c r="O1737" t="str">
        <f t="shared" si="111"/>
        <v>Proposta Ok</v>
      </c>
    </row>
    <row r="1738" spans="12:15" x14ac:dyDescent="0.25">
      <c r="L1738">
        <f t="shared" si="108"/>
        <v>0</v>
      </c>
      <c r="M1738">
        <f t="shared" si="109"/>
        <v>1</v>
      </c>
      <c r="N1738">
        <f t="shared" si="110"/>
        <v>0</v>
      </c>
      <c r="O1738" t="str">
        <f t="shared" si="111"/>
        <v>Proposta Ok</v>
      </c>
    </row>
    <row r="1739" spans="12:15" x14ac:dyDescent="0.25">
      <c r="L1739">
        <f t="shared" si="108"/>
        <v>0</v>
      </c>
      <c r="M1739">
        <f t="shared" si="109"/>
        <v>1</v>
      </c>
      <c r="N1739">
        <f t="shared" si="110"/>
        <v>0</v>
      </c>
      <c r="O1739" t="str">
        <f t="shared" si="111"/>
        <v>Proposta Ok</v>
      </c>
    </row>
    <row r="1740" spans="12:15" x14ac:dyDescent="0.25">
      <c r="L1740">
        <f t="shared" si="108"/>
        <v>0</v>
      </c>
      <c r="M1740">
        <f t="shared" si="109"/>
        <v>1</v>
      </c>
      <c r="N1740">
        <f t="shared" si="110"/>
        <v>0</v>
      </c>
      <c r="O1740" t="str">
        <f t="shared" si="111"/>
        <v>Proposta Ok</v>
      </c>
    </row>
    <row r="1741" spans="12:15" x14ac:dyDescent="0.25">
      <c r="L1741">
        <f t="shared" si="108"/>
        <v>0</v>
      </c>
      <c r="M1741">
        <f t="shared" si="109"/>
        <v>1</v>
      </c>
      <c r="N1741">
        <f t="shared" si="110"/>
        <v>0</v>
      </c>
      <c r="O1741" t="str">
        <f t="shared" si="111"/>
        <v>Proposta Ok</v>
      </c>
    </row>
    <row r="1742" spans="12:15" x14ac:dyDescent="0.25">
      <c r="L1742">
        <f t="shared" si="108"/>
        <v>0</v>
      </c>
      <c r="M1742">
        <f t="shared" si="109"/>
        <v>1</v>
      </c>
      <c r="N1742">
        <f t="shared" si="110"/>
        <v>0</v>
      </c>
      <c r="O1742" t="str">
        <f t="shared" si="111"/>
        <v>Proposta Ok</v>
      </c>
    </row>
    <row r="1743" spans="12:15" x14ac:dyDescent="0.25">
      <c r="L1743">
        <f t="shared" si="108"/>
        <v>0</v>
      </c>
      <c r="M1743">
        <f t="shared" si="109"/>
        <v>1</v>
      </c>
      <c r="N1743">
        <f t="shared" si="110"/>
        <v>0</v>
      </c>
      <c r="O1743" t="str">
        <f t="shared" si="111"/>
        <v>Proposta Ok</v>
      </c>
    </row>
    <row r="1744" spans="12:15" x14ac:dyDescent="0.25">
      <c r="L1744">
        <f t="shared" si="108"/>
        <v>0</v>
      </c>
      <c r="M1744">
        <f t="shared" si="109"/>
        <v>1</v>
      </c>
      <c r="N1744">
        <f t="shared" si="110"/>
        <v>0</v>
      </c>
      <c r="O1744" t="str">
        <f t="shared" si="111"/>
        <v>Proposta Ok</v>
      </c>
    </row>
    <row r="1745" spans="12:15" x14ac:dyDescent="0.25">
      <c r="L1745">
        <f t="shared" si="108"/>
        <v>0</v>
      </c>
      <c r="M1745">
        <f t="shared" si="109"/>
        <v>1</v>
      </c>
      <c r="N1745">
        <f t="shared" si="110"/>
        <v>0</v>
      </c>
      <c r="O1745" t="str">
        <f t="shared" si="111"/>
        <v>Proposta Ok</v>
      </c>
    </row>
    <row r="1746" spans="12:15" x14ac:dyDescent="0.25">
      <c r="L1746">
        <f t="shared" si="108"/>
        <v>0</v>
      </c>
      <c r="M1746">
        <f t="shared" si="109"/>
        <v>1</v>
      </c>
      <c r="N1746">
        <f t="shared" si="110"/>
        <v>0</v>
      </c>
      <c r="O1746" t="str">
        <f t="shared" si="111"/>
        <v>Proposta Ok</v>
      </c>
    </row>
    <row r="1747" spans="12:15" x14ac:dyDescent="0.25">
      <c r="L1747">
        <f t="shared" si="108"/>
        <v>0</v>
      </c>
      <c r="M1747">
        <f t="shared" si="109"/>
        <v>1</v>
      </c>
      <c r="N1747">
        <f t="shared" si="110"/>
        <v>0</v>
      </c>
      <c r="O1747" t="str">
        <f t="shared" si="111"/>
        <v>Proposta Ok</v>
      </c>
    </row>
    <row r="1748" spans="12:15" x14ac:dyDescent="0.25">
      <c r="L1748">
        <f t="shared" si="108"/>
        <v>0</v>
      </c>
      <c r="M1748">
        <f t="shared" si="109"/>
        <v>1</v>
      </c>
      <c r="N1748">
        <f t="shared" si="110"/>
        <v>0</v>
      </c>
      <c r="O1748" t="str">
        <f t="shared" si="111"/>
        <v>Proposta Ok</v>
      </c>
    </row>
    <row r="1749" spans="12:15" x14ac:dyDescent="0.25">
      <c r="L1749">
        <f t="shared" si="108"/>
        <v>0</v>
      </c>
      <c r="M1749">
        <f t="shared" si="109"/>
        <v>1</v>
      </c>
      <c r="N1749">
        <f t="shared" si="110"/>
        <v>0</v>
      </c>
      <c r="O1749" t="str">
        <f t="shared" si="111"/>
        <v>Proposta Ok</v>
      </c>
    </row>
    <row r="1750" spans="12:15" x14ac:dyDescent="0.25">
      <c r="L1750">
        <f t="shared" si="108"/>
        <v>0</v>
      </c>
      <c r="M1750">
        <f t="shared" si="109"/>
        <v>1</v>
      </c>
      <c r="N1750">
        <f t="shared" si="110"/>
        <v>0</v>
      </c>
      <c r="O1750" t="str">
        <f t="shared" si="111"/>
        <v>Proposta Ok</v>
      </c>
    </row>
    <row r="1751" spans="12:15" x14ac:dyDescent="0.25">
      <c r="L1751">
        <f t="shared" si="108"/>
        <v>0</v>
      </c>
      <c r="M1751">
        <f t="shared" si="109"/>
        <v>1</v>
      </c>
      <c r="N1751">
        <f t="shared" si="110"/>
        <v>0</v>
      </c>
      <c r="O1751" t="str">
        <f t="shared" si="111"/>
        <v>Proposta Ok</v>
      </c>
    </row>
    <row r="1752" spans="12:15" x14ac:dyDescent="0.25">
      <c r="L1752">
        <f t="shared" si="108"/>
        <v>0</v>
      </c>
      <c r="M1752">
        <f t="shared" si="109"/>
        <v>1</v>
      </c>
      <c r="N1752">
        <f t="shared" si="110"/>
        <v>0</v>
      </c>
      <c r="O1752" t="str">
        <f t="shared" si="111"/>
        <v>Proposta Ok</v>
      </c>
    </row>
    <row r="1753" spans="12:15" x14ac:dyDescent="0.25">
      <c r="L1753">
        <f t="shared" si="108"/>
        <v>0</v>
      </c>
      <c r="M1753">
        <f t="shared" si="109"/>
        <v>1</v>
      </c>
      <c r="N1753">
        <f t="shared" si="110"/>
        <v>0</v>
      </c>
      <c r="O1753" t="str">
        <f t="shared" si="111"/>
        <v>Proposta Ok</v>
      </c>
    </row>
    <row r="1754" spans="12:15" x14ac:dyDescent="0.25">
      <c r="L1754">
        <f t="shared" si="108"/>
        <v>0</v>
      </c>
      <c r="M1754">
        <f t="shared" si="109"/>
        <v>1</v>
      </c>
      <c r="N1754">
        <f t="shared" si="110"/>
        <v>0</v>
      </c>
      <c r="O1754" t="str">
        <f t="shared" si="111"/>
        <v>Proposta Ok</v>
      </c>
    </row>
    <row r="1755" spans="12:15" x14ac:dyDescent="0.25">
      <c r="L1755">
        <f t="shared" si="108"/>
        <v>0</v>
      </c>
      <c r="M1755">
        <f t="shared" si="109"/>
        <v>1</v>
      </c>
      <c r="N1755">
        <f t="shared" si="110"/>
        <v>0</v>
      </c>
      <c r="O1755" t="str">
        <f t="shared" si="111"/>
        <v>Proposta Ok</v>
      </c>
    </row>
    <row r="1756" spans="12:15" x14ac:dyDescent="0.25">
      <c r="L1756">
        <f t="shared" si="108"/>
        <v>0</v>
      </c>
      <c r="M1756">
        <f t="shared" si="109"/>
        <v>1</v>
      </c>
      <c r="N1756">
        <f t="shared" si="110"/>
        <v>0</v>
      </c>
      <c r="O1756" t="str">
        <f t="shared" si="111"/>
        <v>Proposta Ok</v>
      </c>
    </row>
    <row r="1757" spans="12:15" x14ac:dyDescent="0.25">
      <c r="L1757">
        <f t="shared" si="108"/>
        <v>0</v>
      </c>
      <c r="M1757">
        <f t="shared" si="109"/>
        <v>1</v>
      </c>
      <c r="N1757">
        <f t="shared" si="110"/>
        <v>0</v>
      </c>
      <c r="O1757" t="str">
        <f t="shared" si="111"/>
        <v>Proposta Ok</v>
      </c>
    </row>
    <row r="1758" spans="12:15" x14ac:dyDescent="0.25">
      <c r="L1758">
        <f t="shared" si="108"/>
        <v>0</v>
      </c>
      <c r="M1758">
        <f t="shared" si="109"/>
        <v>1</v>
      </c>
      <c r="N1758">
        <f t="shared" si="110"/>
        <v>0</v>
      </c>
      <c r="O1758" t="str">
        <f t="shared" si="111"/>
        <v>Proposta Ok</v>
      </c>
    </row>
    <row r="1759" spans="12:15" x14ac:dyDescent="0.25">
      <c r="L1759">
        <f t="shared" si="108"/>
        <v>0</v>
      </c>
      <c r="M1759">
        <f t="shared" si="109"/>
        <v>1</v>
      </c>
      <c r="N1759">
        <f t="shared" si="110"/>
        <v>0</v>
      </c>
      <c r="O1759" t="str">
        <f t="shared" si="111"/>
        <v>Proposta Ok</v>
      </c>
    </row>
    <row r="1760" spans="12:15" x14ac:dyDescent="0.25">
      <c r="L1760">
        <f t="shared" si="108"/>
        <v>0</v>
      </c>
      <c r="M1760">
        <f t="shared" si="109"/>
        <v>1</v>
      </c>
      <c r="N1760">
        <f t="shared" si="110"/>
        <v>0</v>
      </c>
      <c r="O1760" t="str">
        <f t="shared" si="111"/>
        <v>Proposta Ok</v>
      </c>
    </row>
    <row r="1761" spans="12:15" x14ac:dyDescent="0.25">
      <c r="L1761">
        <f t="shared" si="108"/>
        <v>0</v>
      </c>
      <c r="M1761">
        <f t="shared" si="109"/>
        <v>1</v>
      </c>
      <c r="N1761">
        <f t="shared" si="110"/>
        <v>0</v>
      </c>
      <c r="O1761" t="str">
        <f t="shared" si="111"/>
        <v>Proposta Ok</v>
      </c>
    </row>
    <row r="1762" spans="12:15" x14ac:dyDescent="0.25">
      <c r="L1762">
        <f t="shared" si="108"/>
        <v>0</v>
      </c>
      <c r="M1762">
        <f t="shared" si="109"/>
        <v>1</v>
      </c>
      <c r="N1762">
        <f t="shared" si="110"/>
        <v>0</v>
      </c>
      <c r="O1762" t="str">
        <f t="shared" si="111"/>
        <v>Proposta Ok</v>
      </c>
    </row>
    <row r="1763" spans="12:15" x14ac:dyDescent="0.25">
      <c r="L1763">
        <f t="shared" si="108"/>
        <v>0</v>
      </c>
      <c r="M1763">
        <f t="shared" si="109"/>
        <v>1</v>
      </c>
      <c r="N1763">
        <f t="shared" si="110"/>
        <v>0</v>
      </c>
      <c r="O1763" t="str">
        <f t="shared" si="111"/>
        <v>Proposta Ok</v>
      </c>
    </row>
    <row r="1764" spans="12:15" x14ac:dyDescent="0.25">
      <c r="L1764">
        <f t="shared" si="108"/>
        <v>0</v>
      </c>
      <c r="M1764">
        <f t="shared" si="109"/>
        <v>1</v>
      </c>
      <c r="N1764">
        <f t="shared" si="110"/>
        <v>0</v>
      </c>
      <c r="O1764" t="str">
        <f t="shared" si="111"/>
        <v>Proposta Ok</v>
      </c>
    </row>
    <row r="1765" spans="12:15" x14ac:dyDescent="0.25">
      <c r="L1765">
        <f t="shared" si="108"/>
        <v>0</v>
      </c>
      <c r="M1765">
        <f t="shared" si="109"/>
        <v>1</v>
      </c>
      <c r="N1765">
        <f t="shared" si="110"/>
        <v>0</v>
      </c>
      <c r="O1765" t="str">
        <f t="shared" si="111"/>
        <v>Proposta Ok</v>
      </c>
    </row>
    <row r="1766" spans="12:15" x14ac:dyDescent="0.25">
      <c r="L1766">
        <f t="shared" si="108"/>
        <v>0</v>
      </c>
      <c r="M1766">
        <f t="shared" si="109"/>
        <v>1</v>
      </c>
      <c r="N1766">
        <f t="shared" si="110"/>
        <v>0</v>
      </c>
      <c r="O1766" t="str">
        <f t="shared" si="111"/>
        <v>Proposta Ok</v>
      </c>
    </row>
    <row r="1767" spans="12:15" x14ac:dyDescent="0.25">
      <c r="L1767">
        <f t="shared" si="108"/>
        <v>0</v>
      </c>
      <c r="M1767">
        <f t="shared" si="109"/>
        <v>1</v>
      </c>
      <c r="N1767">
        <f t="shared" si="110"/>
        <v>0</v>
      </c>
      <c r="O1767" t="str">
        <f t="shared" si="111"/>
        <v>Proposta Ok</v>
      </c>
    </row>
    <row r="1768" spans="12:15" x14ac:dyDescent="0.25">
      <c r="L1768">
        <f t="shared" si="108"/>
        <v>0</v>
      </c>
      <c r="M1768">
        <f t="shared" si="109"/>
        <v>1</v>
      </c>
      <c r="N1768">
        <f t="shared" si="110"/>
        <v>0</v>
      </c>
      <c r="O1768" t="str">
        <f t="shared" si="111"/>
        <v>Proposta Ok</v>
      </c>
    </row>
    <row r="1769" spans="12:15" x14ac:dyDescent="0.25">
      <c r="L1769">
        <f t="shared" si="108"/>
        <v>0</v>
      </c>
      <c r="M1769">
        <f t="shared" si="109"/>
        <v>1</v>
      </c>
      <c r="N1769">
        <f t="shared" si="110"/>
        <v>0</v>
      </c>
      <c r="O1769" t="str">
        <f t="shared" si="111"/>
        <v>Proposta Ok</v>
      </c>
    </row>
    <row r="1770" spans="12:15" x14ac:dyDescent="0.25">
      <c r="L1770">
        <f t="shared" si="108"/>
        <v>0</v>
      </c>
      <c r="M1770">
        <f t="shared" si="109"/>
        <v>1</v>
      </c>
      <c r="N1770">
        <f t="shared" si="110"/>
        <v>0</v>
      </c>
      <c r="O1770" t="str">
        <f t="shared" si="111"/>
        <v>Proposta Ok</v>
      </c>
    </row>
    <row r="1771" spans="12:15" x14ac:dyDescent="0.25">
      <c r="L1771">
        <f t="shared" si="108"/>
        <v>0</v>
      </c>
      <c r="M1771">
        <f t="shared" si="109"/>
        <v>1</v>
      </c>
      <c r="N1771">
        <f t="shared" si="110"/>
        <v>0</v>
      </c>
      <c r="O1771" t="str">
        <f t="shared" si="111"/>
        <v>Proposta Ok</v>
      </c>
    </row>
    <row r="1772" spans="12:15" x14ac:dyDescent="0.25">
      <c r="L1772">
        <f t="shared" si="108"/>
        <v>0</v>
      </c>
      <c r="M1772">
        <f t="shared" si="109"/>
        <v>1</v>
      </c>
      <c r="N1772">
        <f t="shared" si="110"/>
        <v>0</v>
      </c>
      <c r="O1772" t="str">
        <f t="shared" si="111"/>
        <v>Proposta Ok</v>
      </c>
    </row>
    <row r="1773" spans="12:15" x14ac:dyDescent="0.25">
      <c r="L1773">
        <f t="shared" si="108"/>
        <v>0</v>
      </c>
      <c r="M1773">
        <f t="shared" si="109"/>
        <v>1</v>
      </c>
      <c r="N1773">
        <f t="shared" si="110"/>
        <v>0</v>
      </c>
      <c r="O1773" t="str">
        <f t="shared" si="111"/>
        <v>Proposta Ok</v>
      </c>
    </row>
    <row r="1774" spans="12:15" x14ac:dyDescent="0.25">
      <c r="L1774">
        <f t="shared" si="108"/>
        <v>0</v>
      </c>
      <c r="M1774">
        <f t="shared" si="109"/>
        <v>1</v>
      </c>
      <c r="N1774">
        <f t="shared" si="110"/>
        <v>0</v>
      </c>
      <c r="O1774" t="str">
        <f t="shared" si="111"/>
        <v>Proposta Ok</v>
      </c>
    </row>
    <row r="1775" spans="12:15" x14ac:dyDescent="0.25">
      <c r="L1775">
        <f t="shared" si="108"/>
        <v>0</v>
      </c>
      <c r="M1775">
        <f t="shared" si="109"/>
        <v>1</v>
      </c>
      <c r="N1775">
        <f t="shared" si="110"/>
        <v>0</v>
      </c>
      <c r="O1775" t="str">
        <f t="shared" si="111"/>
        <v>Proposta Ok</v>
      </c>
    </row>
    <row r="1776" spans="12:15" x14ac:dyDescent="0.25">
      <c r="L1776">
        <f t="shared" si="108"/>
        <v>0</v>
      </c>
      <c r="M1776">
        <f t="shared" si="109"/>
        <v>1</v>
      </c>
      <c r="N1776">
        <f t="shared" si="110"/>
        <v>0</v>
      </c>
      <c r="O1776" t="str">
        <f t="shared" si="111"/>
        <v>Proposta Ok</v>
      </c>
    </row>
    <row r="1777" spans="12:15" x14ac:dyDescent="0.25">
      <c r="L1777">
        <f t="shared" si="108"/>
        <v>0</v>
      </c>
      <c r="M1777">
        <f t="shared" si="109"/>
        <v>1</v>
      </c>
      <c r="N1777">
        <f t="shared" si="110"/>
        <v>0</v>
      </c>
      <c r="O1777" t="str">
        <f t="shared" si="111"/>
        <v>Proposta Ok</v>
      </c>
    </row>
    <row r="1778" spans="12:15" x14ac:dyDescent="0.25">
      <c r="L1778">
        <f t="shared" si="108"/>
        <v>0</v>
      </c>
      <c r="M1778">
        <f t="shared" si="109"/>
        <v>1</v>
      </c>
      <c r="N1778">
        <f t="shared" si="110"/>
        <v>0</v>
      </c>
      <c r="O1778" t="str">
        <f t="shared" si="111"/>
        <v>Proposta Ok</v>
      </c>
    </row>
    <row r="1779" spans="12:15" x14ac:dyDescent="0.25">
      <c r="L1779">
        <f t="shared" si="108"/>
        <v>0</v>
      </c>
      <c r="M1779">
        <f t="shared" si="109"/>
        <v>1</v>
      </c>
      <c r="N1779">
        <f t="shared" si="110"/>
        <v>0</v>
      </c>
      <c r="O1779" t="str">
        <f t="shared" si="111"/>
        <v>Proposta Ok</v>
      </c>
    </row>
    <row r="1780" spans="12:15" x14ac:dyDescent="0.25">
      <c r="L1780">
        <f t="shared" si="108"/>
        <v>0</v>
      </c>
      <c r="M1780">
        <f t="shared" si="109"/>
        <v>1</v>
      </c>
      <c r="N1780">
        <f t="shared" si="110"/>
        <v>0</v>
      </c>
      <c r="O1780" t="str">
        <f t="shared" si="111"/>
        <v>Proposta Ok</v>
      </c>
    </row>
    <row r="1781" spans="12:15" x14ac:dyDescent="0.25">
      <c r="L1781">
        <f t="shared" si="108"/>
        <v>0</v>
      </c>
      <c r="M1781">
        <f t="shared" si="109"/>
        <v>1</v>
      </c>
      <c r="N1781">
        <f t="shared" si="110"/>
        <v>0</v>
      </c>
      <c r="O1781" t="str">
        <f t="shared" si="111"/>
        <v>Proposta Ok</v>
      </c>
    </row>
    <row r="1782" spans="12:15" x14ac:dyDescent="0.25">
      <c r="L1782">
        <f t="shared" si="108"/>
        <v>0</v>
      </c>
      <c r="M1782">
        <f t="shared" si="109"/>
        <v>1</v>
      </c>
      <c r="N1782">
        <f t="shared" si="110"/>
        <v>0</v>
      </c>
      <c r="O1782" t="str">
        <f t="shared" si="111"/>
        <v>Proposta Ok</v>
      </c>
    </row>
    <row r="1783" spans="12:15" x14ac:dyDescent="0.25">
      <c r="L1783">
        <f t="shared" si="108"/>
        <v>0</v>
      </c>
      <c r="M1783">
        <f t="shared" si="109"/>
        <v>1</v>
      </c>
      <c r="N1783">
        <f t="shared" si="110"/>
        <v>0</v>
      </c>
      <c r="O1783" t="str">
        <f t="shared" si="111"/>
        <v>Proposta Ok</v>
      </c>
    </row>
    <row r="1784" spans="12:15" x14ac:dyDescent="0.25">
      <c r="L1784">
        <f t="shared" si="108"/>
        <v>0</v>
      </c>
      <c r="M1784">
        <f t="shared" si="109"/>
        <v>1</v>
      </c>
      <c r="N1784">
        <f t="shared" si="110"/>
        <v>0</v>
      </c>
      <c r="O1784" t="str">
        <f t="shared" si="111"/>
        <v>Proposta Ok</v>
      </c>
    </row>
    <row r="1785" spans="12:15" x14ac:dyDescent="0.25">
      <c r="L1785">
        <f t="shared" si="108"/>
        <v>0</v>
      </c>
      <c r="M1785">
        <f t="shared" si="109"/>
        <v>1</v>
      </c>
      <c r="N1785">
        <f t="shared" si="110"/>
        <v>0</v>
      </c>
      <c r="O1785" t="str">
        <f t="shared" si="111"/>
        <v>Proposta Ok</v>
      </c>
    </row>
    <row r="1786" spans="12:15" x14ac:dyDescent="0.25">
      <c r="L1786">
        <f t="shared" si="108"/>
        <v>0</v>
      </c>
      <c r="M1786">
        <f t="shared" si="109"/>
        <v>1</v>
      </c>
      <c r="N1786">
        <f t="shared" si="110"/>
        <v>0</v>
      </c>
      <c r="O1786" t="str">
        <f t="shared" si="111"/>
        <v>Proposta Ok</v>
      </c>
    </row>
    <row r="1787" spans="12:15" x14ac:dyDescent="0.25">
      <c r="L1787">
        <f t="shared" si="108"/>
        <v>0</v>
      </c>
      <c r="M1787">
        <f t="shared" si="109"/>
        <v>1</v>
      </c>
      <c r="N1787">
        <f t="shared" si="110"/>
        <v>0</v>
      </c>
      <c r="O1787" t="str">
        <f t="shared" si="111"/>
        <v>Proposta Ok</v>
      </c>
    </row>
    <row r="1788" spans="12:15" x14ac:dyDescent="0.25">
      <c r="L1788">
        <f t="shared" si="108"/>
        <v>0</v>
      </c>
      <c r="M1788">
        <f t="shared" si="109"/>
        <v>1</v>
      </c>
      <c r="N1788">
        <f t="shared" si="110"/>
        <v>0</v>
      </c>
      <c r="O1788" t="str">
        <f t="shared" si="111"/>
        <v>Proposta Ok</v>
      </c>
    </row>
    <row r="1789" spans="12:15" x14ac:dyDescent="0.25">
      <c r="L1789">
        <f t="shared" si="108"/>
        <v>0</v>
      </c>
      <c r="M1789">
        <f t="shared" si="109"/>
        <v>1</v>
      </c>
      <c r="N1789">
        <f t="shared" si="110"/>
        <v>0</v>
      </c>
      <c r="O1789" t="str">
        <f t="shared" si="111"/>
        <v>Proposta Ok</v>
      </c>
    </row>
    <row r="1790" spans="12:15" x14ac:dyDescent="0.25">
      <c r="L1790">
        <f t="shared" ref="L1790:L1853" si="112">IF(OR(I1790="Termo OK (Exceção)",I1790="Termo OK"),1,0)</f>
        <v>0</v>
      </c>
      <c r="M1790">
        <f t="shared" ref="M1790:M1853" si="113">IF(OR(I1790="Termo OK (Exceção)",I1790="Termo OK"),0,1)</f>
        <v>1</v>
      </c>
      <c r="N1790">
        <f t="shared" ref="N1790:N1853" si="114">IF(J1790="SIM",1,0)</f>
        <v>0</v>
      </c>
      <c r="O1790" t="str">
        <f t="shared" si="111"/>
        <v>Proposta Ok</v>
      </c>
    </row>
    <row r="1791" spans="12:15" x14ac:dyDescent="0.25">
      <c r="L1791">
        <f t="shared" si="112"/>
        <v>0</v>
      </c>
      <c r="M1791">
        <f t="shared" si="113"/>
        <v>1</v>
      </c>
      <c r="N1791">
        <f t="shared" si="114"/>
        <v>0</v>
      </c>
      <c r="O1791" t="str">
        <f t="shared" si="111"/>
        <v>Proposta Ok</v>
      </c>
    </row>
    <row r="1792" spans="12:15" x14ac:dyDescent="0.25">
      <c r="L1792">
        <f t="shared" si="112"/>
        <v>0</v>
      </c>
      <c r="M1792">
        <f t="shared" si="113"/>
        <v>1</v>
      </c>
      <c r="N1792">
        <f t="shared" si="114"/>
        <v>0</v>
      </c>
      <c r="O1792" t="str">
        <f t="shared" si="111"/>
        <v>Proposta Ok</v>
      </c>
    </row>
    <row r="1793" spans="12:15" x14ac:dyDescent="0.25">
      <c r="L1793">
        <f t="shared" si="112"/>
        <v>0</v>
      </c>
      <c r="M1793">
        <f t="shared" si="113"/>
        <v>1</v>
      </c>
      <c r="N1793">
        <f t="shared" si="114"/>
        <v>0</v>
      </c>
      <c r="O1793" t="str">
        <f t="shared" si="111"/>
        <v>Proposta Ok</v>
      </c>
    </row>
    <row r="1794" spans="12:15" x14ac:dyDescent="0.25">
      <c r="L1794">
        <f t="shared" si="112"/>
        <v>0</v>
      </c>
      <c r="M1794">
        <f t="shared" si="113"/>
        <v>1</v>
      </c>
      <c r="N1794">
        <f t="shared" si="114"/>
        <v>0</v>
      </c>
      <c r="O1794" t="str">
        <f t="shared" si="111"/>
        <v>Proposta Ok</v>
      </c>
    </row>
    <row r="1795" spans="12:15" x14ac:dyDescent="0.25">
      <c r="L1795">
        <f t="shared" si="112"/>
        <v>0</v>
      </c>
      <c r="M1795">
        <f t="shared" si="113"/>
        <v>1</v>
      </c>
      <c r="N1795">
        <f t="shared" si="114"/>
        <v>0</v>
      </c>
      <c r="O1795" t="str">
        <f t="shared" ref="O1795:O1858" si="115">IF(SUMIFS(M:M,A:A,A1795)&gt;0,"Proposta não Ok","Proposta Ok")</f>
        <v>Proposta Ok</v>
      </c>
    </row>
    <row r="1796" spans="12:15" x14ac:dyDescent="0.25">
      <c r="L1796">
        <f t="shared" si="112"/>
        <v>0</v>
      </c>
      <c r="M1796">
        <f t="shared" si="113"/>
        <v>1</v>
      </c>
      <c r="N1796">
        <f t="shared" si="114"/>
        <v>0</v>
      </c>
      <c r="O1796" t="str">
        <f t="shared" si="115"/>
        <v>Proposta Ok</v>
      </c>
    </row>
    <row r="1797" spans="12:15" x14ac:dyDescent="0.25">
      <c r="L1797">
        <f t="shared" si="112"/>
        <v>0</v>
      </c>
      <c r="M1797">
        <f t="shared" si="113"/>
        <v>1</v>
      </c>
      <c r="N1797">
        <f t="shared" si="114"/>
        <v>0</v>
      </c>
      <c r="O1797" t="str">
        <f t="shared" si="115"/>
        <v>Proposta Ok</v>
      </c>
    </row>
    <row r="1798" spans="12:15" x14ac:dyDescent="0.25">
      <c r="L1798">
        <f t="shared" si="112"/>
        <v>0</v>
      </c>
      <c r="M1798">
        <f t="shared" si="113"/>
        <v>1</v>
      </c>
      <c r="N1798">
        <f t="shared" si="114"/>
        <v>0</v>
      </c>
      <c r="O1798" t="str">
        <f t="shared" si="115"/>
        <v>Proposta Ok</v>
      </c>
    </row>
    <row r="1799" spans="12:15" x14ac:dyDescent="0.25">
      <c r="L1799">
        <f t="shared" si="112"/>
        <v>0</v>
      </c>
      <c r="M1799">
        <f t="shared" si="113"/>
        <v>1</v>
      </c>
      <c r="N1799">
        <f t="shared" si="114"/>
        <v>0</v>
      </c>
      <c r="O1799" t="str">
        <f t="shared" si="115"/>
        <v>Proposta Ok</v>
      </c>
    </row>
    <row r="1800" spans="12:15" x14ac:dyDescent="0.25">
      <c r="L1800">
        <f t="shared" si="112"/>
        <v>0</v>
      </c>
      <c r="M1800">
        <f t="shared" si="113"/>
        <v>1</v>
      </c>
      <c r="N1800">
        <f t="shared" si="114"/>
        <v>0</v>
      </c>
      <c r="O1800" t="str">
        <f t="shared" si="115"/>
        <v>Proposta Ok</v>
      </c>
    </row>
    <row r="1801" spans="12:15" x14ac:dyDescent="0.25">
      <c r="L1801">
        <f t="shared" si="112"/>
        <v>0</v>
      </c>
      <c r="M1801">
        <f t="shared" si="113"/>
        <v>1</v>
      </c>
      <c r="N1801">
        <f t="shared" si="114"/>
        <v>0</v>
      </c>
      <c r="O1801" t="str">
        <f t="shared" si="115"/>
        <v>Proposta Ok</v>
      </c>
    </row>
    <row r="1802" spans="12:15" x14ac:dyDescent="0.25">
      <c r="L1802">
        <f t="shared" si="112"/>
        <v>0</v>
      </c>
      <c r="M1802">
        <f t="shared" si="113"/>
        <v>1</v>
      </c>
      <c r="N1802">
        <f t="shared" si="114"/>
        <v>0</v>
      </c>
      <c r="O1802" t="str">
        <f t="shared" si="115"/>
        <v>Proposta Ok</v>
      </c>
    </row>
    <row r="1803" spans="12:15" x14ac:dyDescent="0.25">
      <c r="L1803">
        <f t="shared" si="112"/>
        <v>0</v>
      </c>
      <c r="M1803">
        <f t="shared" si="113"/>
        <v>1</v>
      </c>
      <c r="N1803">
        <f t="shared" si="114"/>
        <v>0</v>
      </c>
      <c r="O1803" t="str">
        <f t="shared" si="115"/>
        <v>Proposta Ok</v>
      </c>
    </row>
    <row r="1804" spans="12:15" x14ac:dyDescent="0.25">
      <c r="L1804">
        <f t="shared" si="112"/>
        <v>0</v>
      </c>
      <c r="M1804">
        <f t="shared" si="113"/>
        <v>1</v>
      </c>
      <c r="N1804">
        <f t="shared" si="114"/>
        <v>0</v>
      </c>
      <c r="O1804" t="str">
        <f t="shared" si="115"/>
        <v>Proposta Ok</v>
      </c>
    </row>
    <row r="1805" spans="12:15" x14ac:dyDescent="0.25">
      <c r="L1805">
        <f t="shared" si="112"/>
        <v>0</v>
      </c>
      <c r="M1805">
        <f t="shared" si="113"/>
        <v>1</v>
      </c>
      <c r="N1805">
        <f t="shared" si="114"/>
        <v>0</v>
      </c>
      <c r="O1805" t="str">
        <f t="shared" si="115"/>
        <v>Proposta Ok</v>
      </c>
    </row>
    <row r="1806" spans="12:15" x14ac:dyDescent="0.25">
      <c r="L1806">
        <f t="shared" si="112"/>
        <v>0</v>
      </c>
      <c r="M1806">
        <f t="shared" si="113"/>
        <v>1</v>
      </c>
      <c r="N1806">
        <f t="shared" si="114"/>
        <v>0</v>
      </c>
      <c r="O1806" t="str">
        <f t="shared" si="115"/>
        <v>Proposta Ok</v>
      </c>
    </row>
    <row r="1807" spans="12:15" x14ac:dyDescent="0.25">
      <c r="L1807">
        <f t="shared" si="112"/>
        <v>0</v>
      </c>
      <c r="M1807">
        <f t="shared" si="113"/>
        <v>1</v>
      </c>
      <c r="N1807">
        <f t="shared" si="114"/>
        <v>0</v>
      </c>
      <c r="O1807" t="str">
        <f t="shared" si="115"/>
        <v>Proposta Ok</v>
      </c>
    </row>
    <row r="1808" spans="12:15" x14ac:dyDescent="0.25">
      <c r="L1808">
        <f t="shared" si="112"/>
        <v>0</v>
      </c>
      <c r="M1808">
        <f t="shared" si="113"/>
        <v>1</v>
      </c>
      <c r="N1808">
        <f t="shared" si="114"/>
        <v>0</v>
      </c>
      <c r="O1808" t="str">
        <f t="shared" si="115"/>
        <v>Proposta Ok</v>
      </c>
    </row>
    <row r="1809" spans="12:15" x14ac:dyDescent="0.25">
      <c r="L1809">
        <f t="shared" si="112"/>
        <v>0</v>
      </c>
      <c r="M1809">
        <f t="shared" si="113"/>
        <v>1</v>
      </c>
      <c r="N1809">
        <f t="shared" si="114"/>
        <v>0</v>
      </c>
      <c r="O1809" t="str">
        <f t="shared" si="115"/>
        <v>Proposta Ok</v>
      </c>
    </row>
    <row r="1810" spans="12:15" x14ac:dyDescent="0.25">
      <c r="L1810">
        <f t="shared" si="112"/>
        <v>0</v>
      </c>
      <c r="M1810">
        <f t="shared" si="113"/>
        <v>1</v>
      </c>
      <c r="N1810">
        <f t="shared" si="114"/>
        <v>0</v>
      </c>
      <c r="O1810" t="str">
        <f t="shared" si="115"/>
        <v>Proposta Ok</v>
      </c>
    </row>
    <row r="1811" spans="12:15" x14ac:dyDescent="0.25">
      <c r="L1811">
        <f t="shared" si="112"/>
        <v>0</v>
      </c>
      <c r="M1811">
        <f t="shared" si="113"/>
        <v>1</v>
      </c>
      <c r="N1811">
        <f t="shared" si="114"/>
        <v>0</v>
      </c>
      <c r="O1811" t="str">
        <f t="shared" si="115"/>
        <v>Proposta Ok</v>
      </c>
    </row>
    <row r="1812" spans="12:15" x14ac:dyDescent="0.25">
      <c r="L1812">
        <f t="shared" si="112"/>
        <v>0</v>
      </c>
      <c r="M1812">
        <f t="shared" si="113"/>
        <v>1</v>
      </c>
      <c r="N1812">
        <f t="shared" si="114"/>
        <v>0</v>
      </c>
      <c r="O1812" t="str">
        <f t="shared" si="115"/>
        <v>Proposta Ok</v>
      </c>
    </row>
    <row r="1813" spans="12:15" x14ac:dyDescent="0.25">
      <c r="L1813">
        <f t="shared" si="112"/>
        <v>0</v>
      </c>
      <c r="M1813">
        <f t="shared" si="113"/>
        <v>1</v>
      </c>
      <c r="N1813">
        <f t="shared" si="114"/>
        <v>0</v>
      </c>
      <c r="O1813" t="str">
        <f t="shared" si="115"/>
        <v>Proposta Ok</v>
      </c>
    </row>
    <row r="1814" spans="12:15" x14ac:dyDescent="0.25">
      <c r="L1814">
        <f t="shared" si="112"/>
        <v>0</v>
      </c>
      <c r="M1814">
        <f t="shared" si="113"/>
        <v>1</v>
      </c>
      <c r="N1814">
        <f t="shared" si="114"/>
        <v>0</v>
      </c>
      <c r="O1814" t="str">
        <f t="shared" si="115"/>
        <v>Proposta Ok</v>
      </c>
    </row>
    <row r="1815" spans="12:15" x14ac:dyDescent="0.25">
      <c r="L1815">
        <f t="shared" si="112"/>
        <v>0</v>
      </c>
      <c r="M1815">
        <f t="shared" si="113"/>
        <v>1</v>
      </c>
      <c r="N1815">
        <f t="shared" si="114"/>
        <v>0</v>
      </c>
      <c r="O1815" t="str">
        <f t="shared" si="115"/>
        <v>Proposta Ok</v>
      </c>
    </row>
    <row r="1816" spans="12:15" x14ac:dyDescent="0.25">
      <c r="L1816">
        <f t="shared" si="112"/>
        <v>0</v>
      </c>
      <c r="M1816">
        <f t="shared" si="113"/>
        <v>1</v>
      </c>
      <c r="N1816">
        <f t="shared" si="114"/>
        <v>0</v>
      </c>
      <c r="O1816" t="str">
        <f t="shared" si="115"/>
        <v>Proposta Ok</v>
      </c>
    </row>
    <row r="1817" spans="12:15" x14ac:dyDescent="0.25">
      <c r="L1817">
        <f t="shared" si="112"/>
        <v>0</v>
      </c>
      <c r="M1817">
        <f t="shared" si="113"/>
        <v>1</v>
      </c>
      <c r="N1817">
        <f t="shared" si="114"/>
        <v>0</v>
      </c>
      <c r="O1817" t="str">
        <f t="shared" si="115"/>
        <v>Proposta Ok</v>
      </c>
    </row>
    <row r="1818" spans="12:15" x14ac:dyDescent="0.25">
      <c r="L1818">
        <f t="shared" si="112"/>
        <v>0</v>
      </c>
      <c r="M1818">
        <f t="shared" si="113"/>
        <v>1</v>
      </c>
      <c r="N1818">
        <f t="shared" si="114"/>
        <v>0</v>
      </c>
      <c r="O1818" t="str">
        <f t="shared" si="115"/>
        <v>Proposta Ok</v>
      </c>
    </row>
    <row r="1819" spans="12:15" x14ac:dyDescent="0.25">
      <c r="L1819">
        <f t="shared" si="112"/>
        <v>0</v>
      </c>
      <c r="M1819">
        <f t="shared" si="113"/>
        <v>1</v>
      </c>
      <c r="N1819">
        <f t="shared" si="114"/>
        <v>0</v>
      </c>
      <c r="O1819" t="str">
        <f t="shared" si="115"/>
        <v>Proposta Ok</v>
      </c>
    </row>
    <row r="1820" spans="12:15" x14ac:dyDescent="0.25">
      <c r="L1820">
        <f t="shared" si="112"/>
        <v>0</v>
      </c>
      <c r="M1820">
        <f t="shared" si="113"/>
        <v>1</v>
      </c>
      <c r="N1820">
        <f t="shared" si="114"/>
        <v>0</v>
      </c>
      <c r="O1820" t="str">
        <f t="shared" si="115"/>
        <v>Proposta Ok</v>
      </c>
    </row>
    <row r="1821" spans="12:15" x14ac:dyDescent="0.25">
      <c r="L1821">
        <f t="shared" si="112"/>
        <v>0</v>
      </c>
      <c r="M1821">
        <f t="shared" si="113"/>
        <v>1</v>
      </c>
      <c r="N1821">
        <f t="shared" si="114"/>
        <v>0</v>
      </c>
      <c r="O1821" t="str">
        <f t="shared" si="115"/>
        <v>Proposta Ok</v>
      </c>
    </row>
    <row r="1822" spans="12:15" x14ac:dyDescent="0.25">
      <c r="L1822">
        <f t="shared" si="112"/>
        <v>0</v>
      </c>
      <c r="M1822">
        <f t="shared" si="113"/>
        <v>1</v>
      </c>
      <c r="N1822">
        <f t="shared" si="114"/>
        <v>0</v>
      </c>
      <c r="O1822" t="str">
        <f t="shared" si="115"/>
        <v>Proposta Ok</v>
      </c>
    </row>
    <row r="1823" spans="12:15" x14ac:dyDescent="0.25">
      <c r="L1823">
        <f t="shared" si="112"/>
        <v>0</v>
      </c>
      <c r="M1823">
        <f t="shared" si="113"/>
        <v>1</v>
      </c>
      <c r="N1823">
        <f t="shared" si="114"/>
        <v>0</v>
      </c>
      <c r="O1823" t="str">
        <f t="shared" si="115"/>
        <v>Proposta Ok</v>
      </c>
    </row>
    <row r="1824" spans="12:15" x14ac:dyDescent="0.25">
      <c r="L1824">
        <f t="shared" si="112"/>
        <v>0</v>
      </c>
      <c r="M1824">
        <f t="shared" si="113"/>
        <v>1</v>
      </c>
      <c r="N1824">
        <f t="shared" si="114"/>
        <v>0</v>
      </c>
      <c r="O1824" t="str">
        <f t="shared" si="115"/>
        <v>Proposta Ok</v>
      </c>
    </row>
    <row r="1825" spans="12:15" x14ac:dyDescent="0.25">
      <c r="L1825">
        <f t="shared" si="112"/>
        <v>0</v>
      </c>
      <c r="M1825">
        <f t="shared" si="113"/>
        <v>1</v>
      </c>
      <c r="N1825">
        <f t="shared" si="114"/>
        <v>0</v>
      </c>
      <c r="O1825" t="str">
        <f t="shared" si="115"/>
        <v>Proposta Ok</v>
      </c>
    </row>
    <row r="1826" spans="12:15" x14ac:dyDescent="0.25">
      <c r="L1826">
        <f t="shared" si="112"/>
        <v>0</v>
      </c>
      <c r="M1826">
        <f t="shared" si="113"/>
        <v>1</v>
      </c>
      <c r="N1826">
        <f t="shared" si="114"/>
        <v>0</v>
      </c>
      <c r="O1826" t="str">
        <f t="shared" si="115"/>
        <v>Proposta Ok</v>
      </c>
    </row>
    <row r="1827" spans="12:15" x14ac:dyDescent="0.25">
      <c r="L1827">
        <f t="shared" si="112"/>
        <v>0</v>
      </c>
      <c r="M1827">
        <f t="shared" si="113"/>
        <v>1</v>
      </c>
      <c r="N1827">
        <f t="shared" si="114"/>
        <v>0</v>
      </c>
      <c r="O1827" t="str">
        <f t="shared" si="115"/>
        <v>Proposta Ok</v>
      </c>
    </row>
    <row r="1828" spans="12:15" x14ac:dyDescent="0.25">
      <c r="L1828">
        <f t="shared" si="112"/>
        <v>0</v>
      </c>
      <c r="M1828">
        <f t="shared" si="113"/>
        <v>1</v>
      </c>
      <c r="N1828">
        <f t="shared" si="114"/>
        <v>0</v>
      </c>
      <c r="O1828" t="str">
        <f t="shared" si="115"/>
        <v>Proposta Ok</v>
      </c>
    </row>
    <row r="1829" spans="12:15" x14ac:dyDescent="0.25">
      <c r="L1829">
        <f t="shared" si="112"/>
        <v>0</v>
      </c>
      <c r="M1829">
        <f t="shared" si="113"/>
        <v>1</v>
      </c>
      <c r="N1829">
        <f t="shared" si="114"/>
        <v>0</v>
      </c>
      <c r="O1829" t="str">
        <f t="shared" si="115"/>
        <v>Proposta Ok</v>
      </c>
    </row>
    <row r="1830" spans="12:15" x14ac:dyDescent="0.25">
      <c r="L1830">
        <f t="shared" si="112"/>
        <v>0</v>
      </c>
      <c r="M1830">
        <f t="shared" si="113"/>
        <v>1</v>
      </c>
      <c r="N1830">
        <f t="shared" si="114"/>
        <v>0</v>
      </c>
      <c r="O1830" t="str">
        <f t="shared" si="115"/>
        <v>Proposta Ok</v>
      </c>
    </row>
    <row r="1831" spans="12:15" x14ac:dyDescent="0.25">
      <c r="L1831">
        <f t="shared" si="112"/>
        <v>0</v>
      </c>
      <c r="M1831">
        <f t="shared" si="113"/>
        <v>1</v>
      </c>
      <c r="N1831">
        <f t="shared" si="114"/>
        <v>0</v>
      </c>
      <c r="O1831" t="str">
        <f t="shared" si="115"/>
        <v>Proposta Ok</v>
      </c>
    </row>
    <row r="1832" spans="12:15" x14ac:dyDescent="0.25">
      <c r="L1832">
        <f t="shared" si="112"/>
        <v>0</v>
      </c>
      <c r="M1832">
        <f t="shared" si="113"/>
        <v>1</v>
      </c>
      <c r="N1832">
        <f t="shared" si="114"/>
        <v>0</v>
      </c>
      <c r="O1832" t="str">
        <f t="shared" si="115"/>
        <v>Proposta Ok</v>
      </c>
    </row>
    <row r="1833" spans="12:15" x14ac:dyDescent="0.25">
      <c r="L1833">
        <f t="shared" si="112"/>
        <v>0</v>
      </c>
      <c r="M1833">
        <f t="shared" si="113"/>
        <v>1</v>
      </c>
      <c r="N1833">
        <f t="shared" si="114"/>
        <v>0</v>
      </c>
      <c r="O1833" t="str">
        <f t="shared" si="115"/>
        <v>Proposta Ok</v>
      </c>
    </row>
    <row r="1834" spans="12:15" x14ac:dyDescent="0.25">
      <c r="L1834">
        <f t="shared" si="112"/>
        <v>0</v>
      </c>
      <c r="M1834">
        <f t="shared" si="113"/>
        <v>1</v>
      </c>
      <c r="N1834">
        <f t="shared" si="114"/>
        <v>0</v>
      </c>
      <c r="O1834" t="str">
        <f t="shared" si="115"/>
        <v>Proposta Ok</v>
      </c>
    </row>
    <row r="1835" spans="12:15" x14ac:dyDescent="0.25">
      <c r="L1835">
        <f t="shared" si="112"/>
        <v>0</v>
      </c>
      <c r="M1835">
        <f t="shared" si="113"/>
        <v>1</v>
      </c>
      <c r="N1835">
        <f t="shared" si="114"/>
        <v>0</v>
      </c>
      <c r="O1835" t="str">
        <f t="shared" si="115"/>
        <v>Proposta Ok</v>
      </c>
    </row>
    <row r="1836" spans="12:15" x14ac:dyDescent="0.25">
      <c r="L1836">
        <f t="shared" si="112"/>
        <v>0</v>
      </c>
      <c r="M1836">
        <f t="shared" si="113"/>
        <v>1</v>
      </c>
      <c r="N1836">
        <f t="shared" si="114"/>
        <v>0</v>
      </c>
      <c r="O1836" t="str">
        <f t="shared" si="115"/>
        <v>Proposta Ok</v>
      </c>
    </row>
    <row r="1837" spans="12:15" x14ac:dyDescent="0.25">
      <c r="L1837">
        <f t="shared" si="112"/>
        <v>0</v>
      </c>
      <c r="M1837">
        <f t="shared" si="113"/>
        <v>1</v>
      </c>
      <c r="N1837">
        <f t="shared" si="114"/>
        <v>0</v>
      </c>
      <c r="O1837" t="str">
        <f t="shared" si="115"/>
        <v>Proposta Ok</v>
      </c>
    </row>
    <row r="1838" spans="12:15" x14ac:dyDescent="0.25">
      <c r="L1838">
        <f t="shared" si="112"/>
        <v>0</v>
      </c>
      <c r="M1838">
        <f t="shared" si="113"/>
        <v>1</v>
      </c>
      <c r="N1838">
        <f t="shared" si="114"/>
        <v>0</v>
      </c>
      <c r="O1838" t="str">
        <f t="shared" si="115"/>
        <v>Proposta Ok</v>
      </c>
    </row>
    <row r="1839" spans="12:15" x14ac:dyDescent="0.25">
      <c r="L1839">
        <f t="shared" si="112"/>
        <v>0</v>
      </c>
      <c r="M1839">
        <f t="shared" si="113"/>
        <v>1</v>
      </c>
      <c r="N1839">
        <f t="shared" si="114"/>
        <v>0</v>
      </c>
      <c r="O1839" t="str">
        <f t="shared" si="115"/>
        <v>Proposta Ok</v>
      </c>
    </row>
    <row r="1840" spans="12:15" x14ac:dyDescent="0.25">
      <c r="L1840">
        <f t="shared" si="112"/>
        <v>0</v>
      </c>
      <c r="M1840">
        <f t="shared" si="113"/>
        <v>1</v>
      </c>
      <c r="N1840">
        <f t="shared" si="114"/>
        <v>0</v>
      </c>
      <c r="O1840" t="str">
        <f t="shared" si="115"/>
        <v>Proposta Ok</v>
      </c>
    </row>
    <row r="1841" spans="12:15" x14ac:dyDescent="0.25">
      <c r="L1841">
        <f t="shared" si="112"/>
        <v>0</v>
      </c>
      <c r="M1841">
        <f t="shared" si="113"/>
        <v>1</v>
      </c>
      <c r="N1841">
        <f t="shared" si="114"/>
        <v>0</v>
      </c>
      <c r="O1841" t="str">
        <f t="shared" si="115"/>
        <v>Proposta Ok</v>
      </c>
    </row>
    <row r="1842" spans="12:15" x14ac:dyDescent="0.25">
      <c r="L1842">
        <f t="shared" si="112"/>
        <v>0</v>
      </c>
      <c r="M1842">
        <f t="shared" si="113"/>
        <v>1</v>
      </c>
      <c r="N1842">
        <f t="shared" si="114"/>
        <v>0</v>
      </c>
      <c r="O1842" t="str">
        <f t="shared" si="115"/>
        <v>Proposta Ok</v>
      </c>
    </row>
    <row r="1843" spans="12:15" x14ac:dyDescent="0.25">
      <c r="L1843">
        <f t="shared" si="112"/>
        <v>0</v>
      </c>
      <c r="M1843">
        <f t="shared" si="113"/>
        <v>1</v>
      </c>
      <c r="N1843">
        <f t="shared" si="114"/>
        <v>0</v>
      </c>
      <c r="O1843" t="str">
        <f t="shared" si="115"/>
        <v>Proposta Ok</v>
      </c>
    </row>
    <row r="1844" spans="12:15" x14ac:dyDescent="0.25">
      <c r="L1844">
        <f t="shared" si="112"/>
        <v>0</v>
      </c>
      <c r="M1844">
        <f t="shared" si="113"/>
        <v>1</v>
      </c>
      <c r="N1844">
        <f t="shared" si="114"/>
        <v>0</v>
      </c>
      <c r="O1844" t="str">
        <f t="shared" si="115"/>
        <v>Proposta Ok</v>
      </c>
    </row>
    <row r="1845" spans="12:15" x14ac:dyDescent="0.25">
      <c r="L1845">
        <f t="shared" si="112"/>
        <v>0</v>
      </c>
      <c r="M1845">
        <f t="shared" si="113"/>
        <v>1</v>
      </c>
      <c r="N1845">
        <f t="shared" si="114"/>
        <v>0</v>
      </c>
      <c r="O1845" t="str">
        <f t="shared" si="115"/>
        <v>Proposta Ok</v>
      </c>
    </row>
    <row r="1846" spans="12:15" x14ac:dyDescent="0.25">
      <c r="L1846">
        <f t="shared" si="112"/>
        <v>0</v>
      </c>
      <c r="M1846">
        <f t="shared" si="113"/>
        <v>1</v>
      </c>
      <c r="N1846">
        <f t="shared" si="114"/>
        <v>0</v>
      </c>
      <c r="O1846" t="str">
        <f t="shared" si="115"/>
        <v>Proposta Ok</v>
      </c>
    </row>
    <row r="1847" spans="12:15" x14ac:dyDescent="0.25">
      <c r="L1847">
        <f t="shared" si="112"/>
        <v>0</v>
      </c>
      <c r="M1847">
        <f t="shared" si="113"/>
        <v>1</v>
      </c>
      <c r="N1847">
        <f t="shared" si="114"/>
        <v>0</v>
      </c>
      <c r="O1847" t="str">
        <f t="shared" si="115"/>
        <v>Proposta Ok</v>
      </c>
    </row>
    <row r="1848" spans="12:15" x14ac:dyDescent="0.25">
      <c r="L1848">
        <f t="shared" si="112"/>
        <v>0</v>
      </c>
      <c r="M1848">
        <f t="shared" si="113"/>
        <v>1</v>
      </c>
      <c r="N1848">
        <f t="shared" si="114"/>
        <v>0</v>
      </c>
      <c r="O1848" t="str">
        <f t="shared" si="115"/>
        <v>Proposta Ok</v>
      </c>
    </row>
    <row r="1849" spans="12:15" x14ac:dyDescent="0.25">
      <c r="L1849">
        <f t="shared" si="112"/>
        <v>0</v>
      </c>
      <c r="M1849">
        <f t="shared" si="113"/>
        <v>1</v>
      </c>
      <c r="N1849">
        <f t="shared" si="114"/>
        <v>0</v>
      </c>
      <c r="O1849" t="str">
        <f t="shared" si="115"/>
        <v>Proposta Ok</v>
      </c>
    </row>
    <row r="1850" spans="12:15" x14ac:dyDescent="0.25">
      <c r="L1850">
        <f t="shared" si="112"/>
        <v>0</v>
      </c>
      <c r="M1850">
        <f t="shared" si="113"/>
        <v>1</v>
      </c>
      <c r="N1850">
        <f t="shared" si="114"/>
        <v>0</v>
      </c>
      <c r="O1850" t="str">
        <f t="shared" si="115"/>
        <v>Proposta Ok</v>
      </c>
    </row>
    <row r="1851" spans="12:15" x14ac:dyDescent="0.25">
      <c r="L1851">
        <f t="shared" si="112"/>
        <v>0</v>
      </c>
      <c r="M1851">
        <f t="shared" si="113"/>
        <v>1</v>
      </c>
      <c r="N1851">
        <f t="shared" si="114"/>
        <v>0</v>
      </c>
      <c r="O1851" t="str">
        <f t="shared" si="115"/>
        <v>Proposta Ok</v>
      </c>
    </row>
    <row r="1852" spans="12:15" x14ac:dyDescent="0.25">
      <c r="L1852">
        <f t="shared" si="112"/>
        <v>0</v>
      </c>
      <c r="M1852">
        <f t="shared" si="113"/>
        <v>1</v>
      </c>
      <c r="N1852">
        <f t="shared" si="114"/>
        <v>0</v>
      </c>
      <c r="O1852" t="str">
        <f t="shared" si="115"/>
        <v>Proposta Ok</v>
      </c>
    </row>
    <row r="1853" spans="12:15" x14ac:dyDescent="0.25">
      <c r="L1853">
        <f t="shared" si="112"/>
        <v>0</v>
      </c>
      <c r="M1853">
        <f t="shared" si="113"/>
        <v>1</v>
      </c>
      <c r="N1853">
        <f t="shared" si="114"/>
        <v>0</v>
      </c>
      <c r="O1853" t="str">
        <f t="shared" si="115"/>
        <v>Proposta Ok</v>
      </c>
    </row>
    <row r="1854" spans="12:15" x14ac:dyDescent="0.25">
      <c r="L1854">
        <f t="shared" ref="L1854:L1917" si="116">IF(OR(I1854="Termo OK (Exceção)",I1854="Termo OK"),1,0)</f>
        <v>0</v>
      </c>
      <c r="M1854">
        <f t="shared" ref="M1854:M1917" si="117">IF(OR(I1854="Termo OK (Exceção)",I1854="Termo OK"),0,1)</f>
        <v>1</v>
      </c>
      <c r="N1854">
        <f t="shared" ref="N1854:N1917" si="118">IF(J1854="SIM",1,0)</f>
        <v>0</v>
      </c>
      <c r="O1854" t="str">
        <f t="shared" si="115"/>
        <v>Proposta Ok</v>
      </c>
    </row>
    <row r="1855" spans="12:15" x14ac:dyDescent="0.25">
      <c r="L1855">
        <f t="shared" si="116"/>
        <v>0</v>
      </c>
      <c r="M1855">
        <f t="shared" si="117"/>
        <v>1</v>
      </c>
      <c r="N1855">
        <f t="shared" si="118"/>
        <v>0</v>
      </c>
      <c r="O1855" t="str">
        <f t="shared" si="115"/>
        <v>Proposta Ok</v>
      </c>
    </row>
    <row r="1856" spans="12:15" x14ac:dyDescent="0.25">
      <c r="L1856">
        <f t="shared" si="116"/>
        <v>0</v>
      </c>
      <c r="M1856">
        <f t="shared" si="117"/>
        <v>1</v>
      </c>
      <c r="N1856">
        <f t="shared" si="118"/>
        <v>0</v>
      </c>
      <c r="O1856" t="str">
        <f t="shared" si="115"/>
        <v>Proposta Ok</v>
      </c>
    </row>
    <row r="1857" spans="12:15" x14ac:dyDescent="0.25">
      <c r="L1857">
        <f t="shared" si="116"/>
        <v>0</v>
      </c>
      <c r="M1857">
        <f t="shared" si="117"/>
        <v>1</v>
      </c>
      <c r="N1857">
        <f t="shared" si="118"/>
        <v>0</v>
      </c>
      <c r="O1857" t="str">
        <f t="shared" si="115"/>
        <v>Proposta Ok</v>
      </c>
    </row>
    <row r="1858" spans="12:15" x14ac:dyDescent="0.25">
      <c r="L1858">
        <f t="shared" si="116"/>
        <v>0</v>
      </c>
      <c r="M1858">
        <f t="shared" si="117"/>
        <v>1</v>
      </c>
      <c r="N1858">
        <f t="shared" si="118"/>
        <v>0</v>
      </c>
      <c r="O1858" t="str">
        <f t="shared" si="115"/>
        <v>Proposta Ok</v>
      </c>
    </row>
    <row r="1859" spans="12:15" x14ac:dyDescent="0.25">
      <c r="L1859">
        <f t="shared" si="116"/>
        <v>0</v>
      </c>
      <c r="M1859">
        <f t="shared" si="117"/>
        <v>1</v>
      </c>
      <c r="N1859">
        <f t="shared" si="118"/>
        <v>0</v>
      </c>
      <c r="O1859" t="str">
        <f t="shared" ref="O1859:O1922" si="119">IF(SUMIFS(M:M,A:A,A1859)&gt;0,"Proposta não Ok","Proposta Ok")</f>
        <v>Proposta Ok</v>
      </c>
    </row>
    <row r="1860" spans="12:15" x14ac:dyDescent="0.25">
      <c r="L1860">
        <f t="shared" si="116"/>
        <v>0</v>
      </c>
      <c r="M1860">
        <f t="shared" si="117"/>
        <v>1</v>
      </c>
      <c r="N1860">
        <f t="shared" si="118"/>
        <v>0</v>
      </c>
      <c r="O1860" t="str">
        <f t="shared" si="119"/>
        <v>Proposta Ok</v>
      </c>
    </row>
    <row r="1861" spans="12:15" x14ac:dyDescent="0.25">
      <c r="L1861">
        <f t="shared" si="116"/>
        <v>0</v>
      </c>
      <c r="M1861">
        <f t="shared" si="117"/>
        <v>1</v>
      </c>
      <c r="N1861">
        <f t="shared" si="118"/>
        <v>0</v>
      </c>
      <c r="O1861" t="str">
        <f t="shared" si="119"/>
        <v>Proposta Ok</v>
      </c>
    </row>
    <row r="1862" spans="12:15" x14ac:dyDescent="0.25">
      <c r="L1862">
        <f t="shared" si="116"/>
        <v>0</v>
      </c>
      <c r="M1862">
        <f t="shared" si="117"/>
        <v>1</v>
      </c>
      <c r="N1862">
        <f t="shared" si="118"/>
        <v>0</v>
      </c>
      <c r="O1862" t="str">
        <f t="shared" si="119"/>
        <v>Proposta Ok</v>
      </c>
    </row>
    <row r="1863" spans="12:15" x14ac:dyDescent="0.25">
      <c r="L1863">
        <f t="shared" si="116"/>
        <v>0</v>
      </c>
      <c r="M1863">
        <f t="shared" si="117"/>
        <v>1</v>
      </c>
      <c r="N1863">
        <f t="shared" si="118"/>
        <v>0</v>
      </c>
      <c r="O1863" t="str">
        <f t="shared" si="119"/>
        <v>Proposta Ok</v>
      </c>
    </row>
    <row r="1864" spans="12:15" x14ac:dyDescent="0.25">
      <c r="L1864">
        <f t="shared" si="116"/>
        <v>0</v>
      </c>
      <c r="M1864">
        <f t="shared" si="117"/>
        <v>1</v>
      </c>
      <c r="N1864">
        <f t="shared" si="118"/>
        <v>0</v>
      </c>
      <c r="O1864" t="str">
        <f t="shared" si="119"/>
        <v>Proposta Ok</v>
      </c>
    </row>
    <row r="1865" spans="12:15" x14ac:dyDescent="0.25">
      <c r="L1865">
        <f t="shared" si="116"/>
        <v>0</v>
      </c>
      <c r="M1865">
        <f t="shared" si="117"/>
        <v>1</v>
      </c>
      <c r="N1865">
        <f t="shared" si="118"/>
        <v>0</v>
      </c>
      <c r="O1865" t="str">
        <f t="shared" si="119"/>
        <v>Proposta Ok</v>
      </c>
    </row>
    <row r="1866" spans="12:15" x14ac:dyDescent="0.25">
      <c r="L1866">
        <f t="shared" si="116"/>
        <v>0</v>
      </c>
      <c r="M1866">
        <f t="shared" si="117"/>
        <v>1</v>
      </c>
      <c r="N1866">
        <f t="shared" si="118"/>
        <v>0</v>
      </c>
      <c r="O1866" t="str">
        <f t="shared" si="119"/>
        <v>Proposta Ok</v>
      </c>
    </row>
    <row r="1867" spans="12:15" x14ac:dyDescent="0.25">
      <c r="L1867">
        <f t="shared" si="116"/>
        <v>0</v>
      </c>
      <c r="M1867">
        <f t="shared" si="117"/>
        <v>1</v>
      </c>
      <c r="N1867">
        <f t="shared" si="118"/>
        <v>0</v>
      </c>
      <c r="O1867" t="str">
        <f t="shared" si="119"/>
        <v>Proposta Ok</v>
      </c>
    </row>
    <row r="1868" spans="12:15" x14ac:dyDescent="0.25">
      <c r="L1868">
        <f t="shared" si="116"/>
        <v>0</v>
      </c>
      <c r="M1868">
        <f t="shared" si="117"/>
        <v>1</v>
      </c>
      <c r="N1868">
        <f t="shared" si="118"/>
        <v>0</v>
      </c>
      <c r="O1868" t="str">
        <f t="shared" si="119"/>
        <v>Proposta Ok</v>
      </c>
    </row>
    <row r="1869" spans="12:15" x14ac:dyDescent="0.25">
      <c r="L1869">
        <f t="shared" si="116"/>
        <v>0</v>
      </c>
      <c r="M1869">
        <f t="shared" si="117"/>
        <v>1</v>
      </c>
      <c r="N1869">
        <f t="shared" si="118"/>
        <v>0</v>
      </c>
      <c r="O1869" t="str">
        <f t="shared" si="119"/>
        <v>Proposta Ok</v>
      </c>
    </row>
    <row r="1870" spans="12:15" x14ac:dyDescent="0.25">
      <c r="L1870">
        <f t="shared" si="116"/>
        <v>0</v>
      </c>
      <c r="M1870">
        <f t="shared" si="117"/>
        <v>1</v>
      </c>
      <c r="N1870">
        <f t="shared" si="118"/>
        <v>0</v>
      </c>
      <c r="O1870" t="str">
        <f t="shared" si="119"/>
        <v>Proposta Ok</v>
      </c>
    </row>
    <row r="1871" spans="12:15" x14ac:dyDescent="0.25">
      <c r="L1871">
        <f t="shared" si="116"/>
        <v>0</v>
      </c>
      <c r="M1871">
        <f t="shared" si="117"/>
        <v>1</v>
      </c>
      <c r="N1871">
        <f t="shared" si="118"/>
        <v>0</v>
      </c>
      <c r="O1871" t="str">
        <f t="shared" si="119"/>
        <v>Proposta Ok</v>
      </c>
    </row>
    <row r="1872" spans="12:15" x14ac:dyDescent="0.25">
      <c r="L1872">
        <f t="shared" si="116"/>
        <v>0</v>
      </c>
      <c r="M1872">
        <f t="shared" si="117"/>
        <v>1</v>
      </c>
      <c r="N1872">
        <f t="shared" si="118"/>
        <v>0</v>
      </c>
      <c r="O1872" t="str">
        <f t="shared" si="119"/>
        <v>Proposta Ok</v>
      </c>
    </row>
    <row r="1873" spans="12:15" x14ac:dyDescent="0.25">
      <c r="L1873">
        <f t="shared" si="116"/>
        <v>0</v>
      </c>
      <c r="M1873">
        <f t="shared" si="117"/>
        <v>1</v>
      </c>
      <c r="N1873">
        <f t="shared" si="118"/>
        <v>0</v>
      </c>
      <c r="O1873" t="str">
        <f t="shared" si="119"/>
        <v>Proposta Ok</v>
      </c>
    </row>
    <row r="1874" spans="12:15" x14ac:dyDescent="0.25">
      <c r="L1874">
        <f t="shared" si="116"/>
        <v>0</v>
      </c>
      <c r="M1874">
        <f t="shared" si="117"/>
        <v>1</v>
      </c>
      <c r="N1874">
        <f t="shared" si="118"/>
        <v>0</v>
      </c>
      <c r="O1874" t="str">
        <f t="shared" si="119"/>
        <v>Proposta Ok</v>
      </c>
    </row>
    <row r="1875" spans="12:15" x14ac:dyDescent="0.25">
      <c r="L1875">
        <f t="shared" si="116"/>
        <v>0</v>
      </c>
      <c r="M1875">
        <f t="shared" si="117"/>
        <v>1</v>
      </c>
      <c r="N1875">
        <f t="shared" si="118"/>
        <v>0</v>
      </c>
      <c r="O1875" t="str">
        <f t="shared" si="119"/>
        <v>Proposta Ok</v>
      </c>
    </row>
    <row r="1876" spans="12:15" x14ac:dyDescent="0.25">
      <c r="L1876">
        <f t="shared" si="116"/>
        <v>0</v>
      </c>
      <c r="M1876">
        <f t="shared" si="117"/>
        <v>1</v>
      </c>
      <c r="N1876">
        <f t="shared" si="118"/>
        <v>0</v>
      </c>
      <c r="O1876" t="str">
        <f t="shared" si="119"/>
        <v>Proposta Ok</v>
      </c>
    </row>
    <row r="1877" spans="12:15" x14ac:dyDescent="0.25">
      <c r="L1877">
        <f t="shared" si="116"/>
        <v>0</v>
      </c>
      <c r="M1877">
        <f t="shared" si="117"/>
        <v>1</v>
      </c>
      <c r="N1877">
        <f t="shared" si="118"/>
        <v>0</v>
      </c>
      <c r="O1877" t="str">
        <f t="shared" si="119"/>
        <v>Proposta Ok</v>
      </c>
    </row>
    <row r="1878" spans="12:15" x14ac:dyDescent="0.25">
      <c r="L1878">
        <f t="shared" si="116"/>
        <v>0</v>
      </c>
      <c r="M1878">
        <f t="shared" si="117"/>
        <v>1</v>
      </c>
      <c r="N1878">
        <f t="shared" si="118"/>
        <v>0</v>
      </c>
      <c r="O1878" t="str">
        <f t="shared" si="119"/>
        <v>Proposta Ok</v>
      </c>
    </row>
    <row r="1879" spans="12:15" x14ac:dyDescent="0.25">
      <c r="L1879">
        <f t="shared" si="116"/>
        <v>0</v>
      </c>
      <c r="M1879">
        <f t="shared" si="117"/>
        <v>1</v>
      </c>
      <c r="N1879">
        <f t="shared" si="118"/>
        <v>0</v>
      </c>
      <c r="O1879" t="str">
        <f t="shared" si="119"/>
        <v>Proposta Ok</v>
      </c>
    </row>
    <row r="1880" spans="12:15" x14ac:dyDescent="0.25">
      <c r="L1880">
        <f t="shared" si="116"/>
        <v>0</v>
      </c>
      <c r="M1880">
        <f t="shared" si="117"/>
        <v>1</v>
      </c>
      <c r="N1880">
        <f t="shared" si="118"/>
        <v>0</v>
      </c>
      <c r="O1880" t="str">
        <f t="shared" si="119"/>
        <v>Proposta Ok</v>
      </c>
    </row>
    <row r="1881" spans="12:15" x14ac:dyDescent="0.25">
      <c r="L1881">
        <f t="shared" si="116"/>
        <v>0</v>
      </c>
      <c r="M1881">
        <f t="shared" si="117"/>
        <v>1</v>
      </c>
      <c r="N1881">
        <f t="shared" si="118"/>
        <v>0</v>
      </c>
      <c r="O1881" t="str">
        <f t="shared" si="119"/>
        <v>Proposta Ok</v>
      </c>
    </row>
    <row r="1882" spans="12:15" x14ac:dyDescent="0.25">
      <c r="L1882">
        <f t="shared" si="116"/>
        <v>0</v>
      </c>
      <c r="M1882">
        <f t="shared" si="117"/>
        <v>1</v>
      </c>
      <c r="N1882">
        <f t="shared" si="118"/>
        <v>0</v>
      </c>
      <c r="O1882" t="str">
        <f t="shared" si="119"/>
        <v>Proposta Ok</v>
      </c>
    </row>
    <row r="1883" spans="12:15" x14ac:dyDescent="0.25">
      <c r="L1883">
        <f t="shared" si="116"/>
        <v>0</v>
      </c>
      <c r="M1883">
        <f t="shared" si="117"/>
        <v>1</v>
      </c>
      <c r="N1883">
        <f t="shared" si="118"/>
        <v>0</v>
      </c>
      <c r="O1883" t="str">
        <f t="shared" si="119"/>
        <v>Proposta Ok</v>
      </c>
    </row>
    <row r="1884" spans="12:15" x14ac:dyDescent="0.25">
      <c r="L1884">
        <f t="shared" si="116"/>
        <v>0</v>
      </c>
      <c r="M1884">
        <f t="shared" si="117"/>
        <v>1</v>
      </c>
      <c r="N1884">
        <f t="shared" si="118"/>
        <v>0</v>
      </c>
      <c r="O1884" t="str">
        <f t="shared" si="119"/>
        <v>Proposta Ok</v>
      </c>
    </row>
    <row r="1885" spans="12:15" x14ac:dyDescent="0.25">
      <c r="L1885">
        <f t="shared" si="116"/>
        <v>0</v>
      </c>
      <c r="M1885">
        <f t="shared" si="117"/>
        <v>1</v>
      </c>
      <c r="N1885">
        <f t="shared" si="118"/>
        <v>0</v>
      </c>
      <c r="O1885" t="str">
        <f t="shared" si="119"/>
        <v>Proposta Ok</v>
      </c>
    </row>
    <row r="1886" spans="12:15" x14ac:dyDescent="0.25">
      <c r="L1886">
        <f t="shared" si="116"/>
        <v>0</v>
      </c>
      <c r="M1886">
        <f t="shared" si="117"/>
        <v>1</v>
      </c>
      <c r="N1886">
        <f t="shared" si="118"/>
        <v>0</v>
      </c>
      <c r="O1886" t="str">
        <f t="shared" si="119"/>
        <v>Proposta Ok</v>
      </c>
    </row>
    <row r="1887" spans="12:15" x14ac:dyDescent="0.25">
      <c r="L1887">
        <f t="shared" si="116"/>
        <v>0</v>
      </c>
      <c r="M1887">
        <f t="shared" si="117"/>
        <v>1</v>
      </c>
      <c r="N1887">
        <f t="shared" si="118"/>
        <v>0</v>
      </c>
      <c r="O1887" t="str">
        <f t="shared" si="119"/>
        <v>Proposta Ok</v>
      </c>
    </row>
    <row r="1888" spans="12:15" x14ac:dyDescent="0.25">
      <c r="L1888">
        <f t="shared" si="116"/>
        <v>0</v>
      </c>
      <c r="M1888">
        <f t="shared" si="117"/>
        <v>1</v>
      </c>
      <c r="N1888">
        <f t="shared" si="118"/>
        <v>0</v>
      </c>
      <c r="O1888" t="str">
        <f t="shared" si="119"/>
        <v>Proposta Ok</v>
      </c>
    </row>
    <row r="1889" spans="12:15" x14ac:dyDescent="0.25">
      <c r="L1889">
        <f t="shared" si="116"/>
        <v>0</v>
      </c>
      <c r="M1889">
        <f t="shared" si="117"/>
        <v>1</v>
      </c>
      <c r="N1889">
        <f t="shared" si="118"/>
        <v>0</v>
      </c>
      <c r="O1889" t="str">
        <f t="shared" si="119"/>
        <v>Proposta Ok</v>
      </c>
    </row>
    <row r="1890" spans="12:15" x14ac:dyDescent="0.25">
      <c r="L1890">
        <f t="shared" si="116"/>
        <v>0</v>
      </c>
      <c r="M1890">
        <f t="shared" si="117"/>
        <v>1</v>
      </c>
      <c r="N1890">
        <f t="shared" si="118"/>
        <v>0</v>
      </c>
      <c r="O1890" t="str">
        <f t="shared" si="119"/>
        <v>Proposta Ok</v>
      </c>
    </row>
    <row r="1891" spans="12:15" x14ac:dyDescent="0.25">
      <c r="L1891">
        <f t="shared" si="116"/>
        <v>0</v>
      </c>
      <c r="M1891">
        <f t="shared" si="117"/>
        <v>1</v>
      </c>
      <c r="N1891">
        <f t="shared" si="118"/>
        <v>0</v>
      </c>
      <c r="O1891" t="str">
        <f t="shared" si="119"/>
        <v>Proposta Ok</v>
      </c>
    </row>
    <row r="1892" spans="12:15" x14ac:dyDescent="0.25">
      <c r="L1892">
        <f t="shared" si="116"/>
        <v>0</v>
      </c>
      <c r="M1892">
        <f t="shared" si="117"/>
        <v>1</v>
      </c>
      <c r="N1892">
        <f t="shared" si="118"/>
        <v>0</v>
      </c>
      <c r="O1892" t="str">
        <f t="shared" si="119"/>
        <v>Proposta Ok</v>
      </c>
    </row>
    <row r="1893" spans="12:15" x14ac:dyDescent="0.25">
      <c r="L1893">
        <f t="shared" si="116"/>
        <v>0</v>
      </c>
      <c r="M1893">
        <f t="shared" si="117"/>
        <v>1</v>
      </c>
      <c r="N1893">
        <f t="shared" si="118"/>
        <v>0</v>
      </c>
      <c r="O1893" t="str">
        <f t="shared" si="119"/>
        <v>Proposta Ok</v>
      </c>
    </row>
    <row r="1894" spans="12:15" x14ac:dyDescent="0.25">
      <c r="L1894">
        <f t="shared" si="116"/>
        <v>0</v>
      </c>
      <c r="M1894">
        <f t="shared" si="117"/>
        <v>1</v>
      </c>
      <c r="N1894">
        <f t="shared" si="118"/>
        <v>0</v>
      </c>
      <c r="O1894" t="str">
        <f t="shared" si="119"/>
        <v>Proposta Ok</v>
      </c>
    </row>
    <row r="1895" spans="12:15" x14ac:dyDescent="0.25">
      <c r="L1895">
        <f t="shared" si="116"/>
        <v>0</v>
      </c>
      <c r="M1895">
        <f t="shared" si="117"/>
        <v>1</v>
      </c>
      <c r="N1895">
        <f t="shared" si="118"/>
        <v>0</v>
      </c>
      <c r="O1895" t="str">
        <f t="shared" si="119"/>
        <v>Proposta Ok</v>
      </c>
    </row>
    <row r="1896" spans="12:15" x14ac:dyDescent="0.25">
      <c r="L1896">
        <f t="shared" si="116"/>
        <v>0</v>
      </c>
      <c r="M1896">
        <f t="shared" si="117"/>
        <v>1</v>
      </c>
      <c r="N1896">
        <f t="shared" si="118"/>
        <v>0</v>
      </c>
      <c r="O1896" t="str">
        <f t="shared" si="119"/>
        <v>Proposta Ok</v>
      </c>
    </row>
    <row r="1897" spans="12:15" x14ac:dyDescent="0.25">
      <c r="L1897">
        <f t="shared" si="116"/>
        <v>0</v>
      </c>
      <c r="M1897">
        <f t="shared" si="117"/>
        <v>1</v>
      </c>
      <c r="N1897">
        <f t="shared" si="118"/>
        <v>0</v>
      </c>
      <c r="O1897" t="str">
        <f t="shared" si="119"/>
        <v>Proposta Ok</v>
      </c>
    </row>
    <row r="1898" spans="12:15" x14ac:dyDescent="0.25">
      <c r="L1898">
        <f t="shared" si="116"/>
        <v>0</v>
      </c>
      <c r="M1898">
        <f t="shared" si="117"/>
        <v>1</v>
      </c>
      <c r="N1898">
        <f t="shared" si="118"/>
        <v>0</v>
      </c>
      <c r="O1898" t="str">
        <f t="shared" si="119"/>
        <v>Proposta Ok</v>
      </c>
    </row>
    <row r="1899" spans="12:15" x14ac:dyDescent="0.25">
      <c r="L1899">
        <f t="shared" si="116"/>
        <v>0</v>
      </c>
      <c r="M1899">
        <f t="shared" si="117"/>
        <v>1</v>
      </c>
      <c r="N1899">
        <f t="shared" si="118"/>
        <v>0</v>
      </c>
      <c r="O1899" t="str">
        <f t="shared" si="119"/>
        <v>Proposta Ok</v>
      </c>
    </row>
    <row r="1900" spans="12:15" x14ac:dyDescent="0.25">
      <c r="L1900">
        <f t="shared" si="116"/>
        <v>0</v>
      </c>
      <c r="M1900">
        <f t="shared" si="117"/>
        <v>1</v>
      </c>
      <c r="N1900">
        <f t="shared" si="118"/>
        <v>0</v>
      </c>
      <c r="O1900" t="str">
        <f t="shared" si="119"/>
        <v>Proposta Ok</v>
      </c>
    </row>
    <row r="1901" spans="12:15" x14ac:dyDescent="0.25">
      <c r="L1901">
        <f t="shared" si="116"/>
        <v>0</v>
      </c>
      <c r="M1901">
        <f t="shared" si="117"/>
        <v>1</v>
      </c>
      <c r="N1901">
        <f t="shared" si="118"/>
        <v>0</v>
      </c>
      <c r="O1901" t="str">
        <f t="shared" si="119"/>
        <v>Proposta Ok</v>
      </c>
    </row>
    <row r="1902" spans="12:15" x14ac:dyDescent="0.25">
      <c r="L1902">
        <f t="shared" si="116"/>
        <v>0</v>
      </c>
      <c r="M1902">
        <f t="shared" si="117"/>
        <v>1</v>
      </c>
      <c r="N1902">
        <f t="shared" si="118"/>
        <v>0</v>
      </c>
      <c r="O1902" t="str">
        <f t="shared" si="119"/>
        <v>Proposta Ok</v>
      </c>
    </row>
    <row r="1903" spans="12:15" x14ac:dyDescent="0.25">
      <c r="L1903">
        <f t="shared" si="116"/>
        <v>0</v>
      </c>
      <c r="M1903">
        <f t="shared" si="117"/>
        <v>1</v>
      </c>
      <c r="N1903">
        <f t="shared" si="118"/>
        <v>0</v>
      </c>
      <c r="O1903" t="str">
        <f t="shared" si="119"/>
        <v>Proposta Ok</v>
      </c>
    </row>
    <row r="1904" spans="12:15" x14ac:dyDescent="0.25">
      <c r="L1904">
        <f t="shared" si="116"/>
        <v>0</v>
      </c>
      <c r="M1904">
        <f t="shared" si="117"/>
        <v>1</v>
      </c>
      <c r="N1904">
        <f t="shared" si="118"/>
        <v>0</v>
      </c>
      <c r="O1904" t="str">
        <f t="shared" si="119"/>
        <v>Proposta Ok</v>
      </c>
    </row>
    <row r="1905" spans="12:15" x14ac:dyDescent="0.25">
      <c r="L1905">
        <f t="shared" si="116"/>
        <v>0</v>
      </c>
      <c r="M1905">
        <f t="shared" si="117"/>
        <v>1</v>
      </c>
      <c r="N1905">
        <f t="shared" si="118"/>
        <v>0</v>
      </c>
      <c r="O1905" t="str">
        <f t="shared" si="119"/>
        <v>Proposta Ok</v>
      </c>
    </row>
    <row r="1906" spans="12:15" x14ac:dyDescent="0.25">
      <c r="L1906">
        <f t="shared" si="116"/>
        <v>0</v>
      </c>
      <c r="M1906">
        <f t="shared" si="117"/>
        <v>1</v>
      </c>
      <c r="N1906">
        <f t="shared" si="118"/>
        <v>0</v>
      </c>
      <c r="O1906" t="str">
        <f t="shared" si="119"/>
        <v>Proposta Ok</v>
      </c>
    </row>
    <row r="1907" spans="12:15" x14ac:dyDescent="0.25">
      <c r="L1907">
        <f t="shared" si="116"/>
        <v>0</v>
      </c>
      <c r="M1907">
        <f t="shared" si="117"/>
        <v>1</v>
      </c>
      <c r="N1907">
        <f t="shared" si="118"/>
        <v>0</v>
      </c>
      <c r="O1907" t="str">
        <f t="shared" si="119"/>
        <v>Proposta Ok</v>
      </c>
    </row>
    <row r="1908" spans="12:15" x14ac:dyDescent="0.25">
      <c r="L1908">
        <f t="shared" si="116"/>
        <v>0</v>
      </c>
      <c r="M1908">
        <f t="shared" si="117"/>
        <v>1</v>
      </c>
      <c r="N1908">
        <f t="shared" si="118"/>
        <v>0</v>
      </c>
      <c r="O1908" t="str">
        <f t="shared" si="119"/>
        <v>Proposta Ok</v>
      </c>
    </row>
    <row r="1909" spans="12:15" x14ac:dyDescent="0.25">
      <c r="L1909">
        <f t="shared" si="116"/>
        <v>0</v>
      </c>
      <c r="M1909">
        <f t="shared" si="117"/>
        <v>1</v>
      </c>
      <c r="N1909">
        <f t="shared" si="118"/>
        <v>0</v>
      </c>
      <c r="O1909" t="str">
        <f t="shared" si="119"/>
        <v>Proposta Ok</v>
      </c>
    </row>
    <row r="1910" spans="12:15" x14ac:dyDescent="0.25">
      <c r="L1910">
        <f t="shared" si="116"/>
        <v>0</v>
      </c>
      <c r="M1910">
        <f t="shared" si="117"/>
        <v>1</v>
      </c>
      <c r="N1910">
        <f t="shared" si="118"/>
        <v>0</v>
      </c>
      <c r="O1910" t="str">
        <f t="shared" si="119"/>
        <v>Proposta Ok</v>
      </c>
    </row>
    <row r="1911" spans="12:15" x14ac:dyDescent="0.25">
      <c r="L1911">
        <f t="shared" si="116"/>
        <v>0</v>
      </c>
      <c r="M1911">
        <f t="shared" si="117"/>
        <v>1</v>
      </c>
      <c r="N1911">
        <f t="shared" si="118"/>
        <v>0</v>
      </c>
      <c r="O1911" t="str">
        <f t="shared" si="119"/>
        <v>Proposta Ok</v>
      </c>
    </row>
    <row r="1912" spans="12:15" x14ac:dyDescent="0.25">
      <c r="L1912">
        <f t="shared" si="116"/>
        <v>0</v>
      </c>
      <c r="M1912">
        <f t="shared" si="117"/>
        <v>1</v>
      </c>
      <c r="N1912">
        <f t="shared" si="118"/>
        <v>0</v>
      </c>
      <c r="O1912" t="str">
        <f t="shared" si="119"/>
        <v>Proposta Ok</v>
      </c>
    </row>
    <row r="1913" spans="12:15" x14ac:dyDescent="0.25">
      <c r="L1913">
        <f t="shared" si="116"/>
        <v>0</v>
      </c>
      <c r="M1913">
        <f t="shared" si="117"/>
        <v>1</v>
      </c>
      <c r="N1913">
        <f t="shared" si="118"/>
        <v>0</v>
      </c>
      <c r="O1913" t="str">
        <f t="shared" si="119"/>
        <v>Proposta Ok</v>
      </c>
    </row>
    <row r="1914" spans="12:15" x14ac:dyDescent="0.25">
      <c r="L1914">
        <f t="shared" si="116"/>
        <v>0</v>
      </c>
      <c r="M1914">
        <f t="shared" si="117"/>
        <v>1</v>
      </c>
      <c r="N1914">
        <f t="shared" si="118"/>
        <v>0</v>
      </c>
      <c r="O1914" t="str">
        <f t="shared" si="119"/>
        <v>Proposta Ok</v>
      </c>
    </row>
    <row r="1915" spans="12:15" x14ac:dyDescent="0.25">
      <c r="L1915">
        <f t="shared" si="116"/>
        <v>0</v>
      </c>
      <c r="M1915">
        <f t="shared" si="117"/>
        <v>1</v>
      </c>
      <c r="N1915">
        <f t="shared" si="118"/>
        <v>0</v>
      </c>
      <c r="O1915" t="str">
        <f t="shared" si="119"/>
        <v>Proposta Ok</v>
      </c>
    </row>
    <row r="1916" spans="12:15" x14ac:dyDescent="0.25">
      <c r="L1916">
        <f t="shared" si="116"/>
        <v>0</v>
      </c>
      <c r="M1916">
        <f t="shared" si="117"/>
        <v>1</v>
      </c>
      <c r="N1916">
        <f t="shared" si="118"/>
        <v>0</v>
      </c>
      <c r="O1916" t="str">
        <f t="shared" si="119"/>
        <v>Proposta Ok</v>
      </c>
    </row>
    <row r="1917" spans="12:15" x14ac:dyDescent="0.25">
      <c r="L1917">
        <f t="shared" si="116"/>
        <v>0</v>
      </c>
      <c r="M1917">
        <f t="shared" si="117"/>
        <v>1</v>
      </c>
      <c r="N1917">
        <f t="shared" si="118"/>
        <v>0</v>
      </c>
      <c r="O1917" t="str">
        <f t="shared" si="119"/>
        <v>Proposta Ok</v>
      </c>
    </row>
    <row r="1918" spans="12:15" x14ac:dyDescent="0.25">
      <c r="L1918">
        <f t="shared" ref="L1918:L1981" si="120">IF(OR(I1918="Termo OK (Exceção)",I1918="Termo OK"),1,0)</f>
        <v>0</v>
      </c>
      <c r="M1918">
        <f t="shared" ref="M1918:M1981" si="121">IF(OR(I1918="Termo OK (Exceção)",I1918="Termo OK"),0,1)</f>
        <v>1</v>
      </c>
      <c r="N1918">
        <f t="shared" ref="N1918:N1981" si="122">IF(J1918="SIM",1,0)</f>
        <v>0</v>
      </c>
      <c r="O1918" t="str">
        <f t="shared" si="119"/>
        <v>Proposta Ok</v>
      </c>
    </row>
    <row r="1919" spans="12:15" x14ac:dyDescent="0.25">
      <c r="L1919">
        <f t="shared" si="120"/>
        <v>0</v>
      </c>
      <c r="M1919">
        <f t="shared" si="121"/>
        <v>1</v>
      </c>
      <c r="N1919">
        <f t="shared" si="122"/>
        <v>0</v>
      </c>
      <c r="O1919" t="str">
        <f t="shared" si="119"/>
        <v>Proposta Ok</v>
      </c>
    </row>
    <row r="1920" spans="12:15" x14ac:dyDescent="0.25">
      <c r="L1920">
        <f t="shared" si="120"/>
        <v>0</v>
      </c>
      <c r="M1920">
        <f t="shared" si="121"/>
        <v>1</v>
      </c>
      <c r="N1920">
        <f t="shared" si="122"/>
        <v>0</v>
      </c>
      <c r="O1920" t="str">
        <f t="shared" si="119"/>
        <v>Proposta Ok</v>
      </c>
    </row>
    <row r="1921" spans="12:15" x14ac:dyDescent="0.25">
      <c r="L1921">
        <f t="shared" si="120"/>
        <v>0</v>
      </c>
      <c r="M1921">
        <f t="shared" si="121"/>
        <v>1</v>
      </c>
      <c r="N1921">
        <f t="shared" si="122"/>
        <v>0</v>
      </c>
      <c r="O1921" t="str">
        <f t="shared" si="119"/>
        <v>Proposta Ok</v>
      </c>
    </row>
    <row r="1922" spans="12:15" x14ac:dyDescent="0.25">
      <c r="L1922">
        <f t="shared" si="120"/>
        <v>0</v>
      </c>
      <c r="M1922">
        <f t="shared" si="121"/>
        <v>1</v>
      </c>
      <c r="N1922">
        <f t="shared" si="122"/>
        <v>0</v>
      </c>
      <c r="O1922" t="str">
        <f t="shared" si="119"/>
        <v>Proposta Ok</v>
      </c>
    </row>
    <row r="1923" spans="12:15" x14ac:dyDescent="0.25">
      <c r="L1923">
        <f t="shared" si="120"/>
        <v>0</v>
      </c>
      <c r="M1923">
        <f t="shared" si="121"/>
        <v>1</v>
      </c>
      <c r="N1923">
        <f t="shared" si="122"/>
        <v>0</v>
      </c>
      <c r="O1923" t="str">
        <f t="shared" ref="O1923:O1986" si="123">IF(SUMIFS(M:M,A:A,A1923)&gt;0,"Proposta não Ok","Proposta Ok")</f>
        <v>Proposta Ok</v>
      </c>
    </row>
    <row r="1924" spans="12:15" x14ac:dyDescent="0.25">
      <c r="L1924">
        <f t="shared" si="120"/>
        <v>0</v>
      </c>
      <c r="M1924">
        <f t="shared" si="121"/>
        <v>1</v>
      </c>
      <c r="N1924">
        <f t="shared" si="122"/>
        <v>0</v>
      </c>
      <c r="O1924" t="str">
        <f t="shared" si="123"/>
        <v>Proposta Ok</v>
      </c>
    </row>
    <row r="1925" spans="12:15" x14ac:dyDescent="0.25">
      <c r="L1925">
        <f t="shared" si="120"/>
        <v>0</v>
      </c>
      <c r="M1925">
        <f t="shared" si="121"/>
        <v>1</v>
      </c>
      <c r="N1925">
        <f t="shared" si="122"/>
        <v>0</v>
      </c>
      <c r="O1925" t="str">
        <f t="shared" si="123"/>
        <v>Proposta Ok</v>
      </c>
    </row>
    <row r="1926" spans="12:15" x14ac:dyDescent="0.25">
      <c r="L1926">
        <f t="shared" si="120"/>
        <v>0</v>
      </c>
      <c r="M1926">
        <f t="shared" si="121"/>
        <v>1</v>
      </c>
      <c r="N1926">
        <f t="shared" si="122"/>
        <v>0</v>
      </c>
      <c r="O1926" t="str">
        <f t="shared" si="123"/>
        <v>Proposta Ok</v>
      </c>
    </row>
    <row r="1927" spans="12:15" x14ac:dyDescent="0.25">
      <c r="L1927">
        <f t="shared" si="120"/>
        <v>0</v>
      </c>
      <c r="M1927">
        <f t="shared" si="121"/>
        <v>1</v>
      </c>
      <c r="N1927">
        <f t="shared" si="122"/>
        <v>0</v>
      </c>
      <c r="O1927" t="str">
        <f t="shared" si="123"/>
        <v>Proposta Ok</v>
      </c>
    </row>
    <row r="1928" spans="12:15" x14ac:dyDescent="0.25">
      <c r="L1928">
        <f t="shared" si="120"/>
        <v>0</v>
      </c>
      <c r="M1928">
        <f t="shared" si="121"/>
        <v>1</v>
      </c>
      <c r="N1928">
        <f t="shared" si="122"/>
        <v>0</v>
      </c>
      <c r="O1928" t="str">
        <f t="shared" si="123"/>
        <v>Proposta Ok</v>
      </c>
    </row>
    <row r="1929" spans="12:15" x14ac:dyDescent="0.25">
      <c r="L1929">
        <f t="shared" si="120"/>
        <v>0</v>
      </c>
      <c r="M1929">
        <f t="shared" si="121"/>
        <v>1</v>
      </c>
      <c r="N1929">
        <f t="shared" si="122"/>
        <v>0</v>
      </c>
      <c r="O1929" t="str">
        <f t="shared" si="123"/>
        <v>Proposta Ok</v>
      </c>
    </row>
    <row r="1930" spans="12:15" x14ac:dyDescent="0.25">
      <c r="L1930">
        <f t="shared" si="120"/>
        <v>0</v>
      </c>
      <c r="M1930">
        <f t="shared" si="121"/>
        <v>1</v>
      </c>
      <c r="N1930">
        <f t="shared" si="122"/>
        <v>0</v>
      </c>
      <c r="O1930" t="str">
        <f t="shared" si="123"/>
        <v>Proposta Ok</v>
      </c>
    </row>
    <row r="1931" spans="12:15" x14ac:dyDescent="0.25">
      <c r="L1931">
        <f t="shared" si="120"/>
        <v>0</v>
      </c>
      <c r="M1931">
        <f t="shared" si="121"/>
        <v>1</v>
      </c>
      <c r="N1931">
        <f t="shared" si="122"/>
        <v>0</v>
      </c>
      <c r="O1931" t="str">
        <f t="shared" si="123"/>
        <v>Proposta Ok</v>
      </c>
    </row>
    <row r="1932" spans="12:15" x14ac:dyDescent="0.25">
      <c r="L1932">
        <f t="shared" si="120"/>
        <v>0</v>
      </c>
      <c r="M1932">
        <f t="shared" si="121"/>
        <v>1</v>
      </c>
      <c r="N1932">
        <f t="shared" si="122"/>
        <v>0</v>
      </c>
      <c r="O1932" t="str">
        <f t="shared" si="123"/>
        <v>Proposta Ok</v>
      </c>
    </row>
    <row r="1933" spans="12:15" x14ac:dyDescent="0.25">
      <c r="L1933">
        <f t="shared" si="120"/>
        <v>0</v>
      </c>
      <c r="M1933">
        <f t="shared" si="121"/>
        <v>1</v>
      </c>
      <c r="N1933">
        <f t="shared" si="122"/>
        <v>0</v>
      </c>
      <c r="O1933" t="str">
        <f t="shared" si="123"/>
        <v>Proposta Ok</v>
      </c>
    </row>
    <row r="1934" spans="12:15" x14ac:dyDescent="0.25">
      <c r="L1934">
        <f t="shared" si="120"/>
        <v>0</v>
      </c>
      <c r="M1934">
        <f t="shared" si="121"/>
        <v>1</v>
      </c>
      <c r="N1934">
        <f t="shared" si="122"/>
        <v>0</v>
      </c>
      <c r="O1934" t="str">
        <f t="shared" si="123"/>
        <v>Proposta Ok</v>
      </c>
    </row>
    <row r="1935" spans="12:15" x14ac:dyDescent="0.25">
      <c r="L1935">
        <f t="shared" si="120"/>
        <v>0</v>
      </c>
      <c r="M1935">
        <f t="shared" si="121"/>
        <v>1</v>
      </c>
      <c r="N1935">
        <f t="shared" si="122"/>
        <v>0</v>
      </c>
      <c r="O1935" t="str">
        <f t="shared" si="123"/>
        <v>Proposta Ok</v>
      </c>
    </row>
    <row r="1936" spans="12:15" x14ac:dyDescent="0.25">
      <c r="L1936">
        <f t="shared" si="120"/>
        <v>0</v>
      </c>
      <c r="M1936">
        <f t="shared" si="121"/>
        <v>1</v>
      </c>
      <c r="N1936">
        <f t="shared" si="122"/>
        <v>0</v>
      </c>
      <c r="O1936" t="str">
        <f t="shared" si="123"/>
        <v>Proposta Ok</v>
      </c>
    </row>
    <row r="1937" spans="12:15" x14ac:dyDescent="0.25">
      <c r="L1937">
        <f t="shared" si="120"/>
        <v>0</v>
      </c>
      <c r="M1937">
        <f t="shared" si="121"/>
        <v>1</v>
      </c>
      <c r="N1937">
        <f t="shared" si="122"/>
        <v>0</v>
      </c>
      <c r="O1937" t="str">
        <f t="shared" si="123"/>
        <v>Proposta Ok</v>
      </c>
    </row>
    <row r="1938" spans="12:15" x14ac:dyDescent="0.25">
      <c r="L1938">
        <f t="shared" si="120"/>
        <v>0</v>
      </c>
      <c r="M1938">
        <f t="shared" si="121"/>
        <v>1</v>
      </c>
      <c r="N1938">
        <f t="shared" si="122"/>
        <v>0</v>
      </c>
      <c r="O1938" t="str">
        <f t="shared" si="123"/>
        <v>Proposta Ok</v>
      </c>
    </row>
    <row r="1939" spans="12:15" x14ac:dyDescent="0.25">
      <c r="L1939">
        <f t="shared" si="120"/>
        <v>0</v>
      </c>
      <c r="M1939">
        <f t="shared" si="121"/>
        <v>1</v>
      </c>
      <c r="N1939">
        <f t="shared" si="122"/>
        <v>0</v>
      </c>
      <c r="O1939" t="str">
        <f t="shared" si="123"/>
        <v>Proposta Ok</v>
      </c>
    </row>
    <row r="1940" spans="12:15" x14ac:dyDescent="0.25">
      <c r="L1940">
        <f t="shared" si="120"/>
        <v>0</v>
      </c>
      <c r="M1940">
        <f t="shared" si="121"/>
        <v>1</v>
      </c>
      <c r="N1940">
        <f t="shared" si="122"/>
        <v>0</v>
      </c>
      <c r="O1940" t="str">
        <f t="shared" si="123"/>
        <v>Proposta Ok</v>
      </c>
    </row>
    <row r="1941" spans="12:15" x14ac:dyDescent="0.25">
      <c r="L1941">
        <f t="shared" si="120"/>
        <v>0</v>
      </c>
      <c r="M1941">
        <f t="shared" si="121"/>
        <v>1</v>
      </c>
      <c r="N1941">
        <f t="shared" si="122"/>
        <v>0</v>
      </c>
      <c r="O1941" t="str">
        <f t="shared" si="123"/>
        <v>Proposta Ok</v>
      </c>
    </row>
    <row r="1942" spans="12:15" x14ac:dyDescent="0.25">
      <c r="L1942">
        <f t="shared" si="120"/>
        <v>0</v>
      </c>
      <c r="M1942">
        <f t="shared" si="121"/>
        <v>1</v>
      </c>
      <c r="N1942">
        <f t="shared" si="122"/>
        <v>0</v>
      </c>
      <c r="O1942" t="str">
        <f t="shared" si="123"/>
        <v>Proposta Ok</v>
      </c>
    </row>
    <row r="1943" spans="12:15" x14ac:dyDescent="0.25">
      <c r="L1943">
        <f t="shared" si="120"/>
        <v>0</v>
      </c>
      <c r="M1943">
        <f t="shared" si="121"/>
        <v>1</v>
      </c>
      <c r="N1943">
        <f t="shared" si="122"/>
        <v>0</v>
      </c>
      <c r="O1943" t="str">
        <f t="shared" si="123"/>
        <v>Proposta Ok</v>
      </c>
    </row>
    <row r="1944" spans="12:15" x14ac:dyDescent="0.25">
      <c r="L1944">
        <f t="shared" si="120"/>
        <v>0</v>
      </c>
      <c r="M1944">
        <f t="shared" si="121"/>
        <v>1</v>
      </c>
      <c r="N1944">
        <f t="shared" si="122"/>
        <v>0</v>
      </c>
      <c r="O1944" t="str">
        <f t="shared" si="123"/>
        <v>Proposta Ok</v>
      </c>
    </row>
    <row r="1945" spans="12:15" x14ac:dyDescent="0.25">
      <c r="L1945">
        <f t="shared" si="120"/>
        <v>0</v>
      </c>
      <c r="M1945">
        <f t="shared" si="121"/>
        <v>1</v>
      </c>
      <c r="N1945">
        <f t="shared" si="122"/>
        <v>0</v>
      </c>
      <c r="O1945" t="str">
        <f t="shared" si="123"/>
        <v>Proposta Ok</v>
      </c>
    </row>
    <row r="1946" spans="12:15" x14ac:dyDescent="0.25">
      <c r="L1946">
        <f t="shared" si="120"/>
        <v>0</v>
      </c>
      <c r="M1946">
        <f t="shared" si="121"/>
        <v>1</v>
      </c>
      <c r="N1946">
        <f t="shared" si="122"/>
        <v>0</v>
      </c>
      <c r="O1946" t="str">
        <f t="shared" si="123"/>
        <v>Proposta Ok</v>
      </c>
    </row>
    <row r="1947" spans="12:15" x14ac:dyDescent="0.25">
      <c r="L1947">
        <f t="shared" si="120"/>
        <v>0</v>
      </c>
      <c r="M1947">
        <f t="shared" si="121"/>
        <v>1</v>
      </c>
      <c r="N1947">
        <f t="shared" si="122"/>
        <v>0</v>
      </c>
      <c r="O1947" t="str">
        <f t="shared" si="123"/>
        <v>Proposta Ok</v>
      </c>
    </row>
    <row r="1948" spans="12:15" x14ac:dyDescent="0.25">
      <c r="L1948">
        <f t="shared" si="120"/>
        <v>0</v>
      </c>
      <c r="M1948">
        <f t="shared" si="121"/>
        <v>1</v>
      </c>
      <c r="N1948">
        <f t="shared" si="122"/>
        <v>0</v>
      </c>
      <c r="O1948" t="str">
        <f t="shared" si="123"/>
        <v>Proposta Ok</v>
      </c>
    </row>
    <row r="1949" spans="12:15" x14ac:dyDescent="0.25">
      <c r="L1949">
        <f t="shared" si="120"/>
        <v>0</v>
      </c>
      <c r="M1949">
        <f t="shared" si="121"/>
        <v>1</v>
      </c>
      <c r="N1949">
        <f t="shared" si="122"/>
        <v>0</v>
      </c>
      <c r="O1949" t="str">
        <f t="shared" si="123"/>
        <v>Proposta Ok</v>
      </c>
    </row>
    <row r="1950" spans="12:15" x14ac:dyDescent="0.25">
      <c r="L1950">
        <f t="shared" si="120"/>
        <v>0</v>
      </c>
      <c r="M1950">
        <f t="shared" si="121"/>
        <v>1</v>
      </c>
      <c r="N1950">
        <f t="shared" si="122"/>
        <v>0</v>
      </c>
      <c r="O1950" t="str">
        <f t="shared" si="123"/>
        <v>Proposta Ok</v>
      </c>
    </row>
    <row r="1951" spans="12:15" x14ac:dyDescent="0.25">
      <c r="L1951">
        <f t="shared" si="120"/>
        <v>0</v>
      </c>
      <c r="M1951">
        <f t="shared" si="121"/>
        <v>1</v>
      </c>
      <c r="N1951">
        <f t="shared" si="122"/>
        <v>0</v>
      </c>
      <c r="O1951" t="str">
        <f t="shared" si="123"/>
        <v>Proposta Ok</v>
      </c>
    </row>
    <row r="1952" spans="12:15" x14ac:dyDescent="0.25">
      <c r="L1952">
        <f t="shared" si="120"/>
        <v>0</v>
      </c>
      <c r="M1952">
        <f t="shared" si="121"/>
        <v>1</v>
      </c>
      <c r="N1952">
        <f t="shared" si="122"/>
        <v>0</v>
      </c>
      <c r="O1952" t="str">
        <f t="shared" si="123"/>
        <v>Proposta Ok</v>
      </c>
    </row>
    <row r="1953" spans="12:15" x14ac:dyDescent="0.25">
      <c r="L1953">
        <f t="shared" si="120"/>
        <v>0</v>
      </c>
      <c r="M1953">
        <f t="shared" si="121"/>
        <v>1</v>
      </c>
      <c r="N1953">
        <f t="shared" si="122"/>
        <v>0</v>
      </c>
      <c r="O1953" t="str">
        <f t="shared" si="123"/>
        <v>Proposta Ok</v>
      </c>
    </row>
    <row r="1954" spans="12:15" x14ac:dyDescent="0.25">
      <c r="L1954">
        <f t="shared" si="120"/>
        <v>0</v>
      </c>
      <c r="M1954">
        <f t="shared" si="121"/>
        <v>1</v>
      </c>
      <c r="N1954">
        <f t="shared" si="122"/>
        <v>0</v>
      </c>
      <c r="O1954" t="str">
        <f t="shared" si="123"/>
        <v>Proposta Ok</v>
      </c>
    </row>
    <row r="1955" spans="12:15" x14ac:dyDescent="0.25">
      <c r="L1955">
        <f t="shared" si="120"/>
        <v>0</v>
      </c>
      <c r="M1955">
        <f t="shared" si="121"/>
        <v>1</v>
      </c>
      <c r="N1955">
        <f t="shared" si="122"/>
        <v>0</v>
      </c>
      <c r="O1955" t="str">
        <f t="shared" si="123"/>
        <v>Proposta Ok</v>
      </c>
    </row>
    <row r="1956" spans="12:15" x14ac:dyDescent="0.25">
      <c r="L1956">
        <f t="shared" si="120"/>
        <v>0</v>
      </c>
      <c r="M1956">
        <f t="shared" si="121"/>
        <v>1</v>
      </c>
      <c r="N1956">
        <f t="shared" si="122"/>
        <v>0</v>
      </c>
      <c r="O1956" t="str">
        <f t="shared" si="123"/>
        <v>Proposta Ok</v>
      </c>
    </row>
    <row r="1957" spans="12:15" x14ac:dyDescent="0.25">
      <c r="L1957">
        <f t="shared" si="120"/>
        <v>0</v>
      </c>
      <c r="M1957">
        <f t="shared" si="121"/>
        <v>1</v>
      </c>
      <c r="N1957">
        <f t="shared" si="122"/>
        <v>0</v>
      </c>
      <c r="O1957" t="str">
        <f t="shared" si="123"/>
        <v>Proposta Ok</v>
      </c>
    </row>
    <row r="1958" spans="12:15" x14ac:dyDescent="0.25">
      <c r="L1958">
        <f t="shared" si="120"/>
        <v>0</v>
      </c>
      <c r="M1958">
        <f t="shared" si="121"/>
        <v>1</v>
      </c>
      <c r="N1958">
        <f t="shared" si="122"/>
        <v>0</v>
      </c>
      <c r="O1958" t="str">
        <f t="shared" si="123"/>
        <v>Proposta Ok</v>
      </c>
    </row>
    <row r="1959" spans="12:15" x14ac:dyDescent="0.25">
      <c r="L1959">
        <f t="shared" si="120"/>
        <v>0</v>
      </c>
      <c r="M1959">
        <f t="shared" si="121"/>
        <v>1</v>
      </c>
      <c r="N1959">
        <f t="shared" si="122"/>
        <v>0</v>
      </c>
      <c r="O1959" t="str">
        <f t="shared" si="123"/>
        <v>Proposta Ok</v>
      </c>
    </row>
    <row r="1960" spans="12:15" x14ac:dyDescent="0.25">
      <c r="L1960">
        <f t="shared" si="120"/>
        <v>0</v>
      </c>
      <c r="M1960">
        <f t="shared" si="121"/>
        <v>1</v>
      </c>
      <c r="N1960">
        <f t="shared" si="122"/>
        <v>0</v>
      </c>
      <c r="O1960" t="str">
        <f t="shared" si="123"/>
        <v>Proposta Ok</v>
      </c>
    </row>
    <row r="1961" spans="12:15" x14ac:dyDescent="0.25">
      <c r="L1961">
        <f t="shared" si="120"/>
        <v>0</v>
      </c>
      <c r="M1961">
        <f t="shared" si="121"/>
        <v>1</v>
      </c>
      <c r="N1961">
        <f t="shared" si="122"/>
        <v>0</v>
      </c>
      <c r="O1961" t="str">
        <f t="shared" si="123"/>
        <v>Proposta Ok</v>
      </c>
    </row>
    <row r="1962" spans="12:15" x14ac:dyDescent="0.25">
      <c r="L1962">
        <f t="shared" si="120"/>
        <v>0</v>
      </c>
      <c r="M1962">
        <f t="shared" si="121"/>
        <v>1</v>
      </c>
      <c r="N1962">
        <f t="shared" si="122"/>
        <v>0</v>
      </c>
      <c r="O1962" t="str">
        <f t="shared" si="123"/>
        <v>Proposta Ok</v>
      </c>
    </row>
    <row r="1963" spans="12:15" x14ac:dyDescent="0.25">
      <c r="L1963">
        <f t="shared" si="120"/>
        <v>0</v>
      </c>
      <c r="M1963">
        <f t="shared" si="121"/>
        <v>1</v>
      </c>
      <c r="N1963">
        <f t="shared" si="122"/>
        <v>0</v>
      </c>
      <c r="O1963" t="str">
        <f t="shared" si="123"/>
        <v>Proposta Ok</v>
      </c>
    </row>
    <row r="1964" spans="12:15" x14ac:dyDescent="0.25">
      <c r="L1964">
        <f t="shared" si="120"/>
        <v>0</v>
      </c>
      <c r="M1964">
        <f t="shared" si="121"/>
        <v>1</v>
      </c>
      <c r="N1964">
        <f t="shared" si="122"/>
        <v>0</v>
      </c>
      <c r="O1964" t="str">
        <f t="shared" si="123"/>
        <v>Proposta Ok</v>
      </c>
    </row>
    <row r="1965" spans="12:15" x14ac:dyDescent="0.25">
      <c r="L1965">
        <f t="shared" si="120"/>
        <v>0</v>
      </c>
      <c r="M1965">
        <f t="shared" si="121"/>
        <v>1</v>
      </c>
      <c r="N1965">
        <f t="shared" si="122"/>
        <v>0</v>
      </c>
      <c r="O1965" t="str">
        <f t="shared" si="123"/>
        <v>Proposta Ok</v>
      </c>
    </row>
    <row r="1966" spans="12:15" x14ac:dyDescent="0.25">
      <c r="L1966">
        <f t="shared" si="120"/>
        <v>0</v>
      </c>
      <c r="M1966">
        <f t="shared" si="121"/>
        <v>1</v>
      </c>
      <c r="N1966">
        <f t="shared" si="122"/>
        <v>0</v>
      </c>
      <c r="O1966" t="str">
        <f t="shared" si="123"/>
        <v>Proposta Ok</v>
      </c>
    </row>
    <row r="1967" spans="12:15" x14ac:dyDescent="0.25">
      <c r="L1967">
        <f t="shared" si="120"/>
        <v>0</v>
      </c>
      <c r="M1967">
        <f t="shared" si="121"/>
        <v>1</v>
      </c>
      <c r="N1967">
        <f t="shared" si="122"/>
        <v>0</v>
      </c>
      <c r="O1967" t="str">
        <f t="shared" si="123"/>
        <v>Proposta Ok</v>
      </c>
    </row>
    <row r="1968" spans="12:15" x14ac:dyDescent="0.25">
      <c r="L1968">
        <f t="shared" si="120"/>
        <v>0</v>
      </c>
      <c r="M1968">
        <f t="shared" si="121"/>
        <v>1</v>
      </c>
      <c r="N1968">
        <f t="shared" si="122"/>
        <v>0</v>
      </c>
      <c r="O1968" t="str">
        <f t="shared" si="123"/>
        <v>Proposta Ok</v>
      </c>
    </row>
    <row r="1969" spans="12:15" x14ac:dyDescent="0.25">
      <c r="L1969">
        <f t="shared" si="120"/>
        <v>0</v>
      </c>
      <c r="M1969">
        <f t="shared" si="121"/>
        <v>1</v>
      </c>
      <c r="N1969">
        <f t="shared" si="122"/>
        <v>0</v>
      </c>
      <c r="O1969" t="str">
        <f t="shared" si="123"/>
        <v>Proposta Ok</v>
      </c>
    </row>
    <row r="1970" spans="12:15" x14ac:dyDescent="0.25">
      <c r="L1970">
        <f t="shared" si="120"/>
        <v>0</v>
      </c>
      <c r="M1970">
        <f t="shared" si="121"/>
        <v>1</v>
      </c>
      <c r="N1970">
        <f t="shared" si="122"/>
        <v>0</v>
      </c>
      <c r="O1970" t="str">
        <f t="shared" si="123"/>
        <v>Proposta Ok</v>
      </c>
    </row>
    <row r="1971" spans="12:15" x14ac:dyDescent="0.25">
      <c r="L1971">
        <f t="shared" si="120"/>
        <v>0</v>
      </c>
      <c r="M1971">
        <f t="shared" si="121"/>
        <v>1</v>
      </c>
      <c r="N1971">
        <f t="shared" si="122"/>
        <v>0</v>
      </c>
      <c r="O1971" t="str">
        <f t="shared" si="123"/>
        <v>Proposta Ok</v>
      </c>
    </row>
    <row r="1972" spans="12:15" x14ac:dyDescent="0.25">
      <c r="L1972">
        <f t="shared" si="120"/>
        <v>0</v>
      </c>
      <c r="M1972">
        <f t="shared" si="121"/>
        <v>1</v>
      </c>
      <c r="N1972">
        <f t="shared" si="122"/>
        <v>0</v>
      </c>
      <c r="O1972" t="str">
        <f t="shared" si="123"/>
        <v>Proposta Ok</v>
      </c>
    </row>
    <row r="1973" spans="12:15" x14ac:dyDescent="0.25">
      <c r="L1973">
        <f t="shared" si="120"/>
        <v>0</v>
      </c>
      <c r="M1973">
        <f t="shared" si="121"/>
        <v>1</v>
      </c>
      <c r="N1973">
        <f t="shared" si="122"/>
        <v>0</v>
      </c>
      <c r="O1973" t="str">
        <f t="shared" si="123"/>
        <v>Proposta Ok</v>
      </c>
    </row>
    <row r="1974" spans="12:15" x14ac:dyDescent="0.25">
      <c r="L1974">
        <f t="shared" si="120"/>
        <v>0</v>
      </c>
      <c r="M1974">
        <f t="shared" si="121"/>
        <v>1</v>
      </c>
      <c r="N1974">
        <f t="shared" si="122"/>
        <v>0</v>
      </c>
      <c r="O1974" t="str">
        <f t="shared" si="123"/>
        <v>Proposta Ok</v>
      </c>
    </row>
    <row r="1975" spans="12:15" x14ac:dyDescent="0.25">
      <c r="L1975">
        <f t="shared" si="120"/>
        <v>0</v>
      </c>
      <c r="M1975">
        <f t="shared" si="121"/>
        <v>1</v>
      </c>
      <c r="N1975">
        <f t="shared" si="122"/>
        <v>0</v>
      </c>
      <c r="O1975" t="str">
        <f t="shared" si="123"/>
        <v>Proposta Ok</v>
      </c>
    </row>
    <row r="1976" spans="12:15" x14ac:dyDescent="0.25">
      <c r="L1976">
        <f t="shared" si="120"/>
        <v>0</v>
      </c>
      <c r="M1976">
        <f t="shared" si="121"/>
        <v>1</v>
      </c>
      <c r="N1976">
        <f t="shared" si="122"/>
        <v>0</v>
      </c>
      <c r="O1976" t="str">
        <f t="shared" si="123"/>
        <v>Proposta Ok</v>
      </c>
    </row>
    <row r="1977" spans="12:15" x14ac:dyDescent="0.25">
      <c r="L1977">
        <f t="shared" si="120"/>
        <v>0</v>
      </c>
      <c r="M1977">
        <f t="shared" si="121"/>
        <v>1</v>
      </c>
      <c r="N1977">
        <f t="shared" si="122"/>
        <v>0</v>
      </c>
      <c r="O1977" t="str">
        <f t="shared" si="123"/>
        <v>Proposta Ok</v>
      </c>
    </row>
    <row r="1978" spans="12:15" x14ac:dyDescent="0.25">
      <c r="L1978">
        <f t="shared" si="120"/>
        <v>0</v>
      </c>
      <c r="M1978">
        <f t="shared" si="121"/>
        <v>1</v>
      </c>
      <c r="N1978">
        <f t="shared" si="122"/>
        <v>0</v>
      </c>
      <c r="O1978" t="str">
        <f t="shared" si="123"/>
        <v>Proposta Ok</v>
      </c>
    </row>
    <row r="1979" spans="12:15" x14ac:dyDescent="0.25">
      <c r="L1979">
        <f t="shared" si="120"/>
        <v>0</v>
      </c>
      <c r="M1979">
        <f t="shared" si="121"/>
        <v>1</v>
      </c>
      <c r="N1979">
        <f t="shared" si="122"/>
        <v>0</v>
      </c>
      <c r="O1979" t="str">
        <f t="shared" si="123"/>
        <v>Proposta Ok</v>
      </c>
    </row>
    <row r="1980" spans="12:15" x14ac:dyDescent="0.25">
      <c r="L1980">
        <f t="shared" si="120"/>
        <v>0</v>
      </c>
      <c r="M1980">
        <f t="shared" si="121"/>
        <v>1</v>
      </c>
      <c r="N1980">
        <f t="shared" si="122"/>
        <v>0</v>
      </c>
      <c r="O1980" t="str">
        <f t="shared" si="123"/>
        <v>Proposta Ok</v>
      </c>
    </row>
    <row r="1981" spans="12:15" x14ac:dyDescent="0.25">
      <c r="L1981">
        <f t="shared" si="120"/>
        <v>0</v>
      </c>
      <c r="M1981">
        <f t="shared" si="121"/>
        <v>1</v>
      </c>
      <c r="N1981">
        <f t="shared" si="122"/>
        <v>0</v>
      </c>
      <c r="O1981" t="str">
        <f t="shared" si="123"/>
        <v>Proposta Ok</v>
      </c>
    </row>
    <row r="1982" spans="12:15" x14ac:dyDescent="0.25">
      <c r="L1982">
        <f t="shared" ref="L1982:L2045" si="124">IF(OR(I1982="Termo OK (Exceção)",I1982="Termo OK"),1,0)</f>
        <v>0</v>
      </c>
      <c r="M1982">
        <f t="shared" ref="M1982:M2045" si="125">IF(OR(I1982="Termo OK (Exceção)",I1982="Termo OK"),0,1)</f>
        <v>1</v>
      </c>
      <c r="N1982">
        <f t="shared" ref="N1982:N2045" si="126">IF(J1982="SIM",1,0)</f>
        <v>0</v>
      </c>
      <c r="O1982" t="str">
        <f t="shared" si="123"/>
        <v>Proposta Ok</v>
      </c>
    </row>
    <row r="1983" spans="12:15" x14ac:dyDescent="0.25">
      <c r="L1983">
        <f t="shared" si="124"/>
        <v>0</v>
      </c>
      <c r="M1983">
        <f t="shared" si="125"/>
        <v>1</v>
      </c>
      <c r="N1983">
        <f t="shared" si="126"/>
        <v>0</v>
      </c>
      <c r="O1983" t="str">
        <f t="shared" si="123"/>
        <v>Proposta Ok</v>
      </c>
    </row>
    <row r="1984" spans="12:15" x14ac:dyDescent="0.25">
      <c r="L1984">
        <f t="shared" si="124"/>
        <v>0</v>
      </c>
      <c r="M1984">
        <f t="shared" si="125"/>
        <v>1</v>
      </c>
      <c r="N1984">
        <f t="shared" si="126"/>
        <v>0</v>
      </c>
      <c r="O1984" t="str">
        <f t="shared" si="123"/>
        <v>Proposta Ok</v>
      </c>
    </row>
    <row r="1985" spans="12:15" x14ac:dyDescent="0.25">
      <c r="L1985">
        <f t="shared" si="124"/>
        <v>0</v>
      </c>
      <c r="M1985">
        <f t="shared" si="125"/>
        <v>1</v>
      </c>
      <c r="N1985">
        <f t="shared" si="126"/>
        <v>0</v>
      </c>
      <c r="O1985" t="str">
        <f t="shared" si="123"/>
        <v>Proposta Ok</v>
      </c>
    </row>
    <row r="1986" spans="12:15" x14ac:dyDescent="0.25">
      <c r="L1986">
        <f t="shared" si="124"/>
        <v>0</v>
      </c>
      <c r="M1986">
        <f t="shared" si="125"/>
        <v>1</v>
      </c>
      <c r="N1986">
        <f t="shared" si="126"/>
        <v>0</v>
      </c>
      <c r="O1986" t="str">
        <f t="shared" si="123"/>
        <v>Proposta Ok</v>
      </c>
    </row>
    <row r="1987" spans="12:15" x14ac:dyDescent="0.25">
      <c r="L1987">
        <f t="shared" si="124"/>
        <v>0</v>
      </c>
      <c r="M1987">
        <f t="shared" si="125"/>
        <v>1</v>
      </c>
      <c r="N1987">
        <f t="shared" si="126"/>
        <v>0</v>
      </c>
      <c r="O1987" t="str">
        <f t="shared" ref="O1987:O2050" si="127">IF(SUMIFS(M:M,A:A,A1987)&gt;0,"Proposta não Ok","Proposta Ok")</f>
        <v>Proposta Ok</v>
      </c>
    </row>
    <row r="1988" spans="12:15" x14ac:dyDescent="0.25">
      <c r="L1988">
        <f t="shared" si="124"/>
        <v>0</v>
      </c>
      <c r="M1988">
        <f t="shared" si="125"/>
        <v>1</v>
      </c>
      <c r="N1988">
        <f t="shared" si="126"/>
        <v>0</v>
      </c>
      <c r="O1988" t="str">
        <f t="shared" si="127"/>
        <v>Proposta Ok</v>
      </c>
    </row>
    <row r="1989" spans="12:15" x14ac:dyDescent="0.25">
      <c r="L1989">
        <f t="shared" si="124"/>
        <v>0</v>
      </c>
      <c r="M1989">
        <f t="shared" si="125"/>
        <v>1</v>
      </c>
      <c r="N1989">
        <f t="shared" si="126"/>
        <v>0</v>
      </c>
      <c r="O1989" t="str">
        <f t="shared" si="127"/>
        <v>Proposta Ok</v>
      </c>
    </row>
    <row r="1990" spans="12:15" x14ac:dyDescent="0.25">
      <c r="L1990">
        <f t="shared" si="124"/>
        <v>0</v>
      </c>
      <c r="M1990">
        <f t="shared" si="125"/>
        <v>1</v>
      </c>
      <c r="N1990">
        <f t="shared" si="126"/>
        <v>0</v>
      </c>
      <c r="O1990" t="str">
        <f t="shared" si="127"/>
        <v>Proposta Ok</v>
      </c>
    </row>
    <row r="1991" spans="12:15" x14ac:dyDescent="0.25">
      <c r="L1991">
        <f t="shared" si="124"/>
        <v>0</v>
      </c>
      <c r="M1991">
        <f t="shared" si="125"/>
        <v>1</v>
      </c>
      <c r="N1991">
        <f t="shared" si="126"/>
        <v>0</v>
      </c>
      <c r="O1991" t="str">
        <f t="shared" si="127"/>
        <v>Proposta Ok</v>
      </c>
    </row>
    <row r="1992" spans="12:15" x14ac:dyDescent="0.25">
      <c r="L1992">
        <f t="shared" si="124"/>
        <v>0</v>
      </c>
      <c r="M1992">
        <f t="shared" si="125"/>
        <v>1</v>
      </c>
      <c r="N1992">
        <f t="shared" si="126"/>
        <v>0</v>
      </c>
      <c r="O1992" t="str">
        <f t="shared" si="127"/>
        <v>Proposta Ok</v>
      </c>
    </row>
    <row r="1993" spans="12:15" x14ac:dyDescent="0.25">
      <c r="L1993">
        <f t="shared" si="124"/>
        <v>0</v>
      </c>
      <c r="M1993">
        <f t="shared" si="125"/>
        <v>1</v>
      </c>
      <c r="N1993">
        <f t="shared" si="126"/>
        <v>0</v>
      </c>
      <c r="O1993" t="str">
        <f t="shared" si="127"/>
        <v>Proposta Ok</v>
      </c>
    </row>
    <row r="1994" spans="12:15" x14ac:dyDescent="0.25">
      <c r="L1994">
        <f t="shared" si="124"/>
        <v>0</v>
      </c>
      <c r="M1994">
        <f t="shared" si="125"/>
        <v>1</v>
      </c>
      <c r="N1994">
        <f t="shared" si="126"/>
        <v>0</v>
      </c>
      <c r="O1994" t="str">
        <f t="shared" si="127"/>
        <v>Proposta Ok</v>
      </c>
    </row>
    <row r="1995" spans="12:15" x14ac:dyDescent="0.25">
      <c r="L1995">
        <f t="shared" si="124"/>
        <v>0</v>
      </c>
      <c r="M1995">
        <f t="shared" si="125"/>
        <v>1</v>
      </c>
      <c r="N1995">
        <f t="shared" si="126"/>
        <v>0</v>
      </c>
      <c r="O1995" t="str">
        <f t="shared" si="127"/>
        <v>Proposta Ok</v>
      </c>
    </row>
    <row r="1996" spans="12:15" x14ac:dyDescent="0.25">
      <c r="L1996">
        <f t="shared" si="124"/>
        <v>0</v>
      </c>
      <c r="M1996">
        <f t="shared" si="125"/>
        <v>1</v>
      </c>
      <c r="N1996">
        <f t="shared" si="126"/>
        <v>0</v>
      </c>
      <c r="O1996" t="str">
        <f t="shared" si="127"/>
        <v>Proposta Ok</v>
      </c>
    </row>
    <row r="1997" spans="12:15" x14ac:dyDescent="0.25">
      <c r="L1997">
        <f t="shared" si="124"/>
        <v>0</v>
      </c>
      <c r="M1997">
        <f t="shared" si="125"/>
        <v>1</v>
      </c>
      <c r="N1997">
        <f t="shared" si="126"/>
        <v>0</v>
      </c>
      <c r="O1997" t="str">
        <f t="shared" si="127"/>
        <v>Proposta Ok</v>
      </c>
    </row>
    <row r="1998" spans="12:15" x14ac:dyDescent="0.25">
      <c r="L1998">
        <f t="shared" si="124"/>
        <v>0</v>
      </c>
      <c r="M1998">
        <f t="shared" si="125"/>
        <v>1</v>
      </c>
      <c r="N1998">
        <f t="shared" si="126"/>
        <v>0</v>
      </c>
      <c r="O1998" t="str">
        <f t="shared" si="127"/>
        <v>Proposta Ok</v>
      </c>
    </row>
    <row r="1999" spans="12:15" x14ac:dyDescent="0.25">
      <c r="L1999">
        <f t="shared" si="124"/>
        <v>0</v>
      </c>
      <c r="M1999">
        <f t="shared" si="125"/>
        <v>1</v>
      </c>
      <c r="N1999">
        <f t="shared" si="126"/>
        <v>0</v>
      </c>
      <c r="O1999" t="str">
        <f t="shared" si="127"/>
        <v>Proposta Ok</v>
      </c>
    </row>
    <row r="2000" spans="12:15" x14ac:dyDescent="0.25">
      <c r="L2000">
        <f t="shared" si="124"/>
        <v>0</v>
      </c>
      <c r="M2000">
        <f t="shared" si="125"/>
        <v>1</v>
      </c>
      <c r="N2000">
        <f t="shared" si="126"/>
        <v>0</v>
      </c>
      <c r="O2000" t="str">
        <f t="shared" si="127"/>
        <v>Proposta Ok</v>
      </c>
    </row>
    <row r="2001" spans="12:15" x14ac:dyDescent="0.25">
      <c r="L2001">
        <f t="shared" si="124"/>
        <v>0</v>
      </c>
      <c r="M2001">
        <f t="shared" si="125"/>
        <v>1</v>
      </c>
      <c r="N2001">
        <f t="shared" si="126"/>
        <v>0</v>
      </c>
      <c r="O2001" t="str">
        <f t="shared" si="127"/>
        <v>Proposta Ok</v>
      </c>
    </row>
    <row r="2002" spans="12:15" x14ac:dyDescent="0.25">
      <c r="L2002">
        <f t="shared" si="124"/>
        <v>0</v>
      </c>
      <c r="M2002">
        <f t="shared" si="125"/>
        <v>1</v>
      </c>
      <c r="N2002">
        <f t="shared" si="126"/>
        <v>0</v>
      </c>
      <c r="O2002" t="str">
        <f t="shared" si="127"/>
        <v>Proposta Ok</v>
      </c>
    </row>
    <row r="2003" spans="12:15" x14ac:dyDescent="0.25">
      <c r="L2003">
        <f t="shared" si="124"/>
        <v>0</v>
      </c>
      <c r="M2003">
        <f t="shared" si="125"/>
        <v>1</v>
      </c>
      <c r="N2003">
        <f t="shared" si="126"/>
        <v>0</v>
      </c>
      <c r="O2003" t="str">
        <f t="shared" si="127"/>
        <v>Proposta Ok</v>
      </c>
    </row>
    <row r="2004" spans="12:15" x14ac:dyDescent="0.25">
      <c r="L2004">
        <f t="shared" si="124"/>
        <v>0</v>
      </c>
      <c r="M2004">
        <f t="shared" si="125"/>
        <v>1</v>
      </c>
      <c r="N2004">
        <f t="shared" si="126"/>
        <v>0</v>
      </c>
      <c r="O2004" t="str">
        <f t="shared" si="127"/>
        <v>Proposta Ok</v>
      </c>
    </row>
    <row r="2005" spans="12:15" x14ac:dyDescent="0.25">
      <c r="L2005">
        <f t="shared" si="124"/>
        <v>0</v>
      </c>
      <c r="M2005">
        <f t="shared" si="125"/>
        <v>1</v>
      </c>
      <c r="N2005">
        <f t="shared" si="126"/>
        <v>0</v>
      </c>
      <c r="O2005" t="str">
        <f t="shared" si="127"/>
        <v>Proposta Ok</v>
      </c>
    </row>
    <row r="2006" spans="12:15" x14ac:dyDescent="0.25">
      <c r="L2006">
        <f t="shared" si="124"/>
        <v>0</v>
      </c>
      <c r="M2006">
        <f t="shared" si="125"/>
        <v>1</v>
      </c>
      <c r="N2006">
        <f t="shared" si="126"/>
        <v>0</v>
      </c>
      <c r="O2006" t="str">
        <f t="shared" si="127"/>
        <v>Proposta Ok</v>
      </c>
    </row>
    <row r="2007" spans="12:15" x14ac:dyDescent="0.25">
      <c r="L2007">
        <f t="shared" si="124"/>
        <v>0</v>
      </c>
      <c r="M2007">
        <f t="shared" si="125"/>
        <v>1</v>
      </c>
      <c r="N2007">
        <f t="shared" si="126"/>
        <v>0</v>
      </c>
      <c r="O2007" t="str">
        <f t="shared" si="127"/>
        <v>Proposta Ok</v>
      </c>
    </row>
    <row r="2008" spans="12:15" x14ac:dyDescent="0.25">
      <c r="L2008">
        <f t="shared" si="124"/>
        <v>0</v>
      </c>
      <c r="M2008">
        <f t="shared" si="125"/>
        <v>1</v>
      </c>
      <c r="N2008">
        <f t="shared" si="126"/>
        <v>0</v>
      </c>
      <c r="O2008" t="str">
        <f t="shared" si="127"/>
        <v>Proposta Ok</v>
      </c>
    </row>
    <row r="2009" spans="12:15" x14ac:dyDescent="0.25">
      <c r="L2009">
        <f t="shared" si="124"/>
        <v>0</v>
      </c>
      <c r="M2009">
        <f t="shared" si="125"/>
        <v>1</v>
      </c>
      <c r="N2009">
        <f t="shared" si="126"/>
        <v>0</v>
      </c>
      <c r="O2009" t="str">
        <f t="shared" si="127"/>
        <v>Proposta Ok</v>
      </c>
    </row>
    <row r="2010" spans="12:15" x14ac:dyDescent="0.25">
      <c r="L2010">
        <f t="shared" si="124"/>
        <v>0</v>
      </c>
      <c r="M2010">
        <f t="shared" si="125"/>
        <v>1</v>
      </c>
      <c r="N2010">
        <f t="shared" si="126"/>
        <v>0</v>
      </c>
      <c r="O2010" t="str">
        <f t="shared" si="127"/>
        <v>Proposta Ok</v>
      </c>
    </row>
    <row r="2011" spans="12:15" x14ac:dyDescent="0.25">
      <c r="L2011">
        <f t="shared" si="124"/>
        <v>0</v>
      </c>
      <c r="M2011">
        <f t="shared" si="125"/>
        <v>1</v>
      </c>
      <c r="N2011">
        <f t="shared" si="126"/>
        <v>0</v>
      </c>
      <c r="O2011" t="str">
        <f t="shared" si="127"/>
        <v>Proposta Ok</v>
      </c>
    </row>
    <row r="2012" spans="12:15" x14ac:dyDescent="0.25">
      <c r="L2012">
        <f t="shared" si="124"/>
        <v>0</v>
      </c>
      <c r="M2012">
        <f t="shared" si="125"/>
        <v>1</v>
      </c>
      <c r="N2012">
        <f t="shared" si="126"/>
        <v>0</v>
      </c>
      <c r="O2012" t="str">
        <f t="shared" si="127"/>
        <v>Proposta Ok</v>
      </c>
    </row>
    <row r="2013" spans="12:15" x14ac:dyDescent="0.25">
      <c r="L2013">
        <f t="shared" si="124"/>
        <v>0</v>
      </c>
      <c r="M2013">
        <f t="shared" si="125"/>
        <v>1</v>
      </c>
      <c r="N2013">
        <f t="shared" si="126"/>
        <v>0</v>
      </c>
      <c r="O2013" t="str">
        <f t="shared" si="127"/>
        <v>Proposta Ok</v>
      </c>
    </row>
    <row r="2014" spans="12:15" x14ac:dyDescent="0.25">
      <c r="L2014">
        <f t="shared" si="124"/>
        <v>0</v>
      </c>
      <c r="M2014">
        <f t="shared" si="125"/>
        <v>1</v>
      </c>
      <c r="N2014">
        <f t="shared" si="126"/>
        <v>0</v>
      </c>
      <c r="O2014" t="str">
        <f t="shared" si="127"/>
        <v>Proposta Ok</v>
      </c>
    </row>
    <row r="2015" spans="12:15" x14ac:dyDescent="0.25">
      <c r="L2015">
        <f t="shared" si="124"/>
        <v>0</v>
      </c>
      <c r="M2015">
        <f t="shared" si="125"/>
        <v>1</v>
      </c>
      <c r="N2015">
        <f t="shared" si="126"/>
        <v>0</v>
      </c>
      <c r="O2015" t="str">
        <f t="shared" si="127"/>
        <v>Proposta Ok</v>
      </c>
    </row>
    <row r="2016" spans="12:15" x14ac:dyDescent="0.25">
      <c r="L2016">
        <f t="shared" si="124"/>
        <v>0</v>
      </c>
      <c r="M2016">
        <f t="shared" si="125"/>
        <v>1</v>
      </c>
      <c r="N2016">
        <f t="shared" si="126"/>
        <v>0</v>
      </c>
      <c r="O2016" t="str">
        <f t="shared" si="127"/>
        <v>Proposta Ok</v>
      </c>
    </row>
    <row r="2017" spans="12:15" x14ac:dyDescent="0.25">
      <c r="L2017">
        <f t="shared" si="124"/>
        <v>0</v>
      </c>
      <c r="M2017">
        <f t="shared" si="125"/>
        <v>1</v>
      </c>
      <c r="N2017">
        <f t="shared" si="126"/>
        <v>0</v>
      </c>
      <c r="O2017" t="str">
        <f t="shared" si="127"/>
        <v>Proposta Ok</v>
      </c>
    </row>
    <row r="2018" spans="12:15" x14ac:dyDescent="0.25">
      <c r="L2018">
        <f t="shared" si="124"/>
        <v>0</v>
      </c>
      <c r="M2018">
        <f t="shared" si="125"/>
        <v>1</v>
      </c>
      <c r="N2018">
        <f t="shared" si="126"/>
        <v>0</v>
      </c>
      <c r="O2018" t="str">
        <f t="shared" si="127"/>
        <v>Proposta Ok</v>
      </c>
    </row>
    <row r="2019" spans="12:15" x14ac:dyDescent="0.25">
      <c r="L2019">
        <f t="shared" si="124"/>
        <v>0</v>
      </c>
      <c r="M2019">
        <f t="shared" si="125"/>
        <v>1</v>
      </c>
      <c r="N2019">
        <f t="shared" si="126"/>
        <v>0</v>
      </c>
      <c r="O2019" t="str">
        <f t="shared" si="127"/>
        <v>Proposta Ok</v>
      </c>
    </row>
    <row r="2020" spans="12:15" x14ac:dyDescent="0.25">
      <c r="L2020">
        <f t="shared" si="124"/>
        <v>0</v>
      </c>
      <c r="M2020">
        <f t="shared" si="125"/>
        <v>1</v>
      </c>
      <c r="N2020">
        <f t="shared" si="126"/>
        <v>0</v>
      </c>
      <c r="O2020" t="str">
        <f t="shared" si="127"/>
        <v>Proposta Ok</v>
      </c>
    </row>
    <row r="2021" spans="12:15" x14ac:dyDescent="0.25">
      <c r="L2021">
        <f t="shared" si="124"/>
        <v>0</v>
      </c>
      <c r="M2021">
        <f t="shared" si="125"/>
        <v>1</v>
      </c>
      <c r="N2021">
        <f t="shared" si="126"/>
        <v>0</v>
      </c>
      <c r="O2021" t="str">
        <f t="shared" si="127"/>
        <v>Proposta Ok</v>
      </c>
    </row>
    <row r="2022" spans="12:15" x14ac:dyDescent="0.25">
      <c r="L2022">
        <f t="shared" si="124"/>
        <v>0</v>
      </c>
      <c r="M2022">
        <f t="shared" si="125"/>
        <v>1</v>
      </c>
      <c r="N2022">
        <f t="shared" si="126"/>
        <v>0</v>
      </c>
      <c r="O2022" t="str">
        <f t="shared" si="127"/>
        <v>Proposta Ok</v>
      </c>
    </row>
    <row r="2023" spans="12:15" x14ac:dyDescent="0.25">
      <c r="L2023">
        <f t="shared" si="124"/>
        <v>0</v>
      </c>
      <c r="M2023">
        <f t="shared" si="125"/>
        <v>1</v>
      </c>
      <c r="N2023">
        <f t="shared" si="126"/>
        <v>0</v>
      </c>
      <c r="O2023" t="str">
        <f t="shared" si="127"/>
        <v>Proposta Ok</v>
      </c>
    </row>
    <row r="2024" spans="12:15" x14ac:dyDescent="0.25">
      <c r="L2024">
        <f t="shared" si="124"/>
        <v>0</v>
      </c>
      <c r="M2024">
        <f t="shared" si="125"/>
        <v>1</v>
      </c>
      <c r="N2024">
        <f t="shared" si="126"/>
        <v>0</v>
      </c>
      <c r="O2024" t="str">
        <f t="shared" si="127"/>
        <v>Proposta Ok</v>
      </c>
    </row>
    <row r="2025" spans="12:15" x14ac:dyDescent="0.25">
      <c r="L2025">
        <f t="shared" si="124"/>
        <v>0</v>
      </c>
      <c r="M2025">
        <f t="shared" si="125"/>
        <v>1</v>
      </c>
      <c r="N2025">
        <f t="shared" si="126"/>
        <v>0</v>
      </c>
      <c r="O2025" t="str">
        <f t="shared" si="127"/>
        <v>Proposta Ok</v>
      </c>
    </row>
    <row r="2026" spans="12:15" x14ac:dyDescent="0.25">
      <c r="L2026">
        <f t="shared" si="124"/>
        <v>0</v>
      </c>
      <c r="M2026">
        <f t="shared" si="125"/>
        <v>1</v>
      </c>
      <c r="N2026">
        <f t="shared" si="126"/>
        <v>0</v>
      </c>
      <c r="O2026" t="str">
        <f t="shared" si="127"/>
        <v>Proposta Ok</v>
      </c>
    </row>
    <row r="2027" spans="12:15" x14ac:dyDescent="0.25">
      <c r="L2027">
        <f t="shared" si="124"/>
        <v>0</v>
      </c>
      <c r="M2027">
        <f t="shared" si="125"/>
        <v>1</v>
      </c>
      <c r="N2027">
        <f t="shared" si="126"/>
        <v>0</v>
      </c>
      <c r="O2027" t="str">
        <f t="shared" si="127"/>
        <v>Proposta Ok</v>
      </c>
    </row>
    <row r="2028" spans="12:15" x14ac:dyDescent="0.25">
      <c r="L2028">
        <f t="shared" si="124"/>
        <v>0</v>
      </c>
      <c r="M2028">
        <f t="shared" si="125"/>
        <v>1</v>
      </c>
      <c r="N2028">
        <f t="shared" si="126"/>
        <v>0</v>
      </c>
      <c r="O2028" t="str">
        <f t="shared" si="127"/>
        <v>Proposta Ok</v>
      </c>
    </row>
    <row r="2029" spans="12:15" x14ac:dyDescent="0.25">
      <c r="L2029">
        <f t="shared" si="124"/>
        <v>0</v>
      </c>
      <c r="M2029">
        <f t="shared" si="125"/>
        <v>1</v>
      </c>
      <c r="N2029">
        <f t="shared" si="126"/>
        <v>0</v>
      </c>
      <c r="O2029" t="str">
        <f t="shared" si="127"/>
        <v>Proposta Ok</v>
      </c>
    </row>
    <row r="2030" spans="12:15" x14ac:dyDescent="0.25">
      <c r="L2030">
        <f t="shared" si="124"/>
        <v>0</v>
      </c>
      <c r="M2030">
        <f t="shared" si="125"/>
        <v>1</v>
      </c>
      <c r="N2030">
        <f t="shared" si="126"/>
        <v>0</v>
      </c>
      <c r="O2030" t="str">
        <f t="shared" si="127"/>
        <v>Proposta Ok</v>
      </c>
    </row>
    <row r="2031" spans="12:15" x14ac:dyDescent="0.25">
      <c r="L2031">
        <f t="shared" si="124"/>
        <v>0</v>
      </c>
      <c r="M2031">
        <f t="shared" si="125"/>
        <v>1</v>
      </c>
      <c r="N2031">
        <f t="shared" si="126"/>
        <v>0</v>
      </c>
      <c r="O2031" t="str">
        <f t="shared" si="127"/>
        <v>Proposta Ok</v>
      </c>
    </row>
    <row r="2032" spans="12:15" x14ac:dyDescent="0.25">
      <c r="L2032">
        <f t="shared" si="124"/>
        <v>0</v>
      </c>
      <c r="M2032">
        <f t="shared" si="125"/>
        <v>1</v>
      </c>
      <c r="N2032">
        <f t="shared" si="126"/>
        <v>0</v>
      </c>
      <c r="O2032" t="str">
        <f t="shared" si="127"/>
        <v>Proposta Ok</v>
      </c>
    </row>
    <row r="2033" spans="12:15" x14ac:dyDescent="0.25">
      <c r="L2033">
        <f t="shared" si="124"/>
        <v>0</v>
      </c>
      <c r="M2033">
        <f t="shared" si="125"/>
        <v>1</v>
      </c>
      <c r="N2033">
        <f t="shared" si="126"/>
        <v>0</v>
      </c>
      <c r="O2033" t="str">
        <f t="shared" si="127"/>
        <v>Proposta Ok</v>
      </c>
    </row>
    <row r="2034" spans="12:15" x14ac:dyDescent="0.25">
      <c r="L2034">
        <f t="shared" si="124"/>
        <v>0</v>
      </c>
      <c r="M2034">
        <f t="shared" si="125"/>
        <v>1</v>
      </c>
      <c r="N2034">
        <f t="shared" si="126"/>
        <v>0</v>
      </c>
      <c r="O2034" t="str">
        <f t="shared" si="127"/>
        <v>Proposta Ok</v>
      </c>
    </row>
    <row r="2035" spans="12:15" x14ac:dyDescent="0.25">
      <c r="L2035">
        <f t="shared" si="124"/>
        <v>0</v>
      </c>
      <c r="M2035">
        <f t="shared" si="125"/>
        <v>1</v>
      </c>
      <c r="N2035">
        <f t="shared" si="126"/>
        <v>0</v>
      </c>
      <c r="O2035" t="str">
        <f t="shared" si="127"/>
        <v>Proposta Ok</v>
      </c>
    </row>
    <row r="2036" spans="12:15" x14ac:dyDescent="0.25">
      <c r="L2036">
        <f t="shared" si="124"/>
        <v>0</v>
      </c>
      <c r="M2036">
        <f t="shared" si="125"/>
        <v>1</v>
      </c>
      <c r="N2036">
        <f t="shared" si="126"/>
        <v>0</v>
      </c>
      <c r="O2036" t="str">
        <f t="shared" si="127"/>
        <v>Proposta Ok</v>
      </c>
    </row>
    <row r="2037" spans="12:15" x14ac:dyDescent="0.25">
      <c r="L2037">
        <f t="shared" si="124"/>
        <v>0</v>
      </c>
      <c r="M2037">
        <f t="shared" si="125"/>
        <v>1</v>
      </c>
      <c r="N2037">
        <f t="shared" si="126"/>
        <v>0</v>
      </c>
      <c r="O2037" t="str">
        <f t="shared" si="127"/>
        <v>Proposta Ok</v>
      </c>
    </row>
    <row r="2038" spans="12:15" x14ac:dyDescent="0.25">
      <c r="L2038">
        <f t="shared" si="124"/>
        <v>0</v>
      </c>
      <c r="M2038">
        <f t="shared" si="125"/>
        <v>1</v>
      </c>
      <c r="N2038">
        <f t="shared" si="126"/>
        <v>0</v>
      </c>
      <c r="O2038" t="str">
        <f t="shared" si="127"/>
        <v>Proposta Ok</v>
      </c>
    </row>
    <row r="2039" spans="12:15" x14ac:dyDescent="0.25">
      <c r="L2039">
        <f t="shared" si="124"/>
        <v>0</v>
      </c>
      <c r="M2039">
        <f t="shared" si="125"/>
        <v>1</v>
      </c>
      <c r="N2039">
        <f t="shared" si="126"/>
        <v>0</v>
      </c>
      <c r="O2039" t="str">
        <f t="shared" si="127"/>
        <v>Proposta Ok</v>
      </c>
    </row>
    <row r="2040" spans="12:15" x14ac:dyDescent="0.25">
      <c r="L2040">
        <f t="shared" si="124"/>
        <v>0</v>
      </c>
      <c r="M2040">
        <f t="shared" si="125"/>
        <v>1</v>
      </c>
      <c r="N2040">
        <f t="shared" si="126"/>
        <v>0</v>
      </c>
      <c r="O2040" t="str">
        <f t="shared" si="127"/>
        <v>Proposta Ok</v>
      </c>
    </row>
    <row r="2041" spans="12:15" x14ac:dyDescent="0.25">
      <c r="L2041">
        <f t="shared" si="124"/>
        <v>0</v>
      </c>
      <c r="M2041">
        <f t="shared" si="125"/>
        <v>1</v>
      </c>
      <c r="N2041">
        <f t="shared" si="126"/>
        <v>0</v>
      </c>
      <c r="O2041" t="str">
        <f t="shared" si="127"/>
        <v>Proposta Ok</v>
      </c>
    </row>
    <row r="2042" spans="12:15" x14ac:dyDescent="0.25">
      <c r="L2042">
        <f t="shared" si="124"/>
        <v>0</v>
      </c>
      <c r="M2042">
        <f t="shared" si="125"/>
        <v>1</v>
      </c>
      <c r="N2042">
        <f t="shared" si="126"/>
        <v>0</v>
      </c>
      <c r="O2042" t="str">
        <f t="shared" si="127"/>
        <v>Proposta Ok</v>
      </c>
    </row>
    <row r="2043" spans="12:15" x14ac:dyDescent="0.25">
      <c r="L2043">
        <f t="shared" si="124"/>
        <v>0</v>
      </c>
      <c r="M2043">
        <f t="shared" si="125"/>
        <v>1</v>
      </c>
      <c r="N2043">
        <f t="shared" si="126"/>
        <v>0</v>
      </c>
      <c r="O2043" t="str">
        <f t="shared" si="127"/>
        <v>Proposta Ok</v>
      </c>
    </row>
    <row r="2044" spans="12:15" x14ac:dyDescent="0.25">
      <c r="L2044">
        <f t="shared" si="124"/>
        <v>0</v>
      </c>
      <c r="M2044">
        <f t="shared" si="125"/>
        <v>1</v>
      </c>
      <c r="N2044">
        <f t="shared" si="126"/>
        <v>0</v>
      </c>
      <c r="O2044" t="str">
        <f t="shared" si="127"/>
        <v>Proposta Ok</v>
      </c>
    </row>
    <row r="2045" spans="12:15" x14ac:dyDescent="0.25">
      <c r="L2045">
        <f t="shared" si="124"/>
        <v>0</v>
      </c>
      <c r="M2045">
        <f t="shared" si="125"/>
        <v>1</v>
      </c>
      <c r="N2045">
        <f t="shared" si="126"/>
        <v>0</v>
      </c>
      <c r="O2045" t="str">
        <f t="shared" si="127"/>
        <v>Proposta Ok</v>
      </c>
    </row>
    <row r="2046" spans="12:15" x14ac:dyDescent="0.25">
      <c r="L2046">
        <f t="shared" ref="L2046:L2074" si="128">IF(OR(I2046="Termo OK (Exceção)",I2046="Termo OK"),1,0)</f>
        <v>0</v>
      </c>
      <c r="M2046">
        <f t="shared" ref="M2046:M2074" si="129">IF(OR(I2046="Termo OK (Exceção)",I2046="Termo OK"),0,1)</f>
        <v>1</v>
      </c>
      <c r="N2046">
        <f t="shared" ref="N2046:N2074" si="130">IF(J2046="SIM",1,0)</f>
        <v>0</v>
      </c>
      <c r="O2046" t="str">
        <f t="shared" si="127"/>
        <v>Proposta Ok</v>
      </c>
    </row>
    <row r="2047" spans="12:15" x14ac:dyDescent="0.25">
      <c r="L2047">
        <f t="shared" si="128"/>
        <v>0</v>
      </c>
      <c r="M2047">
        <f t="shared" si="129"/>
        <v>1</v>
      </c>
      <c r="N2047">
        <f t="shared" si="130"/>
        <v>0</v>
      </c>
      <c r="O2047" t="str">
        <f t="shared" si="127"/>
        <v>Proposta Ok</v>
      </c>
    </row>
    <row r="2048" spans="12:15" x14ac:dyDescent="0.25">
      <c r="L2048">
        <f t="shared" si="128"/>
        <v>0</v>
      </c>
      <c r="M2048">
        <f t="shared" si="129"/>
        <v>1</v>
      </c>
      <c r="N2048">
        <f t="shared" si="130"/>
        <v>0</v>
      </c>
      <c r="O2048" t="str">
        <f t="shared" si="127"/>
        <v>Proposta Ok</v>
      </c>
    </row>
    <row r="2049" spans="12:15" x14ac:dyDescent="0.25">
      <c r="L2049">
        <f t="shared" si="128"/>
        <v>0</v>
      </c>
      <c r="M2049">
        <f t="shared" si="129"/>
        <v>1</v>
      </c>
      <c r="N2049">
        <f t="shared" si="130"/>
        <v>0</v>
      </c>
      <c r="O2049" t="str">
        <f t="shared" si="127"/>
        <v>Proposta Ok</v>
      </c>
    </row>
    <row r="2050" spans="12:15" x14ac:dyDescent="0.25">
      <c r="L2050">
        <f t="shared" si="128"/>
        <v>0</v>
      </c>
      <c r="M2050">
        <f t="shared" si="129"/>
        <v>1</v>
      </c>
      <c r="N2050">
        <f t="shared" si="130"/>
        <v>0</v>
      </c>
      <c r="O2050" t="str">
        <f t="shared" si="127"/>
        <v>Proposta Ok</v>
      </c>
    </row>
    <row r="2051" spans="12:15" x14ac:dyDescent="0.25">
      <c r="L2051">
        <f t="shared" si="128"/>
        <v>0</v>
      </c>
      <c r="M2051">
        <f t="shared" si="129"/>
        <v>1</v>
      </c>
      <c r="N2051">
        <f t="shared" si="130"/>
        <v>0</v>
      </c>
      <c r="O2051" t="str">
        <f t="shared" ref="O2051:O2074" si="131">IF(SUMIFS(M:M,A:A,A2051)&gt;0,"Proposta não Ok","Proposta Ok")</f>
        <v>Proposta Ok</v>
      </c>
    </row>
    <row r="2052" spans="12:15" x14ac:dyDescent="0.25">
      <c r="L2052">
        <f t="shared" si="128"/>
        <v>0</v>
      </c>
      <c r="M2052">
        <f t="shared" si="129"/>
        <v>1</v>
      </c>
      <c r="N2052">
        <f t="shared" si="130"/>
        <v>0</v>
      </c>
      <c r="O2052" t="str">
        <f t="shared" si="131"/>
        <v>Proposta Ok</v>
      </c>
    </row>
    <row r="2053" spans="12:15" x14ac:dyDescent="0.25">
      <c r="L2053">
        <f t="shared" si="128"/>
        <v>0</v>
      </c>
      <c r="M2053">
        <f t="shared" si="129"/>
        <v>1</v>
      </c>
      <c r="N2053">
        <f t="shared" si="130"/>
        <v>0</v>
      </c>
      <c r="O2053" t="str">
        <f t="shared" si="131"/>
        <v>Proposta Ok</v>
      </c>
    </row>
    <row r="2054" spans="12:15" x14ac:dyDescent="0.25">
      <c r="L2054">
        <f t="shared" si="128"/>
        <v>0</v>
      </c>
      <c r="M2054">
        <f t="shared" si="129"/>
        <v>1</v>
      </c>
      <c r="N2054">
        <f t="shared" si="130"/>
        <v>0</v>
      </c>
      <c r="O2054" t="str">
        <f t="shared" si="131"/>
        <v>Proposta Ok</v>
      </c>
    </row>
    <row r="2055" spans="12:15" x14ac:dyDescent="0.25">
      <c r="L2055">
        <f t="shared" si="128"/>
        <v>0</v>
      </c>
      <c r="M2055">
        <f t="shared" si="129"/>
        <v>1</v>
      </c>
      <c r="N2055">
        <f t="shared" si="130"/>
        <v>0</v>
      </c>
      <c r="O2055" t="str">
        <f t="shared" si="131"/>
        <v>Proposta Ok</v>
      </c>
    </row>
    <row r="2056" spans="12:15" x14ac:dyDescent="0.25">
      <c r="L2056">
        <f t="shared" si="128"/>
        <v>0</v>
      </c>
      <c r="M2056">
        <f t="shared" si="129"/>
        <v>1</v>
      </c>
      <c r="N2056">
        <f t="shared" si="130"/>
        <v>0</v>
      </c>
      <c r="O2056" t="str">
        <f t="shared" si="131"/>
        <v>Proposta Ok</v>
      </c>
    </row>
    <row r="2057" spans="12:15" x14ac:dyDescent="0.25">
      <c r="L2057">
        <f t="shared" si="128"/>
        <v>0</v>
      </c>
      <c r="M2057">
        <f t="shared" si="129"/>
        <v>1</v>
      </c>
      <c r="N2057">
        <f t="shared" si="130"/>
        <v>0</v>
      </c>
      <c r="O2057" t="str">
        <f t="shared" si="131"/>
        <v>Proposta Ok</v>
      </c>
    </row>
    <row r="2058" spans="12:15" x14ac:dyDescent="0.25">
      <c r="L2058">
        <f t="shared" si="128"/>
        <v>0</v>
      </c>
      <c r="M2058">
        <f t="shared" si="129"/>
        <v>1</v>
      </c>
      <c r="N2058">
        <f t="shared" si="130"/>
        <v>0</v>
      </c>
      <c r="O2058" t="str">
        <f t="shared" si="131"/>
        <v>Proposta Ok</v>
      </c>
    </row>
    <row r="2059" spans="12:15" x14ac:dyDescent="0.25">
      <c r="L2059">
        <f t="shared" si="128"/>
        <v>0</v>
      </c>
      <c r="M2059">
        <f t="shared" si="129"/>
        <v>1</v>
      </c>
      <c r="N2059">
        <f t="shared" si="130"/>
        <v>0</v>
      </c>
      <c r="O2059" t="str">
        <f t="shared" si="131"/>
        <v>Proposta Ok</v>
      </c>
    </row>
    <row r="2060" spans="12:15" x14ac:dyDescent="0.25">
      <c r="L2060">
        <f t="shared" si="128"/>
        <v>0</v>
      </c>
      <c r="M2060">
        <f t="shared" si="129"/>
        <v>1</v>
      </c>
      <c r="N2060">
        <f t="shared" si="130"/>
        <v>0</v>
      </c>
      <c r="O2060" t="str">
        <f t="shared" si="131"/>
        <v>Proposta Ok</v>
      </c>
    </row>
    <row r="2061" spans="12:15" x14ac:dyDescent="0.25">
      <c r="L2061">
        <f t="shared" si="128"/>
        <v>0</v>
      </c>
      <c r="M2061">
        <f t="shared" si="129"/>
        <v>1</v>
      </c>
      <c r="N2061">
        <f t="shared" si="130"/>
        <v>0</v>
      </c>
      <c r="O2061" t="str">
        <f t="shared" si="131"/>
        <v>Proposta Ok</v>
      </c>
    </row>
    <row r="2062" spans="12:15" x14ac:dyDescent="0.25">
      <c r="L2062">
        <f t="shared" si="128"/>
        <v>0</v>
      </c>
      <c r="M2062">
        <f t="shared" si="129"/>
        <v>1</v>
      </c>
      <c r="N2062">
        <f t="shared" si="130"/>
        <v>0</v>
      </c>
      <c r="O2062" t="str">
        <f t="shared" si="131"/>
        <v>Proposta Ok</v>
      </c>
    </row>
    <row r="2063" spans="12:15" x14ac:dyDescent="0.25">
      <c r="L2063">
        <f t="shared" si="128"/>
        <v>0</v>
      </c>
      <c r="M2063">
        <f t="shared" si="129"/>
        <v>1</v>
      </c>
      <c r="N2063">
        <f t="shared" si="130"/>
        <v>0</v>
      </c>
      <c r="O2063" t="str">
        <f t="shared" si="131"/>
        <v>Proposta Ok</v>
      </c>
    </row>
    <row r="2064" spans="12:15" x14ac:dyDescent="0.25">
      <c r="L2064">
        <f t="shared" si="128"/>
        <v>0</v>
      </c>
      <c r="M2064">
        <f t="shared" si="129"/>
        <v>1</v>
      </c>
      <c r="N2064">
        <f t="shared" si="130"/>
        <v>0</v>
      </c>
      <c r="O2064" t="str">
        <f t="shared" si="131"/>
        <v>Proposta Ok</v>
      </c>
    </row>
    <row r="2065" spans="12:15" x14ac:dyDescent="0.25">
      <c r="L2065">
        <f t="shared" si="128"/>
        <v>0</v>
      </c>
      <c r="M2065">
        <f t="shared" si="129"/>
        <v>1</v>
      </c>
      <c r="N2065">
        <f t="shared" si="130"/>
        <v>0</v>
      </c>
      <c r="O2065" t="str">
        <f t="shared" si="131"/>
        <v>Proposta Ok</v>
      </c>
    </row>
    <row r="2066" spans="12:15" x14ac:dyDescent="0.25">
      <c r="L2066">
        <f t="shared" si="128"/>
        <v>0</v>
      </c>
      <c r="M2066">
        <f t="shared" si="129"/>
        <v>1</v>
      </c>
      <c r="N2066">
        <f t="shared" si="130"/>
        <v>0</v>
      </c>
      <c r="O2066" t="str">
        <f t="shared" si="131"/>
        <v>Proposta Ok</v>
      </c>
    </row>
    <row r="2067" spans="12:15" x14ac:dyDescent="0.25">
      <c r="L2067">
        <f t="shared" si="128"/>
        <v>0</v>
      </c>
      <c r="M2067">
        <f t="shared" si="129"/>
        <v>1</v>
      </c>
      <c r="N2067">
        <f t="shared" si="130"/>
        <v>0</v>
      </c>
      <c r="O2067" t="str">
        <f t="shared" si="131"/>
        <v>Proposta Ok</v>
      </c>
    </row>
    <row r="2068" spans="12:15" x14ac:dyDescent="0.25">
      <c r="L2068">
        <f t="shared" si="128"/>
        <v>0</v>
      </c>
      <c r="M2068">
        <f t="shared" si="129"/>
        <v>1</v>
      </c>
      <c r="N2068">
        <f t="shared" si="130"/>
        <v>0</v>
      </c>
      <c r="O2068" t="str">
        <f t="shared" si="131"/>
        <v>Proposta Ok</v>
      </c>
    </row>
    <row r="2069" spans="12:15" x14ac:dyDescent="0.25">
      <c r="L2069">
        <f t="shared" si="128"/>
        <v>0</v>
      </c>
      <c r="M2069">
        <f t="shared" si="129"/>
        <v>1</v>
      </c>
      <c r="N2069">
        <f t="shared" si="130"/>
        <v>0</v>
      </c>
      <c r="O2069" t="str">
        <f t="shared" si="131"/>
        <v>Proposta Ok</v>
      </c>
    </row>
    <row r="2070" spans="12:15" x14ac:dyDescent="0.25">
      <c r="L2070">
        <f t="shared" si="128"/>
        <v>0</v>
      </c>
      <c r="M2070">
        <f t="shared" si="129"/>
        <v>1</v>
      </c>
      <c r="N2070">
        <f t="shared" si="130"/>
        <v>0</v>
      </c>
      <c r="O2070" t="str">
        <f t="shared" si="131"/>
        <v>Proposta Ok</v>
      </c>
    </row>
    <row r="2071" spans="12:15" x14ac:dyDescent="0.25">
      <c r="L2071">
        <f t="shared" si="128"/>
        <v>0</v>
      </c>
      <c r="M2071">
        <f t="shared" si="129"/>
        <v>1</v>
      </c>
      <c r="N2071">
        <f t="shared" si="130"/>
        <v>0</v>
      </c>
      <c r="O2071" t="str">
        <f t="shared" si="131"/>
        <v>Proposta Ok</v>
      </c>
    </row>
    <row r="2072" spans="12:15" x14ac:dyDescent="0.25">
      <c r="L2072">
        <f t="shared" si="128"/>
        <v>0</v>
      </c>
      <c r="M2072">
        <f t="shared" si="129"/>
        <v>1</v>
      </c>
      <c r="N2072">
        <f t="shared" si="130"/>
        <v>0</v>
      </c>
      <c r="O2072" t="str">
        <f t="shared" si="131"/>
        <v>Proposta Ok</v>
      </c>
    </row>
    <row r="2073" spans="12:15" x14ac:dyDescent="0.25">
      <c r="L2073">
        <f t="shared" si="128"/>
        <v>0</v>
      </c>
      <c r="M2073">
        <f t="shared" si="129"/>
        <v>1</v>
      </c>
      <c r="N2073">
        <f t="shared" si="130"/>
        <v>0</v>
      </c>
      <c r="O2073" t="str">
        <f t="shared" si="131"/>
        <v>Proposta Ok</v>
      </c>
    </row>
    <row r="2074" spans="12:15" x14ac:dyDescent="0.25">
      <c r="L2074">
        <f t="shared" si="128"/>
        <v>0</v>
      </c>
      <c r="M2074">
        <f t="shared" si="129"/>
        <v>1</v>
      </c>
      <c r="N2074">
        <f t="shared" si="130"/>
        <v>0</v>
      </c>
      <c r="O2074" t="str">
        <f t="shared" si="131"/>
        <v>Proposta Ok</v>
      </c>
    </row>
    <row r="2075" spans="12:15" x14ac:dyDescent="0.25">
      <c r="L2075">
        <f t="shared" ref="L2075:L2138" si="132">IF(OR(I2075="Termo OK (Exceção)",I2075="Termo OK"),1,0)</f>
        <v>0</v>
      </c>
      <c r="M2075">
        <f t="shared" ref="M2075:M2138" si="133">IF(OR(I2075="Termo OK (Exceção)",I2075="Termo OK"),0,1)</f>
        <v>1</v>
      </c>
      <c r="N2075">
        <f t="shared" ref="N2075:N2138" si="134">IF(J2075="SIM",1,0)</f>
        <v>0</v>
      </c>
      <c r="O2075" t="str">
        <f t="shared" ref="O2075:O2138" si="135">IF(SUMIFS(M:M,A:A,A2075)&gt;0,"Proposta não Ok","Proposta Ok")</f>
        <v>Proposta Ok</v>
      </c>
    </row>
    <row r="2076" spans="12:15" x14ac:dyDescent="0.25">
      <c r="L2076">
        <f t="shared" si="132"/>
        <v>0</v>
      </c>
      <c r="M2076">
        <f t="shared" si="133"/>
        <v>1</v>
      </c>
      <c r="N2076">
        <f t="shared" si="134"/>
        <v>0</v>
      </c>
      <c r="O2076" t="str">
        <f t="shared" si="135"/>
        <v>Proposta Ok</v>
      </c>
    </row>
    <row r="2077" spans="12:15" x14ac:dyDescent="0.25">
      <c r="L2077">
        <f t="shared" si="132"/>
        <v>0</v>
      </c>
      <c r="M2077">
        <f t="shared" si="133"/>
        <v>1</v>
      </c>
      <c r="N2077">
        <f t="shared" si="134"/>
        <v>0</v>
      </c>
      <c r="O2077" t="str">
        <f t="shared" si="135"/>
        <v>Proposta Ok</v>
      </c>
    </row>
    <row r="2078" spans="12:15" x14ac:dyDescent="0.25">
      <c r="L2078">
        <f t="shared" si="132"/>
        <v>0</v>
      </c>
      <c r="M2078">
        <f t="shared" si="133"/>
        <v>1</v>
      </c>
      <c r="N2078">
        <f t="shared" si="134"/>
        <v>0</v>
      </c>
      <c r="O2078" t="str">
        <f t="shared" si="135"/>
        <v>Proposta Ok</v>
      </c>
    </row>
    <row r="2079" spans="12:15" x14ac:dyDescent="0.25">
      <c r="L2079">
        <f t="shared" si="132"/>
        <v>0</v>
      </c>
      <c r="M2079">
        <f t="shared" si="133"/>
        <v>1</v>
      </c>
      <c r="N2079">
        <f t="shared" si="134"/>
        <v>0</v>
      </c>
      <c r="O2079" t="str">
        <f t="shared" si="135"/>
        <v>Proposta Ok</v>
      </c>
    </row>
    <row r="2080" spans="12:15" x14ac:dyDescent="0.25">
      <c r="L2080">
        <f t="shared" si="132"/>
        <v>0</v>
      </c>
      <c r="M2080">
        <f t="shared" si="133"/>
        <v>1</v>
      </c>
      <c r="N2080">
        <f t="shared" si="134"/>
        <v>0</v>
      </c>
      <c r="O2080" t="str">
        <f t="shared" si="135"/>
        <v>Proposta Ok</v>
      </c>
    </row>
    <row r="2081" spans="12:15" x14ac:dyDescent="0.25">
      <c r="L2081">
        <f t="shared" si="132"/>
        <v>0</v>
      </c>
      <c r="M2081">
        <f t="shared" si="133"/>
        <v>1</v>
      </c>
      <c r="N2081">
        <f t="shared" si="134"/>
        <v>0</v>
      </c>
      <c r="O2081" t="str">
        <f t="shared" si="135"/>
        <v>Proposta Ok</v>
      </c>
    </row>
    <row r="2082" spans="12:15" x14ac:dyDescent="0.25">
      <c r="L2082">
        <f t="shared" si="132"/>
        <v>0</v>
      </c>
      <c r="M2082">
        <f t="shared" si="133"/>
        <v>1</v>
      </c>
      <c r="N2082">
        <f t="shared" si="134"/>
        <v>0</v>
      </c>
      <c r="O2082" t="str">
        <f t="shared" si="135"/>
        <v>Proposta Ok</v>
      </c>
    </row>
    <row r="2083" spans="12:15" x14ac:dyDescent="0.25">
      <c r="L2083">
        <f t="shared" si="132"/>
        <v>0</v>
      </c>
      <c r="M2083">
        <f t="shared" si="133"/>
        <v>1</v>
      </c>
      <c r="N2083">
        <f t="shared" si="134"/>
        <v>0</v>
      </c>
      <c r="O2083" t="str">
        <f t="shared" si="135"/>
        <v>Proposta Ok</v>
      </c>
    </row>
    <row r="2084" spans="12:15" x14ac:dyDescent="0.25">
      <c r="L2084">
        <f t="shared" si="132"/>
        <v>0</v>
      </c>
      <c r="M2084">
        <f t="shared" si="133"/>
        <v>1</v>
      </c>
      <c r="N2084">
        <f t="shared" si="134"/>
        <v>0</v>
      </c>
      <c r="O2084" t="str">
        <f t="shared" si="135"/>
        <v>Proposta Ok</v>
      </c>
    </row>
    <row r="2085" spans="12:15" x14ac:dyDescent="0.25">
      <c r="L2085">
        <f t="shared" si="132"/>
        <v>0</v>
      </c>
      <c r="M2085">
        <f t="shared" si="133"/>
        <v>1</v>
      </c>
      <c r="N2085">
        <f t="shared" si="134"/>
        <v>0</v>
      </c>
      <c r="O2085" t="str">
        <f t="shared" si="135"/>
        <v>Proposta Ok</v>
      </c>
    </row>
    <row r="2086" spans="12:15" x14ac:dyDescent="0.25">
      <c r="L2086">
        <f t="shared" si="132"/>
        <v>0</v>
      </c>
      <c r="M2086">
        <f t="shared" si="133"/>
        <v>1</v>
      </c>
      <c r="N2086">
        <f t="shared" si="134"/>
        <v>0</v>
      </c>
      <c r="O2086" t="str">
        <f t="shared" si="135"/>
        <v>Proposta Ok</v>
      </c>
    </row>
    <row r="2087" spans="12:15" x14ac:dyDescent="0.25">
      <c r="L2087">
        <f t="shared" si="132"/>
        <v>0</v>
      </c>
      <c r="M2087">
        <f t="shared" si="133"/>
        <v>1</v>
      </c>
      <c r="N2087">
        <f t="shared" si="134"/>
        <v>0</v>
      </c>
      <c r="O2087" t="str">
        <f t="shared" si="135"/>
        <v>Proposta Ok</v>
      </c>
    </row>
    <row r="2088" spans="12:15" x14ac:dyDescent="0.25">
      <c r="L2088">
        <f t="shared" si="132"/>
        <v>0</v>
      </c>
      <c r="M2088">
        <f t="shared" si="133"/>
        <v>1</v>
      </c>
      <c r="N2088">
        <f t="shared" si="134"/>
        <v>0</v>
      </c>
      <c r="O2088" t="str">
        <f t="shared" si="135"/>
        <v>Proposta Ok</v>
      </c>
    </row>
    <row r="2089" spans="12:15" x14ac:dyDescent="0.25">
      <c r="L2089">
        <f t="shared" si="132"/>
        <v>0</v>
      </c>
      <c r="M2089">
        <f t="shared" si="133"/>
        <v>1</v>
      </c>
      <c r="N2089">
        <f t="shared" si="134"/>
        <v>0</v>
      </c>
      <c r="O2089" t="str">
        <f t="shared" si="135"/>
        <v>Proposta Ok</v>
      </c>
    </row>
    <row r="2090" spans="12:15" x14ac:dyDescent="0.25">
      <c r="L2090">
        <f t="shared" si="132"/>
        <v>0</v>
      </c>
      <c r="M2090">
        <f t="shared" si="133"/>
        <v>1</v>
      </c>
      <c r="N2090">
        <f t="shared" si="134"/>
        <v>0</v>
      </c>
      <c r="O2090" t="str">
        <f t="shared" si="135"/>
        <v>Proposta Ok</v>
      </c>
    </row>
    <row r="2091" spans="12:15" x14ac:dyDescent="0.25">
      <c r="L2091">
        <f t="shared" si="132"/>
        <v>0</v>
      </c>
      <c r="M2091">
        <f t="shared" si="133"/>
        <v>1</v>
      </c>
      <c r="N2091">
        <f t="shared" si="134"/>
        <v>0</v>
      </c>
      <c r="O2091" t="str">
        <f t="shared" si="135"/>
        <v>Proposta Ok</v>
      </c>
    </row>
    <row r="2092" spans="12:15" x14ac:dyDescent="0.25">
      <c r="L2092">
        <f t="shared" si="132"/>
        <v>0</v>
      </c>
      <c r="M2092">
        <f t="shared" si="133"/>
        <v>1</v>
      </c>
      <c r="N2092">
        <f t="shared" si="134"/>
        <v>0</v>
      </c>
      <c r="O2092" t="str">
        <f t="shared" si="135"/>
        <v>Proposta Ok</v>
      </c>
    </row>
    <row r="2093" spans="12:15" x14ac:dyDescent="0.25">
      <c r="L2093">
        <f t="shared" si="132"/>
        <v>0</v>
      </c>
      <c r="M2093">
        <f t="shared" si="133"/>
        <v>1</v>
      </c>
      <c r="N2093">
        <f t="shared" si="134"/>
        <v>0</v>
      </c>
      <c r="O2093" t="str">
        <f t="shared" si="135"/>
        <v>Proposta Ok</v>
      </c>
    </row>
    <row r="2094" spans="12:15" x14ac:dyDescent="0.25">
      <c r="L2094">
        <f t="shared" si="132"/>
        <v>0</v>
      </c>
      <c r="M2094">
        <f t="shared" si="133"/>
        <v>1</v>
      </c>
      <c r="N2094">
        <f t="shared" si="134"/>
        <v>0</v>
      </c>
      <c r="O2094" t="str">
        <f t="shared" si="135"/>
        <v>Proposta Ok</v>
      </c>
    </row>
    <row r="2095" spans="12:15" x14ac:dyDescent="0.25">
      <c r="L2095">
        <f t="shared" si="132"/>
        <v>0</v>
      </c>
      <c r="M2095">
        <f t="shared" si="133"/>
        <v>1</v>
      </c>
      <c r="N2095">
        <f t="shared" si="134"/>
        <v>0</v>
      </c>
      <c r="O2095" t="str">
        <f t="shared" si="135"/>
        <v>Proposta Ok</v>
      </c>
    </row>
    <row r="2096" spans="12:15" x14ac:dyDescent="0.25">
      <c r="L2096">
        <f t="shared" si="132"/>
        <v>0</v>
      </c>
      <c r="M2096">
        <f t="shared" si="133"/>
        <v>1</v>
      </c>
      <c r="N2096">
        <f t="shared" si="134"/>
        <v>0</v>
      </c>
      <c r="O2096" t="str">
        <f t="shared" si="135"/>
        <v>Proposta Ok</v>
      </c>
    </row>
    <row r="2097" spans="12:15" x14ac:dyDescent="0.25">
      <c r="L2097">
        <f t="shared" si="132"/>
        <v>0</v>
      </c>
      <c r="M2097">
        <f t="shared" si="133"/>
        <v>1</v>
      </c>
      <c r="N2097">
        <f t="shared" si="134"/>
        <v>0</v>
      </c>
      <c r="O2097" t="str">
        <f t="shared" si="135"/>
        <v>Proposta Ok</v>
      </c>
    </row>
    <row r="2098" spans="12:15" x14ac:dyDescent="0.25">
      <c r="L2098">
        <f t="shared" si="132"/>
        <v>0</v>
      </c>
      <c r="M2098">
        <f t="shared" si="133"/>
        <v>1</v>
      </c>
      <c r="N2098">
        <f t="shared" si="134"/>
        <v>0</v>
      </c>
      <c r="O2098" t="str">
        <f t="shared" si="135"/>
        <v>Proposta Ok</v>
      </c>
    </row>
    <row r="2099" spans="12:15" x14ac:dyDescent="0.25">
      <c r="L2099">
        <f t="shared" si="132"/>
        <v>0</v>
      </c>
      <c r="M2099">
        <f t="shared" si="133"/>
        <v>1</v>
      </c>
      <c r="N2099">
        <f t="shared" si="134"/>
        <v>0</v>
      </c>
      <c r="O2099" t="str">
        <f t="shared" si="135"/>
        <v>Proposta Ok</v>
      </c>
    </row>
    <row r="2100" spans="12:15" x14ac:dyDescent="0.25">
      <c r="L2100">
        <f t="shared" si="132"/>
        <v>0</v>
      </c>
      <c r="M2100">
        <f t="shared" si="133"/>
        <v>1</v>
      </c>
      <c r="N2100">
        <f t="shared" si="134"/>
        <v>0</v>
      </c>
      <c r="O2100" t="str">
        <f t="shared" si="135"/>
        <v>Proposta Ok</v>
      </c>
    </row>
    <row r="2101" spans="12:15" x14ac:dyDescent="0.25">
      <c r="L2101">
        <f t="shared" si="132"/>
        <v>0</v>
      </c>
      <c r="M2101">
        <f t="shared" si="133"/>
        <v>1</v>
      </c>
      <c r="N2101">
        <f t="shared" si="134"/>
        <v>0</v>
      </c>
      <c r="O2101" t="str">
        <f t="shared" si="135"/>
        <v>Proposta Ok</v>
      </c>
    </row>
    <row r="2102" spans="12:15" x14ac:dyDescent="0.25">
      <c r="L2102">
        <f t="shared" si="132"/>
        <v>0</v>
      </c>
      <c r="M2102">
        <f t="shared" si="133"/>
        <v>1</v>
      </c>
      <c r="N2102">
        <f t="shared" si="134"/>
        <v>0</v>
      </c>
      <c r="O2102" t="str">
        <f t="shared" si="135"/>
        <v>Proposta Ok</v>
      </c>
    </row>
    <row r="2103" spans="12:15" x14ac:dyDescent="0.25">
      <c r="L2103">
        <f t="shared" si="132"/>
        <v>0</v>
      </c>
      <c r="M2103">
        <f t="shared" si="133"/>
        <v>1</v>
      </c>
      <c r="N2103">
        <f t="shared" si="134"/>
        <v>0</v>
      </c>
      <c r="O2103" t="str">
        <f t="shared" si="135"/>
        <v>Proposta Ok</v>
      </c>
    </row>
    <row r="2104" spans="12:15" x14ac:dyDescent="0.25">
      <c r="L2104">
        <f t="shared" si="132"/>
        <v>0</v>
      </c>
      <c r="M2104">
        <f t="shared" si="133"/>
        <v>1</v>
      </c>
      <c r="N2104">
        <f t="shared" si="134"/>
        <v>0</v>
      </c>
      <c r="O2104" t="str">
        <f t="shared" si="135"/>
        <v>Proposta Ok</v>
      </c>
    </row>
    <row r="2105" spans="12:15" x14ac:dyDescent="0.25">
      <c r="L2105">
        <f t="shared" si="132"/>
        <v>0</v>
      </c>
      <c r="M2105">
        <f t="shared" si="133"/>
        <v>1</v>
      </c>
      <c r="N2105">
        <f t="shared" si="134"/>
        <v>0</v>
      </c>
      <c r="O2105" t="str">
        <f t="shared" si="135"/>
        <v>Proposta Ok</v>
      </c>
    </row>
    <row r="2106" spans="12:15" x14ac:dyDescent="0.25">
      <c r="L2106">
        <f t="shared" si="132"/>
        <v>0</v>
      </c>
      <c r="M2106">
        <f t="shared" si="133"/>
        <v>1</v>
      </c>
      <c r="N2106">
        <f t="shared" si="134"/>
        <v>0</v>
      </c>
      <c r="O2106" t="str">
        <f t="shared" si="135"/>
        <v>Proposta Ok</v>
      </c>
    </row>
    <row r="2107" spans="12:15" x14ac:dyDescent="0.25">
      <c r="L2107">
        <f t="shared" si="132"/>
        <v>0</v>
      </c>
      <c r="M2107">
        <f t="shared" si="133"/>
        <v>1</v>
      </c>
      <c r="N2107">
        <f t="shared" si="134"/>
        <v>0</v>
      </c>
      <c r="O2107" t="str">
        <f t="shared" si="135"/>
        <v>Proposta Ok</v>
      </c>
    </row>
    <row r="2108" spans="12:15" x14ac:dyDescent="0.25">
      <c r="L2108">
        <f t="shared" si="132"/>
        <v>0</v>
      </c>
      <c r="M2108">
        <f t="shared" si="133"/>
        <v>1</v>
      </c>
      <c r="N2108">
        <f t="shared" si="134"/>
        <v>0</v>
      </c>
      <c r="O2108" t="str">
        <f t="shared" si="135"/>
        <v>Proposta Ok</v>
      </c>
    </row>
    <row r="2109" spans="12:15" x14ac:dyDescent="0.25">
      <c r="L2109">
        <f t="shared" si="132"/>
        <v>0</v>
      </c>
      <c r="M2109">
        <f t="shared" si="133"/>
        <v>1</v>
      </c>
      <c r="N2109">
        <f t="shared" si="134"/>
        <v>0</v>
      </c>
      <c r="O2109" t="str">
        <f t="shared" si="135"/>
        <v>Proposta Ok</v>
      </c>
    </row>
    <row r="2110" spans="12:15" x14ac:dyDescent="0.25">
      <c r="L2110">
        <f t="shared" si="132"/>
        <v>0</v>
      </c>
      <c r="M2110">
        <f t="shared" si="133"/>
        <v>1</v>
      </c>
      <c r="N2110">
        <f t="shared" si="134"/>
        <v>0</v>
      </c>
      <c r="O2110" t="str">
        <f t="shared" si="135"/>
        <v>Proposta Ok</v>
      </c>
    </row>
    <row r="2111" spans="12:15" x14ac:dyDescent="0.25">
      <c r="L2111">
        <f t="shared" si="132"/>
        <v>0</v>
      </c>
      <c r="M2111">
        <f t="shared" si="133"/>
        <v>1</v>
      </c>
      <c r="N2111">
        <f t="shared" si="134"/>
        <v>0</v>
      </c>
      <c r="O2111" t="str">
        <f t="shared" si="135"/>
        <v>Proposta Ok</v>
      </c>
    </row>
    <row r="2112" spans="12:15" x14ac:dyDescent="0.25">
      <c r="L2112">
        <f t="shared" si="132"/>
        <v>0</v>
      </c>
      <c r="M2112">
        <f t="shared" si="133"/>
        <v>1</v>
      </c>
      <c r="N2112">
        <f t="shared" si="134"/>
        <v>0</v>
      </c>
      <c r="O2112" t="str">
        <f t="shared" si="135"/>
        <v>Proposta Ok</v>
      </c>
    </row>
    <row r="2113" spans="12:15" x14ac:dyDescent="0.25">
      <c r="L2113">
        <f t="shared" si="132"/>
        <v>0</v>
      </c>
      <c r="M2113">
        <f t="shared" si="133"/>
        <v>1</v>
      </c>
      <c r="N2113">
        <f t="shared" si="134"/>
        <v>0</v>
      </c>
      <c r="O2113" t="str">
        <f t="shared" si="135"/>
        <v>Proposta Ok</v>
      </c>
    </row>
    <row r="2114" spans="12:15" x14ac:dyDescent="0.25">
      <c r="L2114">
        <f t="shared" si="132"/>
        <v>0</v>
      </c>
      <c r="M2114">
        <f t="shared" si="133"/>
        <v>1</v>
      </c>
      <c r="N2114">
        <f t="shared" si="134"/>
        <v>0</v>
      </c>
      <c r="O2114" t="str">
        <f t="shared" si="135"/>
        <v>Proposta Ok</v>
      </c>
    </row>
    <row r="2115" spans="12:15" x14ac:dyDescent="0.25">
      <c r="L2115">
        <f t="shared" si="132"/>
        <v>0</v>
      </c>
      <c r="M2115">
        <f t="shared" si="133"/>
        <v>1</v>
      </c>
      <c r="N2115">
        <f t="shared" si="134"/>
        <v>0</v>
      </c>
      <c r="O2115" t="str">
        <f t="shared" si="135"/>
        <v>Proposta Ok</v>
      </c>
    </row>
    <row r="2116" spans="12:15" x14ac:dyDescent="0.25">
      <c r="L2116">
        <f t="shared" si="132"/>
        <v>0</v>
      </c>
      <c r="M2116">
        <f t="shared" si="133"/>
        <v>1</v>
      </c>
      <c r="N2116">
        <f t="shared" si="134"/>
        <v>0</v>
      </c>
      <c r="O2116" t="str">
        <f t="shared" si="135"/>
        <v>Proposta Ok</v>
      </c>
    </row>
    <row r="2117" spans="12:15" x14ac:dyDescent="0.25">
      <c r="L2117">
        <f t="shared" si="132"/>
        <v>0</v>
      </c>
      <c r="M2117">
        <f t="shared" si="133"/>
        <v>1</v>
      </c>
      <c r="N2117">
        <f t="shared" si="134"/>
        <v>0</v>
      </c>
      <c r="O2117" t="str">
        <f t="shared" si="135"/>
        <v>Proposta Ok</v>
      </c>
    </row>
    <row r="2118" spans="12:15" x14ac:dyDescent="0.25">
      <c r="L2118">
        <f t="shared" si="132"/>
        <v>0</v>
      </c>
      <c r="M2118">
        <f t="shared" si="133"/>
        <v>1</v>
      </c>
      <c r="N2118">
        <f t="shared" si="134"/>
        <v>0</v>
      </c>
      <c r="O2118" t="str">
        <f t="shared" si="135"/>
        <v>Proposta Ok</v>
      </c>
    </row>
    <row r="2119" spans="12:15" x14ac:dyDescent="0.25">
      <c r="L2119">
        <f t="shared" si="132"/>
        <v>0</v>
      </c>
      <c r="M2119">
        <f t="shared" si="133"/>
        <v>1</v>
      </c>
      <c r="N2119">
        <f t="shared" si="134"/>
        <v>0</v>
      </c>
      <c r="O2119" t="str">
        <f t="shared" si="135"/>
        <v>Proposta Ok</v>
      </c>
    </row>
    <row r="2120" spans="12:15" x14ac:dyDescent="0.25">
      <c r="L2120">
        <f t="shared" si="132"/>
        <v>0</v>
      </c>
      <c r="M2120">
        <f t="shared" si="133"/>
        <v>1</v>
      </c>
      <c r="N2120">
        <f t="shared" si="134"/>
        <v>0</v>
      </c>
      <c r="O2120" t="str">
        <f t="shared" si="135"/>
        <v>Proposta Ok</v>
      </c>
    </row>
    <row r="2121" spans="12:15" x14ac:dyDescent="0.25">
      <c r="L2121">
        <f t="shared" si="132"/>
        <v>0</v>
      </c>
      <c r="M2121">
        <f t="shared" si="133"/>
        <v>1</v>
      </c>
      <c r="N2121">
        <f t="shared" si="134"/>
        <v>0</v>
      </c>
      <c r="O2121" t="str">
        <f t="shared" si="135"/>
        <v>Proposta Ok</v>
      </c>
    </row>
    <row r="2122" spans="12:15" x14ac:dyDescent="0.25">
      <c r="L2122">
        <f t="shared" si="132"/>
        <v>0</v>
      </c>
      <c r="M2122">
        <f t="shared" si="133"/>
        <v>1</v>
      </c>
      <c r="N2122">
        <f t="shared" si="134"/>
        <v>0</v>
      </c>
      <c r="O2122" t="str">
        <f t="shared" si="135"/>
        <v>Proposta Ok</v>
      </c>
    </row>
    <row r="2123" spans="12:15" x14ac:dyDescent="0.25">
      <c r="L2123">
        <f t="shared" si="132"/>
        <v>0</v>
      </c>
      <c r="M2123">
        <f t="shared" si="133"/>
        <v>1</v>
      </c>
      <c r="N2123">
        <f t="shared" si="134"/>
        <v>0</v>
      </c>
      <c r="O2123" t="str">
        <f t="shared" si="135"/>
        <v>Proposta Ok</v>
      </c>
    </row>
    <row r="2124" spans="12:15" x14ac:dyDescent="0.25">
      <c r="L2124">
        <f t="shared" si="132"/>
        <v>0</v>
      </c>
      <c r="M2124">
        <f t="shared" si="133"/>
        <v>1</v>
      </c>
      <c r="N2124">
        <f t="shared" si="134"/>
        <v>0</v>
      </c>
      <c r="O2124" t="str">
        <f t="shared" si="135"/>
        <v>Proposta Ok</v>
      </c>
    </row>
    <row r="2125" spans="12:15" x14ac:dyDescent="0.25">
      <c r="L2125">
        <f t="shared" si="132"/>
        <v>0</v>
      </c>
      <c r="M2125">
        <f t="shared" si="133"/>
        <v>1</v>
      </c>
      <c r="N2125">
        <f t="shared" si="134"/>
        <v>0</v>
      </c>
      <c r="O2125" t="str">
        <f t="shared" si="135"/>
        <v>Proposta Ok</v>
      </c>
    </row>
    <row r="2126" spans="12:15" x14ac:dyDescent="0.25">
      <c r="L2126">
        <f t="shared" si="132"/>
        <v>0</v>
      </c>
      <c r="M2126">
        <f t="shared" si="133"/>
        <v>1</v>
      </c>
      <c r="N2126">
        <f t="shared" si="134"/>
        <v>0</v>
      </c>
      <c r="O2126" t="str">
        <f t="shared" si="135"/>
        <v>Proposta Ok</v>
      </c>
    </row>
    <row r="2127" spans="12:15" x14ac:dyDescent="0.25">
      <c r="L2127">
        <f t="shared" si="132"/>
        <v>0</v>
      </c>
      <c r="M2127">
        <f t="shared" si="133"/>
        <v>1</v>
      </c>
      <c r="N2127">
        <f t="shared" si="134"/>
        <v>0</v>
      </c>
      <c r="O2127" t="str">
        <f t="shared" si="135"/>
        <v>Proposta Ok</v>
      </c>
    </row>
    <row r="2128" spans="12:15" x14ac:dyDescent="0.25">
      <c r="L2128">
        <f t="shared" si="132"/>
        <v>0</v>
      </c>
      <c r="M2128">
        <f t="shared" si="133"/>
        <v>1</v>
      </c>
      <c r="N2128">
        <f t="shared" si="134"/>
        <v>0</v>
      </c>
      <c r="O2128" t="str">
        <f t="shared" si="135"/>
        <v>Proposta Ok</v>
      </c>
    </row>
    <row r="2129" spans="12:15" x14ac:dyDescent="0.25">
      <c r="L2129">
        <f t="shared" si="132"/>
        <v>0</v>
      </c>
      <c r="M2129">
        <f t="shared" si="133"/>
        <v>1</v>
      </c>
      <c r="N2129">
        <f t="shared" si="134"/>
        <v>0</v>
      </c>
      <c r="O2129" t="str">
        <f t="shared" si="135"/>
        <v>Proposta Ok</v>
      </c>
    </row>
    <row r="2130" spans="12:15" x14ac:dyDescent="0.25">
      <c r="L2130">
        <f t="shared" si="132"/>
        <v>0</v>
      </c>
      <c r="M2130">
        <f t="shared" si="133"/>
        <v>1</v>
      </c>
      <c r="N2130">
        <f t="shared" si="134"/>
        <v>0</v>
      </c>
      <c r="O2130" t="str">
        <f t="shared" si="135"/>
        <v>Proposta Ok</v>
      </c>
    </row>
    <row r="2131" spans="12:15" x14ac:dyDescent="0.25">
      <c r="L2131">
        <f t="shared" si="132"/>
        <v>0</v>
      </c>
      <c r="M2131">
        <f t="shared" si="133"/>
        <v>1</v>
      </c>
      <c r="N2131">
        <f t="shared" si="134"/>
        <v>0</v>
      </c>
      <c r="O2131" t="str">
        <f t="shared" si="135"/>
        <v>Proposta Ok</v>
      </c>
    </row>
    <row r="2132" spans="12:15" x14ac:dyDescent="0.25">
      <c r="L2132">
        <f t="shared" si="132"/>
        <v>0</v>
      </c>
      <c r="M2132">
        <f t="shared" si="133"/>
        <v>1</v>
      </c>
      <c r="N2132">
        <f t="shared" si="134"/>
        <v>0</v>
      </c>
      <c r="O2132" t="str">
        <f t="shared" si="135"/>
        <v>Proposta Ok</v>
      </c>
    </row>
    <row r="2133" spans="12:15" x14ac:dyDescent="0.25">
      <c r="L2133">
        <f t="shared" si="132"/>
        <v>0</v>
      </c>
      <c r="M2133">
        <f t="shared" si="133"/>
        <v>1</v>
      </c>
      <c r="N2133">
        <f t="shared" si="134"/>
        <v>0</v>
      </c>
      <c r="O2133" t="str">
        <f t="shared" si="135"/>
        <v>Proposta Ok</v>
      </c>
    </row>
    <row r="2134" spans="12:15" x14ac:dyDescent="0.25">
      <c r="L2134">
        <f t="shared" si="132"/>
        <v>0</v>
      </c>
      <c r="M2134">
        <f t="shared" si="133"/>
        <v>1</v>
      </c>
      <c r="N2134">
        <f t="shared" si="134"/>
        <v>0</v>
      </c>
      <c r="O2134" t="str">
        <f t="shared" si="135"/>
        <v>Proposta Ok</v>
      </c>
    </row>
    <row r="2135" spans="12:15" x14ac:dyDescent="0.25">
      <c r="L2135">
        <f t="shared" si="132"/>
        <v>0</v>
      </c>
      <c r="M2135">
        <f t="shared" si="133"/>
        <v>1</v>
      </c>
      <c r="N2135">
        <f t="shared" si="134"/>
        <v>0</v>
      </c>
      <c r="O2135" t="str">
        <f t="shared" si="135"/>
        <v>Proposta Ok</v>
      </c>
    </row>
    <row r="2136" spans="12:15" x14ac:dyDescent="0.25">
      <c r="L2136">
        <f t="shared" si="132"/>
        <v>0</v>
      </c>
      <c r="M2136">
        <f t="shared" si="133"/>
        <v>1</v>
      </c>
      <c r="N2136">
        <f t="shared" si="134"/>
        <v>0</v>
      </c>
      <c r="O2136" t="str">
        <f t="shared" si="135"/>
        <v>Proposta Ok</v>
      </c>
    </row>
    <row r="2137" spans="12:15" x14ac:dyDescent="0.25">
      <c r="L2137">
        <f t="shared" si="132"/>
        <v>0</v>
      </c>
      <c r="M2137">
        <f t="shared" si="133"/>
        <v>1</v>
      </c>
      <c r="N2137">
        <f t="shared" si="134"/>
        <v>0</v>
      </c>
      <c r="O2137" t="str">
        <f t="shared" si="135"/>
        <v>Proposta Ok</v>
      </c>
    </row>
    <row r="2138" spans="12:15" x14ac:dyDescent="0.25">
      <c r="L2138">
        <f t="shared" si="132"/>
        <v>0</v>
      </c>
      <c r="M2138">
        <f t="shared" si="133"/>
        <v>1</v>
      </c>
      <c r="N2138">
        <f t="shared" si="134"/>
        <v>0</v>
      </c>
      <c r="O2138" t="str">
        <f t="shared" si="135"/>
        <v>Proposta Ok</v>
      </c>
    </row>
    <row r="2139" spans="12:15" x14ac:dyDescent="0.25">
      <c r="L2139">
        <f t="shared" ref="L2139:L2202" si="136">IF(OR(I2139="Termo OK (Exceção)",I2139="Termo OK"),1,0)</f>
        <v>0</v>
      </c>
      <c r="M2139">
        <f t="shared" ref="M2139:M2202" si="137">IF(OR(I2139="Termo OK (Exceção)",I2139="Termo OK"),0,1)</f>
        <v>1</v>
      </c>
      <c r="N2139">
        <f t="shared" ref="N2139:N2202" si="138">IF(J2139="SIM",1,0)</f>
        <v>0</v>
      </c>
      <c r="O2139" t="str">
        <f t="shared" ref="O2139:O2202" si="139">IF(SUMIFS(M:M,A:A,A2139)&gt;0,"Proposta não Ok","Proposta Ok")</f>
        <v>Proposta Ok</v>
      </c>
    </row>
    <row r="2140" spans="12:15" x14ac:dyDescent="0.25">
      <c r="L2140">
        <f t="shared" si="136"/>
        <v>0</v>
      </c>
      <c r="M2140">
        <f t="shared" si="137"/>
        <v>1</v>
      </c>
      <c r="N2140">
        <f t="shared" si="138"/>
        <v>0</v>
      </c>
      <c r="O2140" t="str">
        <f t="shared" si="139"/>
        <v>Proposta Ok</v>
      </c>
    </row>
    <row r="2141" spans="12:15" x14ac:dyDescent="0.25">
      <c r="L2141">
        <f t="shared" si="136"/>
        <v>0</v>
      </c>
      <c r="M2141">
        <f t="shared" si="137"/>
        <v>1</v>
      </c>
      <c r="N2141">
        <f t="shared" si="138"/>
        <v>0</v>
      </c>
      <c r="O2141" t="str">
        <f t="shared" si="139"/>
        <v>Proposta Ok</v>
      </c>
    </row>
    <row r="2142" spans="12:15" x14ac:dyDescent="0.25">
      <c r="L2142">
        <f t="shared" si="136"/>
        <v>0</v>
      </c>
      <c r="M2142">
        <f t="shared" si="137"/>
        <v>1</v>
      </c>
      <c r="N2142">
        <f t="shared" si="138"/>
        <v>0</v>
      </c>
      <c r="O2142" t="str">
        <f t="shared" si="139"/>
        <v>Proposta Ok</v>
      </c>
    </row>
    <row r="2143" spans="12:15" x14ac:dyDescent="0.25">
      <c r="L2143">
        <f t="shared" si="136"/>
        <v>0</v>
      </c>
      <c r="M2143">
        <f t="shared" si="137"/>
        <v>1</v>
      </c>
      <c r="N2143">
        <f t="shared" si="138"/>
        <v>0</v>
      </c>
      <c r="O2143" t="str">
        <f t="shared" si="139"/>
        <v>Proposta Ok</v>
      </c>
    </row>
    <row r="2144" spans="12:15" x14ac:dyDescent="0.25">
      <c r="L2144">
        <f t="shared" si="136"/>
        <v>0</v>
      </c>
      <c r="M2144">
        <f t="shared" si="137"/>
        <v>1</v>
      </c>
      <c r="N2144">
        <f t="shared" si="138"/>
        <v>0</v>
      </c>
      <c r="O2144" t="str">
        <f t="shared" si="139"/>
        <v>Proposta Ok</v>
      </c>
    </row>
    <row r="2145" spans="12:15" x14ac:dyDescent="0.25">
      <c r="L2145">
        <f t="shared" si="136"/>
        <v>0</v>
      </c>
      <c r="M2145">
        <f t="shared" si="137"/>
        <v>1</v>
      </c>
      <c r="N2145">
        <f t="shared" si="138"/>
        <v>0</v>
      </c>
      <c r="O2145" t="str">
        <f t="shared" si="139"/>
        <v>Proposta Ok</v>
      </c>
    </row>
    <row r="2146" spans="12:15" x14ac:dyDescent="0.25">
      <c r="L2146">
        <f t="shared" si="136"/>
        <v>0</v>
      </c>
      <c r="M2146">
        <f t="shared" si="137"/>
        <v>1</v>
      </c>
      <c r="N2146">
        <f t="shared" si="138"/>
        <v>0</v>
      </c>
      <c r="O2146" t="str">
        <f t="shared" si="139"/>
        <v>Proposta Ok</v>
      </c>
    </row>
    <row r="2147" spans="12:15" x14ac:dyDescent="0.25">
      <c r="L2147">
        <f t="shared" si="136"/>
        <v>0</v>
      </c>
      <c r="M2147">
        <f t="shared" si="137"/>
        <v>1</v>
      </c>
      <c r="N2147">
        <f t="shared" si="138"/>
        <v>0</v>
      </c>
      <c r="O2147" t="str">
        <f t="shared" si="139"/>
        <v>Proposta Ok</v>
      </c>
    </row>
    <row r="2148" spans="12:15" x14ac:dyDescent="0.25">
      <c r="L2148">
        <f t="shared" si="136"/>
        <v>0</v>
      </c>
      <c r="M2148">
        <f t="shared" si="137"/>
        <v>1</v>
      </c>
      <c r="N2148">
        <f t="shared" si="138"/>
        <v>0</v>
      </c>
      <c r="O2148" t="str">
        <f t="shared" si="139"/>
        <v>Proposta Ok</v>
      </c>
    </row>
    <row r="2149" spans="12:15" x14ac:dyDescent="0.25">
      <c r="L2149">
        <f t="shared" si="136"/>
        <v>0</v>
      </c>
      <c r="M2149">
        <f t="shared" si="137"/>
        <v>1</v>
      </c>
      <c r="N2149">
        <f t="shared" si="138"/>
        <v>0</v>
      </c>
      <c r="O2149" t="str">
        <f t="shared" si="139"/>
        <v>Proposta Ok</v>
      </c>
    </row>
    <row r="2150" spans="12:15" x14ac:dyDescent="0.25">
      <c r="L2150">
        <f t="shared" si="136"/>
        <v>0</v>
      </c>
      <c r="M2150">
        <f t="shared" si="137"/>
        <v>1</v>
      </c>
      <c r="N2150">
        <f t="shared" si="138"/>
        <v>0</v>
      </c>
      <c r="O2150" t="str">
        <f t="shared" si="139"/>
        <v>Proposta Ok</v>
      </c>
    </row>
    <row r="2151" spans="12:15" x14ac:dyDescent="0.25">
      <c r="L2151">
        <f t="shared" si="136"/>
        <v>0</v>
      </c>
      <c r="M2151">
        <f t="shared" si="137"/>
        <v>1</v>
      </c>
      <c r="N2151">
        <f t="shared" si="138"/>
        <v>0</v>
      </c>
      <c r="O2151" t="str">
        <f t="shared" si="139"/>
        <v>Proposta Ok</v>
      </c>
    </row>
    <row r="2152" spans="12:15" x14ac:dyDescent="0.25">
      <c r="L2152">
        <f t="shared" si="136"/>
        <v>0</v>
      </c>
      <c r="M2152">
        <f t="shared" si="137"/>
        <v>1</v>
      </c>
      <c r="N2152">
        <f t="shared" si="138"/>
        <v>0</v>
      </c>
      <c r="O2152" t="str">
        <f t="shared" si="139"/>
        <v>Proposta Ok</v>
      </c>
    </row>
    <row r="2153" spans="12:15" x14ac:dyDescent="0.25">
      <c r="L2153">
        <f t="shared" si="136"/>
        <v>0</v>
      </c>
      <c r="M2153">
        <f t="shared" si="137"/>
        <v>1</v>
      </c>
      <c r="N2153">
        <f t="shared" si="138"/>
        <v>0</v>
      </c>
      <c r="O2153" t="str">
        <f t="shared" si="139"/>
        <v>Proposta Ok</v>
      </c>
    </row>
    <row r="2154" spans="12:15" x14ac:dyDescent="0.25">
      <c r="L2154">
        <f t="shared" si="136"/>
        <v>0</v>
      </c>
      <c r="M2154">
        <f t="shared" si="137"/>
        <v>1</v>
      </c>
      <c r="N2154">
        <f t="shared" si="138"/>
        <v>0</v>
      </c>
      <c r="O2154" t="str">
        <f t="shared" si="139"/>
        <v>Proposta Ok</v>
      </c>
    </row>
    <row r="2155" spans="12:15" x14ac:dyDescent="0.25">
      <c r="L2155">
        <f t="shared" si="136"/>
        <v>0</v>
      </c>
      <c r="M2155">
        <f t="shared" si="137"/>
        <v>1</v>
      </c>
      <c r="N2155">
        <f t="shared" si="138"/>
        <v>0</v>
      </c>
      <c r="O2155" t="str">
        <f t="shared" si="139"/>
        <v>Proposta Ok</v>
      </c>
    </row>
    <row r="2156" spans="12:15" x14ac:dyDescent="0.25">
      <c r="L2156">
        <f t="shared" si="136"/>
        <v>0</v>
      </c>
      <c r="M2156">
        <f t="shared" si="137"/>
        <v>1</v>
      </c>
      <c r="N2156">
        <f t="shared" si="138"/>
        <v>0</v>
      </c>
      <c r="O2156" t="str">
        <f t="shared" si="139"/>
        <v>Proposta Ok</v>
      </c>
    </row>
    <row r="2157" spans="12:15" x14ac:dyDescent="0.25">
      <c r="L2157">
        <f t="shared" si="136"/>
        <v>0</v>
      </c>
      <c r="M2157">
        <f t="shared" si="137"/>
        <v>1</v>
      </c>
      <c r="N2157">
        <f t="shared" si="138"/>
        <v>0</v>
      </c>
      <c r="O2157" t="str">
        <f t="shared" si="139"/>
        <v>Proposta Ok</v>
      </c>
    </row>
    <row r="2158" spans="12:15" x14ac:dyDescent="0.25">
      <c r="L2158">
        <f t="shared" si="136"/>
        <v>0</v>
      </c>
      <c r="M2158">
        <f t="shared" si="137"/>
        <v>1</v>
      </c>
      <c r="N2158">
        <f t="shared" si="138"/>
        <v>0</v>
      </c>
      <c r="O2158" t="str">
        <f t="shared" si="139"/>
        <v>Proposta Ok</v>
      </c>
    </row>
    <row r="2159" spans="12:15" x14ac:dyDescent="0.25">
      <c r="L2159">
        <f t="shared" si="136"/>
        <v>0</v>
      </c>
      <c r="M2159">
        <f t="shared" si="137"/>
        <v>1</v>
      </c>
      <c r="N2159">
        <f t="shared" si="138"/>
        <v>0</v>
      </c>
      <c r="O2159" t="str">
        <f t="shared" si="139"/>
        <v>Proposta Ok</v>
      </c>
    </row>
    <row r="2160" spans="12:15" x14ac:dyDescent="0.25">
      <c r="L2160">
        <f t="shared" si="136"/>
        <v>0</v>
      </c>
      <c r="M2160">
        <f t="shared" si="137"/>
        <v>1</v>
      </c>
      <c r="N2160">
        <f t="shared" si="138"/>
        <v>0</v>
      </c>
      <c r="O2160" t="str">
        <f t="shared" si="139"/>
        <v>Proposta Ok</v>
      </c>
    </row>
    <row r="2161" spans="12:15" x14ac:dyDescent="0.25">
      <c r="L2161">
        <f t="shared" si="136"/>
        <v>0</v>
      </c>
      <c r="M2161">
        <f t="shared" si="137"/>
        <v>1</v>
      </c>
      <c r="N2161">
        <f t="shared" si="138"/>
        <v>0</v>
      </c>
      <c r="O2161" t="str">
        <f t="shared" si="139"/>
        <v>Proposta Ok</v>
      </c>
    </row>
    <row r="2162" spans="12:15" x14ac:dyDescent="0.25">
      <c r="L2162">
        <f t="shared" si="136"/>
        <v>0</v>
      </c>
      <c r="M2162">
        <f t="shared" si="137"/>
        <v>1</v>
      </c>
      <c r="N2162">
        <f t="shared" si="138"/>
        <v>0</v>
      </c>
      <c r="O2162" t="str">
        <f t="shared" si="139"/>
        <v>Proposta Ok</v>
      </c>
    </row>
    <row r="2163" spans="12:15" x14ac:dyDescent="0.25">
      <c r="L2163">
        <f t="shared" si="136"/>
        <v>0</v>
      </c>
      <c r="M2163">
        <f t="shared" si="137"/>
        <v>1</v>
      </c>
      <c r="N2163">
        <f t="shared" si="138"/>
        <v>0</v>
      </c>
      <c r="O2163" t="str">
        <f t="shared" si="139"/>
        <v>Proposta Ok</v>
      </c>
    </row>
    <row r="2164" spans="12:15" x14ac:dyDescent="0.25">
      <c r="L2164">
        <f t="shared" si="136"/>
        <v>0</v>
      </c>
      <c r="M2164">
        <f t="shared" si="137"/>
        <v>1</v>
      </c>
      <c r="N2164">
        <f t="shared" si="138"/>
        <v>0</v>
      </c>
      <c r="O2164" t="str">
        <f t="shared" si="139"/>
        <v>Proposta Ok</v>
      </c>
    </row>
    <row r="2165" spans="12:15" x14ac:dyDescent="0.25">
      <c r="L2165">
        <f t="shared" si="136"/>
        <v>0</v>
      </c>
      <c r="M2165">
        <f t="shared" si="137"/>
        <v>1</v>
      </c>
      <c r="N2165">
        <f t="shared" si="138"/>
        <v>0</v>
      </c>
      <c r="O2165" t="str">
        <f t="shared" si="139"/>
        <v>Proposta Ok</v>
      </c>
    </row>
    <row r="2166" spans="12:15" x14ac:dyDescent="0.25">
      <c r="L2166">
        <f t="shared" si="136"/>
        <v>0</v>
      </c>
      <c r="M2166">
        <f t="shared" si="137"/>
        <v>1</v>
      </c>
      <c r="N2166">
        <f t="shared" si="138"/>
        <v>0</v>
      </c>
      <c r="O2166" t="str">
        <f t="shared" si="139"/>
        <v>Proposta Ok</v>
      </c>
    </row>
    <row r="2167" spans="12:15" x14ac:dyDescent="0.25">
      <c r="L2167">
        <f t="shared" si="136"/>
        <v>0</v>
      </c>
      <c r="M2167">
        <f t="shared" si="137"/>
        <v>1</v>
      </c>
      <c r="N2167">
        <f t="shared" si="138"/>
        <v>0</v>
      </c>
      <c r="O2167" t="str">
        <f t="shared" si="139"/>
        <v>Proposta Ok</v>
      </c>
    </row>
    <row r="2168" spans="12:15" x14ac:dyDescent="0.25">
      <c r="L2168">
        <f t="shared" si="136"/>
        <v>0</v>
      </c>
      <c r="M2168">
        <f t="shared" si="137"/>
        <v>1</v>
      </c>
      <c r="N2168">
        <f t="shared" si="138"/>
        <v>0</v>
      </c>
      <c r="O2168" t="str">
        <f t="shared" si="139"/>
        <v>Proposta Ok</v>
      </c>
    </row>
    <row r="2169" spans="12:15" x14ac:dyDescent="0.25">
      <c r="L2169">
        <f t="shared" si="136"/>
        <v>0</v>
      </c>
      <c r="M2169">
        <f t="shared" si="137"/>
        <v>1</v>
      </c>
      <c r="N2169">
        <f t="shared" si="138"/>
        <v>0</v>
      </c>
      <c r="O2169" t="str">
        <f t="shared" si="139"/>
        <v>Proposta Ok</v>
      </c>
    </row>
    <row r="2170" spans="12:15" x14ac:dyDescent="0.25">
      <c r="L2170">
        <f t="shared" si="136"/>
        <v>0</v>
      </c>
      <c r="M2170">
        <f t="shared" si="137"/>
        <v>1</v>
      </c>
      <c r="N2170">
        <f t="shared" si="138"/>
        <v>0</v>
      </c>
      <c r="O2170" t="str">
        <f t="shared" si="139"/>
        <v>Proposta Ok</v>
      </c>
    </row>
    <row r="2171" spans="12:15" x14ac:dyDescent="0.25">
      <c r="L2171">
        <f t="shared" si="136"/>
        <v>0</v>
      </c>
      <c r="M2171">
        <f t="shared" si="137"/>
        <v>1</v>
      </c>
      <c r="N2171">
        <f t="shared" si="138"/>
        <v>0</v>
      </c>
      <c r="O2171" t="str">
        <f t="shared" si="139"/>
        <v>Proposta Ok</v>
      </c>
    </row>
    <row r="2172" spans="12:15" x14ac:dyDescent="0.25">
      <c r="L2172">
        <f t="shared" si="136"/>
        <v>0</v>
      </c>
      <c r="M2172">
        <f t="shared" si="137"/>
        <v>1</v>
      </c>
      <c r="N2172">
        <f t="shared" si="138"/>
        <v>0</v>
      </c>
      <c r="O2172" t="str">
        <f t="shared" si="139"/>
        <v>Proposta Ok</v>
      </c>
    </row>
    <row r="2173" spans="12:15" x14ac:dyDescent="0.25">
      <c r="L2173">
        <f t="shared" si="136"/>
        <v>0</v>
      </c>
      <c r="M2173">
        <f t="shared" si="137"/>
        <v>1</v>
      </c>
      <c r="N2173">
        <f t="shared" si="138"/>
        <v>0</v>
      </c>
      <c r="O2173" t="str">
        <f t="shared" si="139"/>
        <v>Proposta Ok</v>
      </c>
    </row>
    <row r="2174" spans="12:15" x14ac:dyDescent="0.25">
      <c r="L2174">
        <f t="shared" si="136"/>
        <v>0</v>
      </c>
      <c r="M2174">
        <f t="shared" si="137"/>
        <v>1</v>
      </c>
      <c r="N2174">
        <f t="shared" si="138"/>
        <v>0</v>
      </c>
      <c r="O2174" t="str">
        <f t="shared" si="139"/>
        <v>Proposta Ok</v>
      </c>
    </row>
    <row r="2175" spans="12:15" x14ac:dyDescent="0.25">
      <c r="L2175">
        <f t="shared" si="136"/>
        <v>0</v>
      </c>
      <c r="M2175">
        <f t="shared" si="137"/>
        <v>1</v>
      </c>
      <c r="N2175">
        <f t="shared" si="138"/>
        <v>0</v>
      </c>
      <c r="O2175" t="str">
        <f t="shared" si="139"/>
        <v>Proposta Ok</v>
      </c>
    </row>
    <row r="2176" spans="12:15" x14ac:dyDescent="0.25">
      <c r="L2176">
        <f t="shared" si="136"/>
        <v>0</v>
      </c>
      <c r="M2176">
        <f t="shared" si="137"/>
        <v>1</v>
      </c>
      <c r="N2176">
        <f t="shared" si="138"/>
        <v>0</v>
      </c>
      <c r="O2176" t="str">
        <f t="shared" si="139"/>
        <v>Proposta Ok</v>
      </c>
    </row>
    <row r="2177" spans="12:15" x14ac:dyDescent="0.25">
      <c r="L2177">
        <f t="shared" si="136"/>
        <v>0</v>
      </c>
      <c r="M2177">
        <f t="shared" si="137"/>
        <v>1</v>
      </c>
      <c r="N2177">
        <f t="shared" si="138"/>
        <v>0</v>
      </c>
      <c r="O2177" t="str">
        <f t="shared" si="139"/>
        <v>Proposta Ok</v>
      </c>
    </row>
    <row r="2178" spans="12:15" x14ac:dyDescent="0.25">
      <c r="L2178">
        <f t="shared" si="136"/>
        <v>0</v>
      </c>
      <c r="M2178">
        <f t="shared" si="137"/>
        <v>1</v>
      </c>
      <c r="N2178">
        <f t="shared" si="138"/>
        <v>0</v>
      </c>
      <c r="O2178" t="str">
        <f t="shared" si="139"/>
        <v>Proposta Ok</v>
      </c>
    </row>
    <row r="2179" spans="12:15" x14ac:dyDescent="0.25">
      <c r="L2179">
        <f t="shared" si="136"/>
        <v>0</v>
      </c>
      <c r="M2179">
        <f t="shared" si="137"/>
        <v>1</v>
      </c>
      <c r="N2179">
        <f t="shared" si="138"/>
        <v>0</v>
      </c>
      <c r="O2179" t="str">
        <f t="shared" si="139"/>
        <v>Proposta Ok</v>
      </c>
    </row>
    <row r="2180" spans="12:15" x14ac:dyDescent="0.25">
      <c r="L2180">
        <f t="shared" si="136"/>
        <v>0</v>
      </c>
      <c r="M2180">
        <f t="shared" si="137"/>
        <v>1</v>
      </c>
      <c r="N2180">
        <f t="shared" si="138"/>
        <v>0</v>
      </c>
      <c r="O2180" t="str">
        <f t="shared" si="139"/>
        <v>Proposta Ok</v>
      </c>
    </row>
    <row r="2181" spans="12:15" x14ac:dyDescent="0.25">
      <c r="L2181">
        <f t="shared" si="136"/>
        <v>0</v>
      </c>
      <c r="M2181">
        <f t="shared" si="137"/>
        <v>1</v>
      </c>
      <c r="N2181">
        <f t="shared" si="138"/>
        <v>0</v>
      </c>
      <c r="O2181" t="str">
        <f t="shared" si="139"/>
        <v>Proposta Ok</v>
      </c>
    </row>
    <row r="2182" spans="12:15" x14ac:dyDescent="0.25">
      <c r="L2182">
        <f t="shared" si="136"/>
        <v>0</v>
      </c>
      <c r="M2182">
        <f t="shared" si="137"/>
        <v>1</v>
      </c>
      <c r="N2182">
        <f t="shared" si="138"/>
        <v>0</v>
      </c>
      <c r="O2182" t="str">
        <f t="shared" si="139"/>
        <v>Proposta Ok</v>
      </c>
    </row>
    <row r="2183" spans="12:15" x14ac:dyDescent="0.25">
      <c r="L2183">
        <f t="shared" si="136"/>
        <v>0</v>
      </c>
      <c r="M2183">
        <f t="shared" si="137"/>
        <v>1</v>
      </c>
      <c r="N2183">
        <f t="shared" si="138"/>
        <v>0</v>
      </c>
      <c r="O2183" t="str">
        <f t="shared" si="139"/>
        <v>Proposta Ok</v>
      </c>
    </row>
    <row r="2184" spans="12:15" x14ac:dyDescent="0.25">
      <c r="L2184">
        <f t="shared" si="136"/>
        <v>0</v>
      </c>
      <c r="M2184">
        <f t="shared" si="137"/>
        <v>1</v>
      </c>
      <c r="N2184">
        <f t="shared" si="138"/>
        <v>0</v>
      </c>
      <c r="O2184" t="str">
        <f t="shared" si="139"/>
        <v>Proposta Ok</v>
      </c>
    </row>
    <row r="2185" spans="12:15" x14ac:dyDescent="0.25">
      <c r="L2185">
        <f t="shared" si="136"/>
        <v>0</v>
      </c>
      <c r="M2185">
        <f t="shared" si="137"/>
        <v>1</v>
      </c>
      <c r="N2185">
        <f t="shared" si="138"/>
        <v>0</v>
      </c>
      <c r="O2185" t="str">
        <f t="shared" si="139"/>
        <v>Proposta Ok</v>
      </c>
    </row>
    <row r="2186" spans="12:15" x14ac:dyDescent="0.25">
      <c r="L2186">
        <f t="shared" si="136"/>
        <v>0</v>
      </c>
      <c r="M2186">
        <f t="shared" si="137"/>
        <v>1</v>
      </c>
      <c r="N2186">
        <f t="shared" si="138"/>
        <v>0</v>
      </c>
      <c r="O2186" t="str">
        <f t="shared" si="139"/>
        <v>Proposta Ok</v>
      </c>
    </row>
    <row r="2187" spans="12:15" x14ac:dyDescent="0.25">
      <c r="L2187">
        <f t="shared" si="136"/>
        <v>0</v>
      </c>
      <c r="M2187">
        <f t="shared" si="137"/>
        <v>1</v>
      </c>
      <c r="N2187">
        <f t="shared" si="138"/>
        <v>0</v>
      </c>
      <c r="O2187" t="str">
        <f t="shared" si="139"/>
        <v>Proposta Ok</v>
      </c>
    </row>
    <row r="2188" spans="12:15" x14ac:dyDescent="0.25">
      <c r="L2188">
        <f t="shared" si="136"/>
        <v>0</v>
      </c>
      <c r="M2188">
        <f t="shared" si="137"/>
        <v>1</v>
      </c>
      <c r="N2188">
        <f t="shared" si="138"/>
        <v>0</v>
      </c>
      <c r="O2188" t="str">
        <f t="shared" si="139"/>
        <v>Proposta Ok</v>
      </c>
    </row>
    <row r="2189" spans="12:15" x14ac:dyDescent="0.25">
      <c r="L2189">
        <f t="shared" si="136"/>
        <v>0</v>
      </c>
      <c r="M2189">
        <f t="shared" si="137"/>
        <v>1</v>
      </c>
      <c r="N2189">
        <f t="shared" si="138"/>
        <v>0</v>
      </c>
      <c r="O2189" t="str">
        <f t="shared" si="139"/>
        <v>Proposta Ok</v>
      </c>
    </row>
    <row r="2190" spans="12:15" x14ac:dyDescent="0.25">
      <c r="L2190">
        <f t="shared" si="136"/>
        <v>0</v>
      </c>
      <c r="M2190">
        <f t="shared" si="137"/>
        <v>1</v>
      </c>
      <c r="N2190">
        <f t="shared" si="138"/>
        <v>0</v>
      </c>
      <c r="O2190" t="str">
        <f t="shared" si="139"/>
        <v>Proposta Ok</v>
      </c>
    </row>
    <row r="2191" spans="12:15" x14ac:dyDescent="0.25">
      <c r="L2191">
        <f t="shared" si="136"/>
        <v>0</v>
      </c>
      <c r="M2191">
        <f t="shared" si="137"/>
        <v>1</v>
      </c>
      <c r="N2191">
        <f t="shared" si="138"/>
        <v>0</v>
      </c>
      <c r="O2191" t="str">
        <f t="shared" si="139"/>
        <v>Proposta Ok</v>
      </c>
    </row>
    <row r="2192" spans="12:15" x14ac:dyDescent="0.25">
      <c r="L2192">
        <f t="shared" si="136"/>
        <v>0</v>
      </c>
      <c r="M2192">
        <f t="shared" si="137"/>
        <v>1</v>
      </c>
      <c r="N2192">
        <f t="shared" si="138"/>
        <v>0</v>
      </c>
      <c r="O2192" t="str">
        <f t="shared" si="139"/>
        <v>Proposta Ok</v>
      </c>
    </row>
    <row r="2193" spans="12:15" x14ac:dyDescent="0.25">
      <c r="L2193">
        <f t="shared" si="136"/>
        <v>0</v>
      </c>
      <c r="M2193">
        <f t="shared" si="137"/>
        <v>1</v>
      </c>
      <c r="N2193">
        <f t="shared" si="138"/>
        <v>0</v>
      </c>
      <c r="O2193" t="str">
        <f t="shared" si="139"/>
        <v>Proposta Ok</v>
      </c>
    </row>
    <row r="2194" spans="12:15" x14ac:dyDescent="0.25">
      <c r="L2194">
        <f t="shared" si="136"/>
        <v>0</v>
      </c>
      <c r="M2194">
        <f t="shared" si="137"/>
        <v>1</v>
      </c>
      <c r="N2194">
        <f t="shared" si="138"/>
        <v>0</v>
      </c>
      <c r="O2194" t="str">
        <f t="shared" si="139"/>
        <v>Proposta Ok</v>
      </c>
    </row>
    <row r="2195" spans="12:15" x14ac:dyDescent="0.25">
      <c r="L2195">
        <f t="shared" si="136"/>
        <v>0</v>
      </c>
      <c r="M2195">
        <f t="shared" si="137"/>
        <v>1</v>
      </c>
      <c r="N2195">
        <f t="shared" si="138"/>
        <v>0</v>
      </c>
      <c r="O2195" t="str">
        <f t="shared" si="139"/>
        <v>Proposta Ok</v>
      </c>
    </row>
    <row r="2196" spans="12:15" x14ac:dyDescent="0.25">
      <c r="L2196">
        <f t="shared" si="136"/>
        <v>0</v>
      </c>
      <c r="M2196">
        <f t="shared" si="137"/>
        <v>1</v>
      </c>
      <c r="N2196">
        <f t="shared" si="138"/>
        <v>0</v>
      </c>
      <c r="O2196" t="str">
        <f t="shared" si="139"/>
        <v>Proposta Ok</v>
      </c>
    </row>
    <row r="2197" spans="12:15" x14ac:dyDescent="0.25">
      <c r="L2197">
        <f t="shared" si="136"/>
        <v>0</v>
      </c>
      <c r="M2197">
        <f t="shared" si="137"/>
        <v>1</v>
      </c>
      <c r="N2197">
        <f t="shared" si="138"/>
        <v>0</v>
      </c>
      <c r="O2197" t="str">
        <f t="shared" si="139"/>
        <v>Proposta Ok</v>
      </c>
    </row>
    <row r="2198" spans="12:15" x14ac:dyDescent="0.25">
      <c r="L2198">
        <f t="shared" si="136"/>
        <v>0</v>
      </c>
      <c r="M2198">
        <f t="shared" si="137"/>
        <v>1</v>
      </c>
      <c r="N2198">
        <f t="shared" si="138"/>
        <v>0</v>
      </c>
      <c r="O2198" t="str">
        <f t="shared" si="139"/>
        <v>Proposta Ok</v>
      </c>
    </row>
    <row r="2199" spans="12:15" x14ac:dyDescent="0.25">
      <c r="L2199">
        <f t="shared" si="136"/>
        <v>0</v>
      </c>
      <c r="M2199">
        <f t="shared" si="137"/>
        <v>1</v>
      </c>
      <c r="N2199">
        <f t="shared" si="138"/>
        <v>0</v>
      </c>
      <c r="O2199" t="str">
        <f t="shared" si="139"/>
        <v>Proposta Ok</v>
      </c>
    </row>
    <row r="2200" spans="12:15" x14ac:dyDescent="0.25">
      <c r="L2200">
        <f t="shared" si="136"/>
        <v>0</v>
      </c>
      <c r="M2200">
        <f t="shared" si="137"/>
        <v>1</v>
      </c>
      <c r="N2200">
        <f t="shared" si="138"/>
        <v>0</v>
      </c>
      <c r="O2200" t="str">
        <f t="shared" si="139"/>
        <v>Proposta Ok</v>
      </c>
    </row>
    <row r="2201" spans="12:15" x14ac:dyDescent="0.25">
      <c r="L2201">
        <f t="shared" si="136"/>
        <v>0</v>
      </c>
      <c r="M2201">
        <f t="shared" si="137"/>
        <v>1</v>
      </c>
      <c r="N2201">
        <f t="shared" si="138"/>
        <v>0</v>
      </c>
      <c r="O2201" t="str">
        <f t="shared" si="139"/>
        <v>Proposta Ok</v>
      </c>
    </row>
    <row r="2202" spans="12:15" x14ac:dyDescent="0.25">
      <c r="L2202">
        <f t="shared" si="136"/>
        <v>0</v>
      </c>
      <c r="M2202">
        <f t="shared" si="137"/>
        <v>1</v>
      </c>
      <c r="N2202">
        <f t="shared" si="138"/>
        <v>0</v>
      </c>
      <c r="O2202" t="str">
        <f t="shared" si="139"/>
        <v>Proposta Ok</v>
      </c>
    </row>
    <row r="2203" spans="12:15" x14ac:dyDescent="0.25">
      <c r="L2203">
        <f t="shared" ref="L2203:L2266" si="140">IF(OR(I2203="Termo OK (Exceção)",I2203="Termo OK"),1,0)</f>
        <v>0</v>
      </c>
      <c r="M2203">
        <f t="shared" ref="M2203:M2266" si="141">IF(OR(I2203="Termo OK (Exceção)",I2203="Termo OK"),0,1)</f>
        <v>1</v>
      </c>
      <c r="N2203">
        <f t="shared" ref="N2203:N2266" si="142">IF(J2203="SIM",1,0)</f>
        <v>0</v>
      </c>
      <c r="O2203" t="str">
        <f t="shared" ref="O2203:O2266" si="143">IF(SUMIFS(M:M,A:A,A2203)&gt;0,"Proposta não Ok","Proposta Ok")</f>
        <v>Proposta Ok</v>
      </c>
    </row>
    <row r="2204" spans="12:15" x14ac:dyDescent="0.25">
      <c r="L2204">
        <f t="shared" si="140"/>
        <v>0</v>
      </c>
      <c r="M2204">
        <f t="shared" si="141"/>
        <v>1</v>
      </c>
      <c r="N2204">
        <f t="shared" si="142"/>
        <v>0</v>
      </c>
      <c r="O2204" t="str">
        <f t="shared" si="143"/>
        <v>Proposta Ok</v>
      </c>
    </row>
    <row r="2205" spans="12:15" x14ac:dyDescent="0.25">
      <c r="L2205">
        <f t="shared" si="140"/>
        <v>0</v>
      </c>
      <c r="M2205">
        <f t="shared" si="141"/>
        <v>1</v>
      </c>
      <c r="N2205">
        <f t="shared" si="142"/>
        <v>0</v>
      </c>
      <c r="O2205" t="str">
        <f t="shared" si="143"/>
        <v>Proposta Ok</v>
      </c>
    </row>
    <row r="2206" spans="12:15" x14ac:dyDescent="0.25">
      <c r="L2206">
        <f t="shared" si="140"/>
        <v>0</v>
      </c>
      <c r="M2206">
        <f t="shared" si="141"/>
        <v>1</v>
      </c>
      <c r="N2206">
        <f t="shared" si="142"/>
        <v>0</v>
      </c>
      <c r="O2206" t="str">
        <f t="shared" si="143"/>
        <v>Proposta Ok</v>
      </c>
    </row>
    <row r="2207" spans="12:15" x14ac:dyDescent="0.25">
      <c r="L2207">
        <f t="shared" si="140"/>
        <v>0</v>
      </c>
      <c r="M2207">
        <f t="shared" si="141"/>
        <v>1</v>
      </c>
      <c r="N2207">
        <f t="shared" si="142"/>
        <v>0</v>
      </c>
      <c r="O2207" t="str">
        <f t="shared" si="143"/>
        <v>Proposta Ok</v>
      </c>
    </row>
    <row r="2208" spans="12:15" x14ac:dyDescent="0.25">
      <c r="L2208">
        <f t="shared" si="140"/>
        <v>0</v>
      </c>
      <c r="M2208">
        <f t="shared" si="141"/>
        <v>1</v>
      </c>
      <c r="N2208">
        <f t="shared" si="142"/>
        <v>0</v>
      </c>
      <c r="O2208" t="str">
        <f t="shared" si="143"/>
        <v>Proposta Ok</v>
      </c>
    </row>
    <row r="2209" spans="12:15" x14ac:dyDescent="0.25">
      <c r="L2209">
        <f t="shared" si="140"/>
        <v>0</v>
      </c>
      <c r="M2209">
        <f t="shared" si="141"/>
        <v>1</v>
      </c>
      <c r="N2209">
        <f t="shared" si="142"/>
        <v>0</v>
      </c>
      <c r="O2209" t="str">
        <f t="shared" si="143"/>
        <v>Proposta Ok</v>
      </c>
    </row>
    <row r="2210" spans="12:15" x14ac:dyDescent="0.25">
      <c r="L2210">
        <f t="shared" si="140"/>
        <v>0</v>
      </c>
      <c r="M2210">
        <f t="shared" si="141"/>
        <v>1</v>
      </c>
      <c r="N2210">
        <f t="shared" si="142"/>
        <v>0</v>
      </c>
      <c r="O2210" t="str">
        <f t="shared" si="143"/>
        <v>Proposta Ok</v>
      </c>
    </row>
    <row r="2211" spans="12:15" x14ac:dyDescent="0.25">
      <c r="L2211">
        <f t="shared" si="140"/>
        <v>0</v>
      </c>
      <c r="M2211">
        <f t="shared" si="141"/>
        <v>1</v>
      </c>
      <c r="N2211">
        <f t="shared" si="142"/>
        <v>0</v>
      </c>
      <c r="O2211" t="str">
        <f t="shared" si="143"/>
        <v>Proposta Ok</v>
      </c>
    </row>
    <row r="2212" spans="12:15" x14ac:dyDescent="0.25">
      <c r="L2212">
        <f t="shared" si="140"/>
        <v>0</v>
      </c>
      <c r="M2212">
        <f t="shared" si="141"/>
        <v>1</v>
      </c>
      <c r="N2212">
        <f t="shared" si="142"/>
        <v>0</v>
      </c>
      <c r="O2212" t="str">
        <f t="shared" si="143"/>
        <v>Proposta Ok</v>
      </c>
    </row>
    <row r="2213" spans="12:15" x14ac:dyDescent="0.25">
      <c r="L2213">
        <f t="shared" si="140"/>
        <v>0</v>
      </c>
      <c r="M2213">
        <f t="shared" si="141"/>
        <v>1</v>
      </c>
      <c r="N2213">
        <f t="shared" si="142"/>
        <v>0</v>
      </c>
      <c r="O2213" t="str">
        <f t="shared" si="143"/>
        <v>Proposta Ok</v>
      </c>
    </row>
    <row r="2214" spans="12:15" x14ac:dyDescent="0.25">
      <c r="L2214">
        <f t="shared" si="140"/>
        <v>0</v>
      </c>
      <c r="M2214">
        <f t="shared" si="141"/>
        <v>1</v>
      </c>
      <c r="N2214">
        <f t="shared" si="142"/>
        <v>0</v>
      </c>
      <c r="O2214" t="str">
        <f t="shared" si="143"/>
        <v>Proposta Ok</v>
      </c>
    </row>
    <row r="2215" spans="12:15" x14ac:dyDescent="0.25">
      <c r="L2215">
        <f t="shared" si="140"/>
        <v>0</v>
      </c>
      <c r="M2215">
        <f t="shared" si="141"/>
        <v>1</v>
      </c>
      <c r="N2215">
        <f t="shared" si="142"/>
        <v>0</v>
      </c>
      <c r="O2215" t="str">
        <f t="shared" si="143"/>
        <v>Proposta Ok</v>
      </c>
    </row>
    <row r="2216" spans="12:15" x14ac:dyDescent="0.25">
      <c r="L2216">
        <f t="shared" si="140"/>
        <v>0</v>
      </c>
      <c r="M2216">
        <f t="shared" si="141"/>
        <v>1</v>
      </c>
      <c r="N2216">
        <f t="shared" si="142"/>
        <v>0</v>
      </c>
      <c r="O2216" t="str">
        <f t="shared" si="143"/>
        <v>Proposta Ok</v>
      </c>
    </row>
    <row r="2217" spans="12:15" x14ac:dyDescent="0.25">
      <c r="L2217">
        <f t="shared" si="140"/>
        <v>0</v>
      </c>
      <c r="M2217">
        <f t="shared" si="141"/>
        <v>1</v>
      </c>
      <c r="N2217">
        <f t="shared" si="142"/>
        <v>0</v>
      </c>
      <c r="O2217" t="str">
        <f t="shared" si="143"/>
        <v>Proposta Ok</v>
      </c>
    </row>
    <row r="2218" spans="12:15" x14ac:dyDescent="0.25">
      <c r="L2218">
        <f t="shared" si="140"/>
        <v>0</v>
      </c>
      <c r="M2218">
        <f t="shared" si="141"/>
        <v>1</v>
      </c>
      <c r="N2218">
        <f t="shared" si="142"/>
        <v>0</v>
      </c>
      <c r="O2218" t="str">
        <f t="shared" si="143"/>
        <v>Proposta Ok</v>
      </c>
    </row>
    <row r="2219" spans="12:15" x14ac:dyDescent="0.25">
      <c r="L2219">
        <f t="shared" si="140"/>
        <v>0</v>
      </c>
      <c r="M2219">
        <f t="shared" si="141"/>
        <v>1</v>
      </c>
      <c r="N2219">
        <f t="shared" si="142"/>
        <v>0</v>
      </c>
      <c r="O2219" t="str">
        <f t="shared" si="143"/>
        <v>Proposta Ok</v>
      </c>
    </row>
    <row r="2220" spans="12:15" x14ac:dyDescent="0.25">
      <c r="L2220">
        <f t="shared" si="140"/>
        <v>0</v>
      </c>
      <c r="M2220">
        <f t="shared" si="141"/>
        <v>1</v>
      </c>
      <c r="N2220">
        <f t="shared" si="142"/>
        <v>0</v>
      </c>
      <c r="O2220" t="str">
        <f t="shared" si="143"/>
        <v>Proposta Ok</v>
      </c>
    </row>
    <row r="2221" spans="12:15" x14ac:dyDescent="0.25">
      <c r="L2221">
        <f t="shared" si="140"/>
        <v>0</v>
      </c>
      <c r="M2221">
        <f t="shared" si="141"/>
        <v>1</v>
      </c>
      <c r="N2221">
        <f t="shared" si="142"/>
        <v>0</v>
      </c>
      <c r="O2221" t="str">
        <f t="shared" si="143"/>
        <v>Proposta Ok</v>
      </c>
    </row>
    <row r="2222" spans="12:15" x14ac:dyDescent="0.25">
      <c r="L2222">
        <f t="shared" si="140"/>
        <v>0</v>
      </c>
      <c r="M2222">
        <f t="shared" si="141"/>
        <v>1</v>
      </c>
      <c r="N2222">
        <f t="shared" si="142"/>
        <v>0</v>
      </c>
      <c r="O2222" t="str">
        <f t="shared" si="143"/>
        <v>Proposta Ok</v>
      </c>
    </row>
    <row r="2223" spans="12:15" x14ac:dyDescent="0.25">
      <c r="L2223">
        <f t="shared" si="140"/>
        <v>0</v>
      </c>
      <c r="M2223">
        <f t="shared" si="141"/>
        <v>1</v>
      </c>
      <c r="N2223">
        <f t="shared" si="142"/>
        <v>0</v>
      </c>
      <c r="O2223" t="str">
        <f t="shared" si="143"/>
        <v>Proposta Ok</v>
      </c>
    </row>
    <row r="2224" spans="12:15" x14ac:dyDescent="0.25">
      <c r="L2224">
        <f t="shared" si="140"/>
        <v>0</v>
      </c>
      <c r="M2224">
        <f t="shared" si="141"/>
        <v>1</v>
      </c>
      <c r="N2224">
        <f t="shared" si="142"/>
        <v>0</v>
      </c>
      <c r="O2224" t="str">
        <f t="shared" si="143"/>
        <v>Proposta Ok</v>
      </c>
    </row>
    <row r="2225" spans="12:15" x14ac:dyDescent="0.25">
      <c r="L2225">
        <f t="shared" si="140"/>
        <v>0</v>
      </c>
      <c r="M2225">
        <f t="shared" si="141"/>
        <v>1</v>
      </c>
      <c r="N2225">
        <f t="shared" si="142"/>
        <v>0</v>
      </c>
      <c r="O2225" t="str">
        <f t="shared" si="143"/>
        <v>Proposta Ok</v>
      </c>
    </row>
    <row r="2226" spans="12:15" x14ac:dyDescent="0.25">
      <c r="L2226">
        <f t="shared" si="140"/>
        <v>0</v>
      </c>
      <c r="M2226">
        <f t="shared" si="141"/>
        <v>1</v>
      </c>
      <c r="N2226">
        <f t="shared" si="142"/>
        <v>0</v>
      </c>
      <c r="O2226" t="str">
        <f t="shared" si="143"/>
        <v>Proposta Ok</v>
      </c>
    </row>
    <row r="2227" spans="12:15" x14ac:dyDescent="0.25">
      <c r="L2227">
        <f t="shared" si="140"/>
        <v>0</v>
      </c>
      <c r="M2227">
        <f t="shared" si="141"/>
        <v>1</v>
      </c>
      <c r="N2227">
        <f t="shared" si="142"/>
        <v>0</v>
      </c>
      <c r="O2227" t="str">
        <f t="shared" si="143"/>
        <v>Proposta Ok</v>
      </c>
    </row>
    <row r="2228" spans="12:15" x14ac:dyDescent="0.25">
      <c r="L2228">
        <f t="shared" si="140"/>
        <v>0</v>
      </c>
      <c r="M2228">
        <f t="shared" si="141"/>
        <v>1</v>
      </c>
      <c r="N2228">
        <f t="shared" si="142"/>
        <v>0</v>
      </c>
      <c r="O2228" t="str">
        <f t="shared" si="143"/>
        <v>Proposta Ok</v>
      </c>
    </row>
    <row r="2229" spans="12:15" x14ac:dyDescent="0.25">
      <c r="L2229">
        <f t="shared" si="140"/>
        <v>0</v>
      </c>
      <c r="M2229">
        <f t="shared" si="141"/>
        <v>1</v>
      </c>
      <c r="N2229">
        <f t="shared" si="142"/>
        <v>0</v>
      </c>
      <c r="O2229" t="str">
        <f t="shared" si="143"/>
        <v>Proposta Ok</v>
      </c>
    </row>
    <row r="2230" spans="12:15" x14ac:dyDescent="0.25">
      <c r="L2230">
        <f t="shared" si="140"/>
        <v>0</v>
      </c>
      <c r="M2230">
        <f t="shared" si="141"/>
        <v>1</v>
      </c>
      <c r="N2230">
        <f t="shared" si="142"/>
        <v>0</v>
      </c>
      <c r="O2230" t="str">
        <f t="shared" si="143"/>
        <v>Proposta Ok</v>
      </c>
    </row>
    <row r="2231" spans="12:15" x14ac:dyDescent="0.25">
      <c r="L2231">
        <f t="shared" si="140"/>
        <v>0</v>
      </c>
      <c r="M2231">
        <f t="shared" si="141"/>
        <v>1</v>
      </c>
      <c r="N2231">
        <f t="shared" si="142"/>
        <v>0</v>
      </c>
      <c r="O2231" t="str">
        <f t="shared" si="143"/>
        <v>Proposta Ok</v>
      </c>
    </row>
    <row r="2232" spans="12:15" x14ac:dyDescent="0.25">
      <c r="L2232">
        <f t="shared" si="140"/>
        <v>0</v>
      </c>
      <c r="M2232">
        <f t="shared" si="141"/>
        <v>1</v>
      </c>
      <c r="N2232">
        <f t="shared" si="142"/>
        <v>0</v>
      </c>
      <c r="O2232" t="str">
        <f t="shared" si="143"/>
        <v>Proposta Ok</v>
      </c>
    </row>
    <row r="2233" spans="12:15" x14ac:dyDescent="0.25">
      <c r="L2233">
        <f t="shared" si="140"/>
        <v>0</v>
      </c>
      <c r="M2233">
        <f t="shared" si="141"/>
        <v>1</v>
      </c>
      <c r="N2233">
        <f t="shared" si="142"/>
        <v>0</v>
      </c>
      <c r="O2233" t="str">
        <f t="shared" si="143"/>
        <v>Proposta Ok</v>
      </c>
    </row>
    <row r="2234" spans="12:15" x14ac:dyDescent="0.25">
      <c r="L2234">
        <f t="shared" si="140"/>
        <v>0</v>
      </c>
      <c r="M2234">
        <f t="shared" si="141"/>
        <v>1</v>
      </c>
      <c r="N2234">
        <f t="shared" si="142"/>
        <v>0</v>
      </c>
      <c r="O2234" t="str">
        <f t="shared" si="143"/>
        <v>Proposta Ok</v>
      </c>
    </row>
    <row r="2235" spans="12:15" x14ac:dyDescent="0.25">
      <c r="L2235">
        <f t="shared" si="140"/>
        <v>0</v>
      </c>
      <c r="M2235">
        <f t="shared" si="141"/>
        <v>1</v>
      </c>
      <c r="N2235">
        <f t="shared" si="142"/>
        <v>0</v>
      </c>
      <c r="O2235" t="str">
        <f t="shared" si="143"/>
        <v>Proposta Ok</v>
      </c>
    </row>
    <row r="2236" spans="12:15" x14ac:dyDescent="0.25">
      <c r="L2236">
        <f t="shared" si="140"/>
        <v>0</v>
      </c>
      <c r="M2236">
        <f t="shared" si="141"/>
        <v>1</v>
      </c>
      <c r="N2236">
        <f t="shared" si="142"/>
        <v>0</v>
      </c>
      <c r="O2236" t="str">
        <f t="shared" si="143"/>
        <v>Proposta Ok</v>
      </c>
    </row>
    <row r="2237" spans="12:15" x14ac:dyDescent="0.25">
      <c r="L2237">
        <f t="shared" si="140"/>
        <v>0</v>
      </c>
      <c r="M2237">
        <f t="shared" si="141"/>
        <v>1</v>
      </c>
      <c r="N2237">
        <f t="shared" si="142"/>
        <v>0</v>
      </c>
      <c r="O2237" t="str">
        <f t="shared" si="143"/>
        <v>Proposta Ok</v>
      </c>
    </row>
    <row r="2238" spans="12:15" x14ac:dyDescent="0.25">
      <c r="L2238">
        <f t="shared" si="140"/>
        <v>0</v>
      </c>
      <c r="M2238">
        <f t="shared" si="141"/>
        <v>1</v>
      </c>
      <c r="N2238">
        <f t="shared" si="142"/>
        <v>0</v>
      </c>
      <c r="O2238" t="str">
        <f t="shared" si="143"/>
        <v>Proposta Ok</v>
      </c>
    </row>
    <row r="2239" spans="12:15" x14ac:dyDescent="0.25">
      <c r="L2239">
        <f t="shared" si="140"/>
        <v>0</v>
      </c>
      <c r="M2239">
        <f t="shared" si="141"/>
        <v>1</v>
      </c>
      <c r="N2239">
        <f t="shared" si="142"/>
        <v>0</v>
      </c>
      <c r="O2239" t="str">
        <f t="shared" si="143"/>
        <v>Proposta Ok</v>
      </c>
    </row>
    <row r="2240" spans="12:15" x14ac:dyDescent="0.25">
      <c r="L2240">
        <f t="shared" si="140"/>
        <v>0</v>
      </c>
      <c r="M2240">
        <f t="shared" si="141"/>
        <v>1</v>
      </c>
      <c r="N2240">
        <f t="shared" si="142"/>
        <v>0</v>
      </c>
      <c r="O2240" t="str">
        <f t="shared" si="143"/>
        <v>Proposta Ok</v>
      </c>
    </row>
    <row r="2241" spans="12:15" x14ac:dyDescent="0.25">
      <c r="L2241">
        <f t="shared" si="140"/>
        <v>0</v>
      </c>
      <c r="M2241">
        <f t="shared" si="141"/>
        <v>1</v>
      </c>
      <c r="N2241">
        <f t="shared" si="142"/>
        <v>0</v>
      </c>
      <c r="O2241" t="str">
        <f t="shared" si="143"/>
        <v>Proposta Ok</v>
      </c>
    </row>
    <row r="2242" spans="12:15" x14ac:dyDescent="0.25">
      <c r="L2242">
        <f t="shared" si="140"/>
        <v>0</v>
      </c>
      <c r="M2242">
        <f t="shared" si="141"/>
        <v>1</v>
      </c>
      <c r="N2242">
        <f t="shared" si="142"/>
        <v>0</v>
      </c>
      <c r="O2242" t="str">
        <f t="shared" si="143"/>
        <v>Proposta Ok</v>
      </c>
    </row>
    <row r="2243" spans="12:15" x14ac:dyDescent="0.25">
      <c r="L2243">
        <f t="shared" si="140"/>
        <v>0</v>
      </c>
      <c r="M2243">
        <f t="shared" si="141"/>
        <v>1</v>
      </c>
      <c r="N2243">
        <f t="shared" si="142"/>
        <v>0</v>
      </c>
      <c r="O2243" t="str">
        <f t="shared" si="143"/>
        <v>Proposta Ok</v>
      </c>
    </row>
    <row r="2244" spans="12:15" x14ac:dyDescent="0.25">
      <c r="L2244">
        <f t="shared" si="140"/>
        <v>0</v>
      </c>
      <c r="M2244">
        <f t="shared" si="141"/>
        <v>1</v>
      </c>
      <c r="N2244">
        <f t="shared" si="142"/>
        <v>0</v>
      </c>
      <c r="O2244" t="str">
        <f t="shared" si="143"/>
        <v>Proposta Ok</v>
      </c>
    </row>
    <row r="2245" spans="12:15" x14ac:dyDescent="0.25">
      <c r="L2245">
        <f t="shared" si="140"/>
        <v>0</v>
      </c>
      <c r="M2245">
        <f t="shared" si="141"/>
        <v>1</v>
      </c>
      <c r="N2245">
        <f t="shared" si="142"/>
        <v>0</v>
      </c>
      <c r="O2245" t="str">
        <f t="shared" si="143"/>
        <v>Proposta Ok</v>
      </c>
    </row>
    <row r="2246" spans="12:15" x14ac:dyDescent="0.25">
      <c r="L2246">
        <f t="shared" si="140"/>
        <v>0</v>
      </c>
      <c r="M2246">
        <f t="shared" si="141"/>
        <v>1</v>
      </c>
      <c r="N2246">
        <f t="shared" si="142"/>
        <v>0</v>
      </c>
      <c r="O2246" t="str">
        <f t="shared" si="143"/>
        <v>Proposta Ok</v>
      </c>
    </row>
    <row r="2247" spans="12:15" x14ac:dyDescent="0.25">
      <c r="L2247">
        <f t="shared" si="140"/>
        <v>0</v>
      </c>
      <c r="M2247">
        <f t="shared" si="141"/>
        <v>1</v>
      </c>
      <c r="N2247">
        <f t="shared" si="142"/>
        <v>0</v>
      </c>
      <c r="O2247" t="str">
        <f t="shared" si="143"/>
        <v>Proposta Ok</v>
      </c>
    </row>
    <row r="2248" spans="12:15" x14ac:dyDescent="0.25">
      <c r="L2248">
        <f t="shared" si="140"/>
        <v>0</v>
      </c>
      <c r="M2248">
        <f t="shared" si="141"/>
        <v>1</v>
      </c>
      <c r="N2248">
        <f t="shared" si="142"/>
        <v>0</v>
      </c>
      <c r="O2248" t="str">
        <f t="shared" si="143"/>
        <v>Proposta Ok</v>
      </c>
    </row>
    <row r="2249" spans="12:15" x14ac:dyDescent="0.25">
      <c r="L2249">
        <f t="shared" si="140"/>
        <v>0</v>
      </c>
      <c r="M2249">
        <f t="shared" si="141"/>
        <v>1</v>
      </c>
      <c r="N2249">
        <f t="shared" si="142"/>
        <v>0</v>
      </c>
      <c r="O2249" t="str">
        <f t="shared" si="143"/>
        <v>Proposta Ok</v>
      </c>
    </row>
    <row r="2250" spans="12:15" x14ac:dyDescent="0.25">
      <c r="L2250">
        <f t="shared" si="140"/>
        <v>0</v>
      </c>
      <c r="M2250">
        <f t="shared" si="141"/>
        <v>1</v>
      </c>
      <c r="N2250">
        <f t="shared" si="142"/>
        <v>0</v>
      </c>
      <c r="O2250" t="str">
        <f t="shared" si="143"/>
        <v>Proposta Ok</v>
      </c>
    </row>
    <row r="2251" spans="12:15" x14ac:dyDescent="0.25">
      <c r="L2251">
        <f t="shared" si="140"/>
        <v>0</v>
      </c>
      <c r="M2251">
        <f t="shared" si="141"/>
        <v>1</v>
      </c>
      <c r="N2251">
        <f t="shared" si="142"/>
        <v>0</v>
      </c>
      <c r="O2251" t="str">
        <f t="shared" si="143"/>
        <v>Proposta Ok</v>
      </c>
    </row>
    <row r="2252" spans="12:15" x14ac:dyDescent="0.25">
      <c r="L2252">
        <f t="shared" si="140"/>
        <v>0</v>
      </c>
      <c r="M2252">
        <f t="shared" si="141"/>
        <v>1</v>
      </c>
      <c r="N2252">
        <f t="shared" si="142"/>
        <v>0</v>
      </c>
      <c r="O2252" t="str">
        <f t="shared" si="143"/>
        <v>Proposta Ok</v>
      </c>
    </row>
    <row r="2253" spans="12:15" x14ac:dyDescent="0.25">
      <c r="L2253">
        <f t="shared" si="140"/>
        <v>0</v>
      </c>
      <c r="M2253">
        <f t="shared" si="141"/>
        <v>1</v>
      </c>
      <c r="N2253">
        <f t="shared" si="142"/>
        <v>0</v>
      </c>
      <c r="O2253" t="str">
        <f t="shared" si="143"/>
        <v>Proposta Ok</v>
      </c>
    </row>
    <row r="2254" spans="12:15" x14ac:dyDescent="0.25">
      <c r="L2254">
        <f t="shared" si="140"/>
        <v>0</v>
      </c>
      <c r="M2254">
        <f t="shared" si="141"/>
        <v>1</v>
      </c>
      <c r="N2254">
        <f t="shared" si="142"/>
        <v>0</v>
      </c>
      <c r="O2254" t="str">
        <f t="shared" si="143"/>
        <v>Proposta Ok</v>
      </c>
    </row>
    <row r="2255" spans="12:15" x14ac:dyDescent="0.25">
      <c r="L2255">
        <f t="shared" si="140"/>
        <v>0</v>
      </c>
      <c r="M2255">
        <f t="shared" si="141"/>
        <v>1</v>
      </c>
      <c r="N2255">
        <f t="shared" si="142"/>
        <v>0</v>
      </c>
      <c r="O2255" t="str">
        <f t="shared" si="143"/>
        <v>Proposta Ok</v>
      </c>
    </row>
    <row r="2256" spans="12:15" x14ac:dyDescent="0.25">
      <c r="L2256">
        <f t="shared" si="140"/>
        <v>0</v>
      </c>
      <c r="M2256">
        <f t="shared" si="141"/>
        <v>1</v>
      </c>
      <c r="N2256">
        <f t="shared" si="142"/>
        <v>0</v>
      </c>
      <c r="O2256" t="str">
        <f t="shared" si="143"/>
        <v>Proposta Ok</v>
      </c>
    </row>
    <row r="2257" spans="12:15" x14ac:dyDescent="0.25">
      <c r="L2257">
        <f t="shared" si="140"/>
        <v>0</v>
      </c>
      <c r="M2257">
        <f t="shared" si="141"/>
        <v>1</v>
      </c>
      <c r="N2257">
        <f t="shared" si="142"/>
        <v>0</v>
      </c>
      <c r="O2257" t="str">
        <f t="shared" si="143"/>
        <v>Proposta Ok</v>
      </c>
    </row>
    <row r="2258" spans="12:15" x14ac:dyDescent="0.25">
      <c r="L2258">
        <f t="shared" si="140"/>
        <v>0</v>
      </c>
      <c r="M2258">
        <f t="shared" si="141"/>
        <v>1</v>
      </c>
      <c r="N2258">
        <f t="shared" si="142"/>
        <v>0</v>
      </c>
      <c r="O2258" t="str">
        <f t="shared" si="143"/>
        <v>Proposta Ok</v>
      </c>
    </row>
    <row r="2259" spans="12:15" x14ac:dyDescent="0.25">
      <c r="L2259">
        <f t="shared" si="140"/>
        <v>0</v>
      </c>
      <c r="M2259">
        <f t="shared" si="141"/>
        <v>1</v>
      </c>
      <c r="N2259">
        <f t="shared" si="142"/>
        <v>0</v>
      </c>
      <c r="O2259" t="str">
        <f t="shared" si="143"/>
        <v>Proposta Ok</v>
      </c>
    </row>
    <row r="2260" spans="12:15" x14ac:dyDescent="0.25">
      <c r="L2260">
        <f t="shared" si="140"/>
        <v>0</v>
      </c>
      <c r="M2260">
        <f t="shared" si="141"/>
        <v>1</v>
      </c>
      <c r="N2260">
        <f t="shared" si="142"/>
        <v>0</v>
      </c>
      <c r="O2260" t="str">
        <f t="shared" si="143"/>
        <v>Proposta Ok</v>
      </c>
    </row>
    <row r="2261" spans="12:15" x14ac:dyDescent="0.25">
      <c r="L2261">
        <f t="shared" si="140"/>
        <v>0</v>
      </c>
      <c r="M2261">
        <f t="shared" si="141"/>
        <v>1</v>
      </c>
      <c r="N2261">
        <f t="shared" si="142"/>
        <v>0</v>
      </c>
      <c r="O2261" t="str">
        <f t="shared" si="143"/>
        <v>Proposta Ok</v>
      </c>
    </row>
    <row r="2262" spans="12:15" x14ac:dyDescent="0.25">
      <c r="L2262">
        <f t="shared" si="140"/>
        <v>0</v>
      </c>
      <c r="M2262">
        <f t="shared" si="141"/>
        <v>1</v>
      </c>
      <c r="N2262">
        <f t="shared" si="142"/>
        <v>0</v>
      </c>
      <c r="O2262" t="str">
        <f t="shared" si="143"/>
        <v>Proposta Ok</v>
      </c>
    </row>
    <row r="2263" spans="12:15" x14ac:dyDescent="0.25">
      <c r="L2263">
        <f t="shared" si="140"/>
        <v>0</v>
      </c>
      <c r="M2263">
        <f t="shared" si="141"/>
        <v>1</v>
      </c>
      <c r="N2263">
        <f t="shared" si="142"/>
        <v>0</v>
      </c>
      <c r="O2263" t="str">
        <f t="shared" si="143"/>
        <v>Proposta Ok</v>
      </c>
    </row>
    <row r="2264" spans="12:15" x14ac:dyDescent="0.25">
      <c r="L2264">
        <f t="shared" si="140"/>
        <v>0</v>
      </c>
      <c r="M2264">
        <f t="shared" si="141"/>
        <v>1</v>
      </c>
      <c r="N2264">
        <f t="shared" si="142"/>
        <v>0</v>
      </c>
      <c r="O2264" t="str">
        <f t="shared" si="143"/>
        <v>Proposta Ok</v>
      </c>
    </row>
    <row r="2265" spans="12:15" x14ac:dyDescent="0.25">
      <c r="L2265">
        <f t="shared" si="140"/>
        <v>0</v>
      </c>
      <c r="M2265">
        <f t="shared" si="141"/>
        <v>1</v>
      </c>
      <c r="N2265">
        <f t="shared" si="142"/>
        <v>0</v>
      </c>
      <c r="O2265" t="str">
        <f t="shared" si="143"/>
        <v>Proposta Ok</v>
      </c>
    </row>
    <row r="2266" spans="12:15" x14ac:dyDescent="0.25">
      <c r="L2266">
        <f t="shared" si="140"/>
        <v>0</v>
      </c>
      <c r="M2266">
        <f t="shared" si="141"/>
        <v>1</v>
      </c>
      <c r="N2266">
        <f t="shared" si="142"/>
        <v>0</v>
      </c>
      <c r="O2266" t="str">
        <f t="shared" si="143"/>
        <v>Proposta Ok</v>
      </c>
    </row>
    <row r="2267" spans="12:15" x14ac:dyDescent="0.25">
      <c r="L2267">
        <f t="shared" ref="L2267:L2330" si="144">IF(OR(I2267="Termo OK (Exceção)",I2267="Termo OK"),1,0)</f>
        <v>0</v>
      </c>
      <c r="M2267">
        <f t="shared" ref="M2267:M2330" si="145">IF(OR(I2267="Termo OK (Exceção)",I2267="Termo OK"),0,1)</f>
        <v>1</v>
      </c>
      <c r="N2267">
        <f t="shared" ref="N2267:N2330" si="146">IF(J2267="SIM",1,0)</f>
        <v>0</v>
      </c>
      <c r="O2267" t="str">
        <f t="shared" ref="O2267:O2330" si="147">IF(SUMIFS(M:M,A:A,A2267)&gt;0,"Proposta não Ok","Proposta Ok")</f>
        <v>Proposta Ok</v>
      </c>
    </row>
    <row r="2268" spans="12:15" x14ac:dyDescent="0.25">
      <c r="L2268">
        <f t="shared" si="144"/>
        <v>0</v>
      </c>
      <c r="M2268">
        <f t="shared" si="145"/>
        <v>1</v>
      </c>
      <c r="N2268">
        <f t="shared" si="146"/>
        <v>0</v>
      </c>
      <c r="O2268" t="str">
        <f t="shared" si="147"/>
        <v>Proposta Ok</v>
      </c>
    </row>
    <row r="2269" spans="12:15" x14ac:dyDescent="0.25">
      <c r="L2269">
        <f t="shared" si="144"/>
        <v>0</v>
      </c>
      <c r="M2269">
        <f t="shared" si="145"/>
        <v>1</v>
      </c>
      <c r="N2269">
        <f t="shared" si="146"/>
        <v>0</v>
      </c>
      <c r="O2269" t="str">
        <f t="shared" si="147"/>
        <v>Proposta Ok</v>
      </c>
    </row>
    <row r="2270" spans="12:15" x14ac:dyDescent="0.25">
      <c r="L2270">
        <f t="shared" si="144"/>
        <v>0</v>
      </c>
      <c r="M2270">
        <f t="shared" si="145"/>
        <v>1</v>
      </c>
      <c r="N2270">
        <f t="shared" si="146"/>
        <v>0</v>
      </c>
      <c r="O2270" t="str">
        <f t="shared" si="147"/>
        <v>Proposta Ok</v>
      </c>
    </row>
    <row r="2271" spans="12:15" x14ac:dyDescent="0.25">
      <c r="L2271">
        <f t="shared" si="144"/>
        <v>0</v>
      </c>
      <c r="M2271">
        <f t="shared" si="145"/>
        <v>1</v>
      </c>
      <c r="N2271">
        <f t="shared" si="146"/>
        <v>0</v>
      </c>
      <c r="O2271" t="str">
        <f t="shared" si="147"/>
        <v>Proposta Ok</v>
      </c>
    </row>
    <row r="2272" spans="12:15" x14ac:dyDescent="0.25">
      <c r="L2272">
        <f t="shared" si="144"/>
        <v>0</v>
      </c>
      <c r="M2272">
        <f t="shared" si="145"/>
        <v>1</v>
      </c>
      <c r="N2272">
        <f t="shared" si="146"/>
        <v>0</v>
      </c>
      <c r="O2272" t="str">
        <f t="shared" si="147"/>
        <v>Proposta Ok</v>
      </c>
    </row>
    <row r="2273" spans="12:15" x14ac:dyDescent="0.25">
      <c r="L2273">
        <f t="shared" si="144"/>
        <v>0</v>
      </c>
      <c r="M2273">
        <f t="shared" si="145"/>
        <v>1</v>
      </c>
      <c r="N2273">
        <f t="shared" si="146"/>
        <v>0</v>
      </c>
      <c r="O2273" t="str">
        <f t="shared" si="147"/>
        <v>Proposta Ok</v>
      </c>
    </row>
    <row r="2274" spans="12:15" x14ac:dyDescent="0.25">
      <c r="L2274">
        <f t="shared" si="144"/>
        <v>0</v>
      </c>
      <c r="M2274">
        <f t="shared" si="145"/>
        <v>1</v>
      </c>
      <c r="N2274">
        <f t="shared" si="146"/>
        <v>0</v>
      </c>
      <c r="O2274" t="str">
        <f t="shared" si="147"/>
        <v>Proposta Ok</v>
      </c>
    </row>
    <row r="2275" spans="12:15" x14ac:dyDescent="0.25">
      <c r="L2275">
        <f t="shared" si="144"/>
        <v>0</v>
      </c>
      <c r="M2275">
        <f t="shared" si="145"/>
        <v>1</v>
      </c>
      <c r="N2275">
        <f t="shared" si="146"/>
        <v>0</v>
      </c>
      <c r="O2275" t="str">
        <f t="shared" si="147"/>
        <v>Proposta Ok</v>
      </c>
    </row>
    <row r="2276" spans="12:15" x14ac:dyDescent="0.25">
      <c r="L2276">
        <f t="shared" si="144"/>
        <v>0</v>
      </c>
      <c r="M2276">
        <f t="shared" si="145"/>
        <v>1</v>
      </c>
      <c r="N2276">
        <f t="shared" si="146"/>
        <v>0</v>
      </c>
      <c r="O2276" t="str">
        <f t="shared" si="147"/>
        <v>Proposta Ok</v>
      </c>
    </row>
    <row r="2277" spans="12:15" x14ac:dyDescent="0.25">
      <c r="L2277">
        <f t="shared" si="144"/>
        <v>0</v>
      </c>
      <c r="M2277">
        <f t="shared" si="145"/>
        <v>1</v>
      </c>
      <c r="N2277">
        <f t="shared" si="146"/>
        <v>0</v>
      </c>
      <c r="O2277" t="str">
        <f t="shared" si="147"/>
        <v>Proposta Ok</v>
      </c>
    </row>
    <row r="2278" spans="12:15" x14ac:dyDescent="0.25">
      <c r="L2278">
        <f t="shared" si="144"/>
        <v>0</v>
      </c>
      <c r="M2278">
        <f t="shared" si="145"/>
        <v>1</v>
      </c>
      <c r="N2278">
        <f t="shared" si="146"/>
        <v>0</v>
      </c>
      <c r="O2278" t="str">
        <f t="shared" si="147"/>
        <v>Proposta Ok</v>
      </c>
    </row>
    <row r="2279" spans="12:15" x14ac:dyDescent="0.25">
      <c r="L2279">
        <f t="shared" si="144"/>
        <v>0</v>
      </c>
      <c r="M2279">
        <f t="shared" si="145"/>
        <v>1</v>
      </c>
      <c r="N2279">
        <f t="shared" si="146"/>
        <v>0</v>
      </c>
      <c r="O2279" t="str">
        <f t="shared" si="147"/>
        <v>Proposta Ok</v>
      </c>
    </row>
    <row r="2280" spans="12:15" x14ac:dyDescent="0.25">
      <c r="L2280">
        <f t="shared" si="144"/>
        <v>0</v>
      </c>
      <c r="M2280">
        <f t="shared" si="145"/>
        <v>1</v>
      </c>
      <c r="N2280">
        <f t="shared" si="146"/>
        <v>0</v>
      </c>
      <c r="O2280" t="str">
        <f t="shared" si="147"/>
        <v>Proposta Ok</v>
      </c>
    </row>
    <row r="2281" spans="12:15" x14ac:dyDescent="0.25">
      <c r="L2281">
        <f t="shared" si="144"/>
        <v>0</v>
      </c>
      <c r="M2281">
        <f t="shared" si="145"/>
        <v>1</v>
      </c>
      <c r="N2281">
        <f t="shared" si="146"/>
        <v>0</v>
      </c>
      <c r="O2281" t="str">
        <f t="shared" si="147"/>
        <v>Proposta Ok</v>
      </c>
    </row>
    <row r="2282" spans="12:15" x14ac:dyDescent="0.25">
      <c r="L2282">
        <f t="shared" si="144"/>
        <v>0</v>
      </c>
      <c r="M2282">
        <f t="shared" si="145"/>
        <v>1</v>
      </c>
      <c r="N2282">
        <f t="shared" si="146"/>
        <v>0</v>
      </c>
      <c r="O2282" t="str">
        <f t="shared" si="147"/>
        <v>Proposta Ok</v>
      </c>
    </row>
    <row r="2283" spans="12:15" x14ac:dyDescent="0.25">
      <c r="L2283">
        <f t="shared" si="144"/>
        <v>0</v>
      </c>
      <c r="M2283">
        <f t="shared" si="145"/>
        <v>1</v>
      </c>
      <c r="N2283">
        <f t="shared" si="146"/>
        <v>0</v>
      </c>
      <c r="O2283" t="str">
        <f t="shared" si="147"/>
        <v>Proposta Ok</v>
      </c>
    </row>
    <row r="2284" spans="12:15" x14ac:dyDescent="0.25">
      <c r="L2284">
        <f t="shared" si="144"/>
        <v>0</v>
      </c>
      <c r="M2284">
        <f t="shared" si="145"/>
        <v>1</v>
      </c>
      <c r="N2284">
        <f t="shared" si="146"/>
        <v>0</v>
      </c>
      <c r="O2284" t="str">
        <f t="shared" si="147"/>
        <v>Proposta Ok</v>
      </c>
    </row>
    <row r="2285" spans="12:15" x14ac:dyDescent="0.25">
      <c r="L2285">
        <f t="shared" si="144"/>
        <v>0</v>
      </c>
      <c r="M2285">
        <f t="shared" si="145"/>
        <v>1</v>
      </c>
      <c r="N2285">
        <f t="shared" si="146"/>
        <v>0</v>
      </c>
      <c r="O2285" t="str">
        <f t="shared" si="147"/>
        <v>Proposta Ok</v>
      </c>
    </row>
    <row r="2286" spans="12:15" x14ac:dyDescent="0.25">
      <c r="L2286">
        <f t="shared" si="144"/>
        <v>0</v>
      </c>
      <c r="M2286">
        <f t="shared" si="145"/>
        <v>1</v>
      </c>
      <c r="N2286">
        <f t="shared" si="146"/>
        <v>0</v>
      </c>
      <c r="O2286" t="str">
        <f t="shared" si="147"/>
        <v>Proposta Ok</v>
      </c>
    </row>
    <row r="2287" spans="12:15" x14ac:dyDescent="0.25">
      <c r="L2287">
        <f t="shared" si="144"/>
        <v>0</v>
      </c>
      <c r="M2287">
        <f t="shared" si="145"/>
        <v>1</v>
      </c>
      <c r="N2287">
        <f t="shared" si="146"/>
        <v>0</v>
      </c>
      <c r="O2287" t="str">
        <f t="shared" si="147"/>
        <v>Proposta Ok</v>
      </c>
    </row>
    <row r="2288" spans="12:15" x14ac:dyDescent="0.25">
      <c r="L2288">
        <f t="shared" si="144"/>
        <v>0</v>
      </c>
      <c r="M2288">
        <f t="shared" si="145"/>
        <v>1</v>
      </c>
      <c r="N2288">
        <f t="shared" si="146"/>
        <v>0</v>
      </c>
      <c r="O2288" t="str">
        <f t="shared" si="147"/>
        <v>Proposta Ok</v>
      </c>
    </row>
    <row r="2289" spans="12:15" x14ac:dyDescent="0.25">
      <c r="L2289">
        <f t="shared" si="144"/>
        <v>0</v>
      </c>
      <c r="M2289">
        <f t="shared" si="145"/>
        <v>1</v>
      </c>
      <c r="N2289">
        <f t="shared" si="146"/>
        <v>0</v>
      </c>
      <c r="O2289" t="str">
        <f t="shared" si="147"/>
        <v>Proposta Ok</v>
      </c>
    </row>
    <row r="2290" spans="12:15" x14ac:dyDescent="0.25">
      <c r="L2290">
        <f t="shared" si="144"/>
        <v>0</v>
      </c>
      <c r="M2290">
        <f t="shared" si="145"/>
        <v>1</v>
      </c>
      <c r="N2290">
        <f t="shared" si="146"/>
        <v>0</v>
      </c>
      <c r="O2290" t="str">
        <f t="shared" si="147"/>
        <v>Proposta Ok</v>
      </c>
    </row>
    <row r="2291" spans="12:15" x14ac:dyDescent="0.25">
      <c r="L2291">
        <f t="shared" si="144"/>
        <v>0</v>
      </c>
      <c r="M2291">
        <f t="shared" si="145"/>
        <v>1</v>
      </c>
      <c r="N2291">
        <f t="shared" si="146"/>
        <v>0</v>
      </c>
      <c r="O2291" t="str">
        <f t="shared" si="147"/>
        <v>Proposta Ok</v>
      </c>
    </row>
    <row r="2292" spans="12:15" x14ac:dyDescent="0.25">
      <c r="L2292">
        <f t="shared" si="144"/>
        <v>0</v>
      </c>
      <c r="M2292">
        <f t="shared" si="145"/>
        <v>1</v>
      </c>
      <c r="N2292">
        <f t="shared" si="146"/>
        <v>0</v>
      </c>
      <c r="O2292" t="str">
        <f t="shared" si="147"/>
        <v>Proposta Ok</v>
      </c>
    </row>
    <row r="2293" spans="12:15" x14ac:dyDescent="0.25">
      <c r="L2293">
        <f t="shared" si="144"/>
        <v>0</v>
      </c>
      <c r="M2293">
        <f t="shared" si="145"/>
        <v>1</v>
      </c>
      <c r="N2293">
        <f t="shared" si="146"/>
        <v>0</v>
      </c>
      <c r="O2293" t="str">
        <f t="shared" si="147"/>
        <v>Proposta Ok</v>
      </c>
    </row>
    <row r="2294" spans="12:15" x14ac:dyDescent="0.25">
      <c r="L2294">
        <f t="shared" si="144"/>
        <v>0</v>
      </c>
      <c r="M2294">
        <f t="shared" si="145"/>
        <v>1</v>
      </c>
      <c r="N2294">
        <f t="shared" si="146"/>
        <v>0</v>
      </c>
      <c r="O2294" t="str">
        <f t="shared" si="147"/>
        <v>Proposta Ok</v>
      </c>
    </row>
    <row r="2295" spans="12:15" x14ac:dyDescent="0.25">
      <c r="L2295">
        <f t="shared" si="144"/>
        <v>0</v>
      </c>
      <c r="M2295">
        <f t="shared" si="145"/>
        <v>1</v>
      </c>
      <c r="N2295">
        <f t="shared" si="146"/>
        <v>0</v>
      </c>
      <c r="O2295" t="str">
        <f t="shared" si="147"/>
        <v>Proposta Ok</v>
      </c>
    </row>
    <row r="2296" spans="12:15" x14ac:dyDescent="0.25">
      <c r="L2296">
        <f t="shared" si="144"/>
        <v>0</v>
      </c>
      <c r="M2296">
        <f t="shared" si="145"/>
        <v>1</v>
      </c>
      <c r="N2296">
        <f t="shared" si="146"/>
        <v>0</v>
      </c>
      <c r="O2296" t="str">
        <f t="shared" si="147"/>
        <v>Proposta Ok</v>
      </c>
    </row>
    <row r="2297" spans="12:15" x14ac:dyDescent="0.25">
      <c r="L2297">
        <f t="shared" si="144"/>
        <v>0</v>
      </c>
      <c r="M2297">
        <f t="shared" si="145"/>
        <v>1</v>
      </c>
      <c r="N2297">
        <f t="shared" si="146"/>
        <v>0</v>
      </c>
      <c r="O2297" t="str">
        <f t="shared" si="147"/>
        <v>Proposta Ok</v>
      </c>
    </row>
    <row r="2298" spans="12:15" x14ac:dyDescent="0.25">
      <c r="L2298">
        <f t="shared" si="144"/>
        <v>0</v>
      </c>
      <c r="M2298">
        <f t="shared" si="145"/>
        <v>1</v>
      </c>
      <c r="N2298">
        <f t="shared" si="146"/>
        <v>0</v>
      </c>
      <c r="O2298" t="str">
        <f t="shared" si="147"/>
        <v>Proposta Ok</v>
      </c>
    </row>
    <row r="2299" spans="12:15" x14ac:dyDescent="0.25">
      <c r="L2299">
        <f t="shared" si="144"/>
        <v>0</v>
      </c>
      <c r="M2299">
        <f t="shared" si="145"/>
        <v>1</v>
      </c>
      <c r="N2299">
        <f t="shared" si="146"/>
        <v>0</v>
      </c>
      <c r="O2299" t="str">
        <f t="shared" si="147"/>
        <v>Proposta Ok</v>
      </c>
    </row>
    <row r="2300" spans="12:15" x14ac:dyDescent="0.25">
      <c r="L2300">
        <f t="shared" si="144"/>
        <v>0</v>
      </c>
      <c r="M2300">
        <f t="shared" si="145"/>
        <v>1</v>
      </c>
      <c r="N2300">
        <f t="shared" si="146"/>
        <v>0</v>
      </c>
      <c r="O2300" t="str">
        <f t="shared" si="147"/>
        <v>Proposta Ok</v>
      </c>
    </row>
    <row r="2301" spans="12:15" x14ac:dyDescent="0.25">
      <c r="L2301">
        <f t="shared" si="144"/>
        <v>0</v>
      </c>
      <c r="M2301">
        <f t="shared" si="145"/>
        <v>1</v>
      </c>
      <c r="N2301">
        <f t="shared" si="146"/>
        <v>0</v>
      </c>
      <c r="O2301" t="str">
        <f t="shared" si="147"/>
        <v>Proposta Ok</v>
      </c>
    </row>
    <row r="2302" spans="12:15" x14ac:dyDescent="0.25">
      <c r="L2302">
        <f t="shared" si="144"/>
        <v>0</v>
      </c>
      <c r="M2302">
        <f t="shared" si="145"/>
        <v>1</v>
      </c>
      <c r="N2302">
        <f t="shared" si="146"/>
        <v>0</v>
      </c>
      <c r="O2302" t="str">
        <f t="shared" si="147"/>
        <v>Proposta Ok</v>
      </c>
    </row>
    <row r="2303" spans="12:15" x14ac:dyDescent="0.25">
      <c r="L2303">
        <f t="shared" si="144"/>
        <v>0</v>
      </c>
      <c r="M2303">
        <f t="shared" si="145"/>
        <v>1</v>
      </c>
      <c r="N2303">
        <f t="shared" si="146"/>
        <v>0</v>
      </c>
      <c r="O2303" t="str">
        <f t="shared" si="147"/>
        <v>Proposta Ok</v>
      </c>
    </row>
    <row r="2304" spans="12:15" x14ac:dyDescent="0.25">
      <c r="L2304">
        <f t="shared" si="144"/>
        <v>0</v>
      </c>
      <c r="M2304">
        <f t="shared" si="145"/>
        <v>1</v>
      </c>
      <c r="N2304">
        <f t="shared" si="146"/>
        <v>0</v>
      </c>
      <c r="O2304" t="str">
        <f t="shared" si="147"/>
        <v>Proposta Ok</v>
      </c>
    </row>
    <row r="2305" spans="12:15" x14ac:dyDescent="0.25">
      <c r="L2305">
        <f t="shared" si="144"/>
        <v>0</v>
      </c>
      <c r="M2305">
        <f t="shared" si="145"/>
        <v>1</v>
      </c>
      <c r="N2305">
        <f t="shared" si="146"/>
        <v>0</v>
      </c>
      <c r="O2305" t="str">
        <f t="shared" si="147"/>
        <v>Proposta Ok</v>
      </c>
    </row>
    <row r="2306" spans="12:15" x14ac:dyDescent="0.25">
      <c r="L2306">
        <f t="shared" si="144"/>
        <v>0</v>
      </c>
      <c r="M2306">
        <f t="shared" si="145"/>
        <v>1</v>
      </c>
      <c r="N2306">
        <f t="shared" si="146"/>
        <v>0</v>
      </c>
      <c r="O2306" t="str">
        <f t="shared" si="147"/>
        <v>Proposta Ok</v>
      </c>
    </row>
    <row r="2307" spans="12:15" x14ac:dyDescent="0.25">
      <c r="L2307">
        <f t="shared" si="144"/>
        <v>0</v>
      </c>
      <c r="M2307">
        <f t="shared" si="145"/>
        <v>1</v>
      </c>
      <c r="N2307">
        <f t="shared" si="146"/>
        <v>0</v>
      </c>
      <c r="O2307" t="str">
        <f t="shared" si="147"/>
        <v>Proposta Ok</v>
      </c>
    </row>
    <row r="2308" spans="12:15" x14ac:dyDescent="0.25">
      <c r="L2308">
        <f t="shared" si="144"/>
        <v>0</v>
      </c>
      <c r="M2308">
        <f t="shared" si="145"/>
        <v>1</v>
      </c>
      <c r="N2308">
        <f t="shared" si="146"/>
        <v>0</v>
      </c>
      <c r="O2308" t="str">
        <f t="shared" si="147"/>
        <v>Proposta Ok</v>
      </c>
    </row>
    <row r="2309" spans="12:15" x14ac:dyDescent="0.25">
      <c r="L2309">
        <f t="shared" si="144"/>
        <v>0</v>
      </c>
      <c r="M2309">
        <f t="shared" si="145"/>
        <v>1</v>
      </c>
      <c r="N2309">
        <f t="shared" si="146"/>
        <v>0</v>
      </c>
      <c r="O2309" t="str">
        <f t="shared" si="147"/>
        <v>Proposta Ok</v>
      </c>
    </row>
    <row r="2310" spans="12:15" x14ac:dyDescent="0.25">
      <c r="L2310">
        <f t="shared" si="144"/>
        <v>0</v>
      </c>
      <c r="M2310">
        <f t="shared" si="145"/>
        <v>1</v>
      </c>
      <c r="N2310">
        <f t="shared" si="146"/>
        <v>0</v>
      </c>
      <c r="O2310" t="str">
        <f t="shared" si="147"/>
        <v>Proposta Ok</v>
      </c>
    </row>
    <row r="2311" spans="12:15" x14ac:dyDescent="0.25">
      <c r="L2311">
        <f t="shared" si="144"/>
        <v>0</v>
      </c>
      <c r="M2311">
        <f t="shared" si="145"/>
        <v>1</v>
      </c>
      <c r="N2311">
        <f t="shared" si="146"/>
        <v>0</v>
      </c>
      <c r="O2311" t="str">
        <f t="shared" si="147"/>
        <v>Proposta Ok</v>
      </c>
    </row>
    <row r="2312" spans="12:15" x14ac:dyDescent="0.25">
      <c r="L2312">
        <f t="shared" si="144"/>
        <v>0</v>
      </c>
      <c r="M2312">
        <f t="shared" si="145"/>
        <v>1</v>
      </c>
      <c r="N2312">
        <f t="shared" si="146"/>
        <v>0</v>
      </c>
      <c r="O2312" t="str">
        <f t="shared" si="147"/>
        <v>Proposta Ok</v>
      </c>
    </row>
    <row r="2313" spans="12:15" x14ac:dyDescent="0.25">
      <c r="L2313">
        <f t="shared" si="144"/>
        <v>0</v>
      </c>
      <c r="M2313">
        <f t="shared" si="145"/>
        <v>1</v>
      </c>
      <c r="N2313">
        <f t="shared" si="146"/>
        <v>0</v>
      </c>
      <c r="O2313" t="str">
        <f t="shared" si="147"/>
        <v>Proposta Ok</v>
      </c>
    </row>
    <row r="2314" spans="12:15" x14ac:dyDescent="0.25">
      <c r="L2314">
        <f t="shared" si="144"/>
        <v>0</v>
      </c>
      <c r="M2314">
        <f t="shared" si="145"/>
        <v>1</v>
      </c>
      <c r="N2314">
        <f t="shared" si="146"/>
        <v>0</v>
      </c>
      <c r="O2314" t="str">
        <f t="shared" si="147"/>
        <v>Proposta Ok</v>
      </c>
    </row>
    <row r="2315" spans="12:15" x14ac:dyDescent="0.25">
      <c r="L2315">
        <f t="shared" si="144"/>
        <v>0</v>
      </c>
      <c r="M2315">
        <f t="shared" si="145"/>
        <v>1</v>
      </c>
      <c r="N2315">
        <f t="shared" si="146"/>
        <v>0</v>
      </c>
      <c r="O2315" t="str">
        <f t="shared" si="147"/>
        <v>Proposta Ok</v>
      </c>
    </row>
    <row r="2316" spans="12:15" x14ac:dyDescent="0.25">
      <c r="L2316">
        <f t="shared" si="144"/>
        <v>0</v>
      </c>
      <c r="M2316">
        <f t="shared" si="145"/>
        <v>1</v>
      </c>
      <c r="N2316">
        <f t="shared" si="146"/>
        <v>0</v>
      </c>
      <c r="O2316" t="str">
        <f t="shared" si="147"/>
        <v>Proposta Ok</v>
      </c>
    </row>
    <row r="2317" spans="12:15" x14ac:dyDescent="0.25">
      <c r="L2317">
        <f t="shared" si="144"/>
        <v>0</v>
      </c>
      <c r="M2317">
        <f t="shared" si="145"/>
        <v>1</v>
      </c>
      <c r="N2317">
        <f t="shared" si="146"/>
        <v>0</v>
      </c>
      <c r="O2317" t="str">
        <f t="shared" si="147"/>
        <v>Proposta Ok</v>
      </c>
    </row>
    <row r="2318" spans="12:15" x14ac:dyDescent="0.25">
      <c r="L2318">
        <f t="shared" si="144"/>
        <v>0</v>
      </c>
      <c r="M2318">
        <f t="shared" si="145"/>
        <v>1</v>
      </c>
      <c r="N2318">
        <f t="shared" si="146"/>
        <v>0</v>
      </c>
      <c r="O2318" t="str">
        <f t="shared" si="147"/>
        <v>Proposta Ok</v>
      </c>
    </row>
    <row r="2319" spans="12:15" x14ac:dyDescent="0.25">
      <c r="L2319">
        <f t="shared" si="144"/>
        <v>0</v>
      </c>
      <c r="M2319">
        <f t="shared" si="145"/>
        <v>1</v>
      </c>
      <c r="N2319">
        <f t="shared" si="146"/>
        <v>0</v>
      </c>
      <c r="O2319" t="str">
        <f t="shared" si="147"/>
        <v>Proposta Ok</v>
      </c>
    </row>
    <row r="2320" spans="12:15" x14ac:dyDescent="0.25">
      <c r="L2320">
        <f t="shared" si="144"/>
        <v>0</v>
      </c>
      <c r="M2320">
        <f t="shared" si="145"/>
        <v>1</v>
      </c>
      <c r="N2320">
        <f t="shared" si="146"/>
        <v>0</v>
      </c>
      <c r="O2320" t="str">
        <f t="shared" si="147"/>
        <v>Proposta Ok</v>
      </c>
    </row>
    <row r="2321" spans="12:15" x14ac:dyDescent="0.25">
      <c r="L2321">
        <f t="shared" si="144"/>
        <v>0</v>
      </c>
      <c r="M2321">
        <f t="shared" si="145"/>
        <v>1</v>
      </c>
      <c r="N2321">
        <f t="shared" si="146"/>
        <v>0</v>
      </c>
      <c r="O2321" t="str">
        <f t="shared" si="147"/>
        <v>Proposta Ok</v>
      </c>
    </row>
    <row r="2322" spans="12:15" x14ac:dyDescent="0.25">
      <c r="L2322">
        <f t="shared" si="144"/>
        <v>0</v>
      </c>
      <c r="M2322">
        <f t="shared" si="145"/>
        <v>1</v>
      </c>
      <c r="N2322">
        <f t="shared" si="146"/>
        <v>0</v>
      </c>
      <c r="O2322" t="str">
        <f t="shared" si="147"/>
        <v>Proposta Ok</v>
      </c>
    </row>
    <row r="2323" spans="12:15" x14ac:dyDescent="0.25">
      <c r="L2323">
        <f t="shared" si="144"/>
        <v>0</v>
      </c>
      <c r="M2323">
        <f t="shared" si="145"/>
        <v>1</v>
      </c>
      <c r="N2323">
        <f t="shared" si="146"/>
        <v>0</v>
      </c>
      <c r="O2323" t="str">
        <f t="shared" si="147"/>
        <v>Proposta Ok</v>
      </c>
    </row>
    <row r="2324" spans="12:15" x14ac:dyDescent="0.25">
      <c r="L2324">
        <f t="shared" si="144"/>
        <v>0</v>
      </c>
      <c r="M2324">
        <f t="shared" si="145"/>
        <v>1</v>
      </c>
      <c r="N2324">
        <f t="shared" si="146"/>
        <v>0</v>
      </c>
      <c r="O2324" t="str">
        <f t="shared" si="147"/>
        <v>Proposta Ok</v>
      </c>
    </row>
    <row r="2325" spans="12:15" x14ac:dyDescent="0.25">
      <c r="L2325">
        <f t="shared" si="144"/>
        <v>0</v>
      </c>
      <c r="M2325">
        <f t="shared" si="145"/>
        <v>1</v>
      </c>
      <c r="N2325">
        <f t="shared" si="146"/>
        <v>0</v>
      </c>
      <c r="O2325" t="str">
        <f t="shared" si="147"/>
        <v>Proposta Ok</v>
      </c>
    </row>
    <row r="2326" spans="12:15" x14ac:dyDescent="0.25">
      <c r="L2326">
        <f t="shared" si="144"/>
        <v>0</v>
      </c>
      <c r="M2326">
        <f t="shared" si="145"/>
        <v>1</v>
      </c>
      <c r="N2326">
        <f t="shared" si="146"/>
        <v>0</v>
      </c>
      <c r="O2326" t="str">
        <f t="shared" si="147"/>
        <v>Proposta Ok</v>
      </c>
    </row>
    <row r="2327" spans="12:15" x14ac:dyDescent="0.25">
      <c r="L2327">
        <f t="shared" si="144"/>
        <v>0</v>
      </c>
      <c r="M2327">
        <f t="shared" si="145"/>
        <v>1</v>
      </c>
      <c r="N2327">
        <f t="shared" si="146"/>
        <v>0</v>
      </c>
      <c r="O2327" t="str">
        <f t="shared" si="147"/>
        <v>Proposta Ok</v>
      </c>
    </row>
    <row r="2328" spans="12:15" x14ac:dyDescent="0.25">
      <c r="L2328">
        <f t="shared" si="144"/>
        <v>0</v>
      </c>
      <c r="M2328">
        <f t="shared" si="145"/>
        <v>1</v>
      </c>
      <c r="N2328">
        <f t="shared" si="146"/>
        <v>0</v>
      </c>
      <c r="O2328" t="str">
        <f t="shared" si="147"/>
        <v>Proposta Ok</v>
      </c>
    </row>
    <row r="2329" spans="12:15" x14ac:dyDescent="0.25">
      <c r="L2329">
        <f t="shared" si="144"/>
        <v>0</v>
      </c>
      <c r="M2329">
        <f t="shared" si="145"/>
        <v>1</v>
      </c>
      <c r="N2329">
        <f t="shared" si="146"/>
        <v>0</v>
      </c>
      <c r="O2329" t="str">
        <f t="shared" si="147"/>
        <v>Proposta Ok</v>
      </c>
    </row>
    <row r="2330" spans="12:15" x14ac:dyDescent="0.25">
      <c r="L2330">
        <f t="shared" si="144"/>
        <v>0</v>
      </c>
      <c r="M2330">
        <f t="shared" si="145"/>
        <v>1</v>
      </c>
      <c r="N2330">
        <f t="shared" si="146"/>
        <v>0</v>
      </c>
      <c r="O2330" t="str">
        <f t="shared" si="147"/>
        <v>Proposta Ok</v>
      </c>
    </row>
    <row r="2331" spans="12:15" x14ac:dyDescent="0.25">
      <c r="L2331">
        <f t="shared" ref="L2331:L2394" si="148">IF(OR(I2331="Termo OK (Exceção)",I2331="Termo OK"),1,0)</f>
        <v>0</v>
      </c>
      <c r="M2331">
        <f t="shared" ref="M2331:M2394" si="149">IF(OR(I2331="Termo OK (Exceção)",I2331="Termo OK"),0,1)</f>
        <v>1</v>
      </c>
      <c r="N2331">
        <f t="shared" ref="N2331:N2394" si="150">IF(J2331="SIM",1,0)</f>
        <v>0</v>
      </c>
      <c r="O2331" t="str">
        <f t="shared" ref="O2331:O2394" si="151">IF(SUMIFS(M:M,A:A,A2331)&gt;0,"Proposta não Ok","Proposta Ok")</f>
        <v>Proposta Ok</v>
      </c>
    </row>
    <row r="2332" spans="12:15" x14ac:dyDescent="0.25">
      <c r="L2332">
        <f t="shared" si="148"/>
        <v>0</v>
      </c>
      <c r="M2332">
        <f t="shared" si="149"/>
        <v>1</v>
      </c>
      <c r="N2332">
        <f t="shared" si="150"/>
        <v>0</v>
      </c>
      <c r="O2332" t="str">
        <f t="shared" si="151"/>
        <v>Proposta Ok</v>
      </c>
    </row>
    <row r="2333" spans="12:15" x14ac:dyDescent="0.25">
      <c r="L2333">
        <f t="shared" si="148"/>
        <v>0</v>
      </c>
      <c r="M2333">
        <f t="shared" si="149"/>
        <v>1</v>
      </c>
      <c r="N2333">
        <f t="shared" si="150"/>
        <v>0</v>
      </c>
      <c r="O2333" t="str">
        <f t="shared" si="151"/>
        <v>Proposta Ok</v>
      </c>
    </row>
    <row r="2334" spans="12:15" x14ac:dyDescent="0.25">
      <c r="L2334">
        <f t="shared" si="148"/>
        <v>0</v>
      </c>
      <c r="M2334">
        <f t="shared" si="149"/>
        <v>1</v>
      </c>
      <c r="N2334">
        <f t="shared" si="150"/>
        <v>0</v>
      </c>
      <c r="O2334" t="str">
        <f t="shared" si="151"/>
        <v>Proposta Ok</v>
      </c>
    </row>
    <row r="2335" spans="12:15" x14ac:dyDescent="0.25">
      <c r="L2335">
        <f t="shared" si="148"/>
        <v>0</v>
      </c>
      <c r="M2335">
        <f t="shared" si="149"/>
        <v>1</v>
      </c>
      <c r="N2335">
        <f t="shared" si="150"/>
        <v>0</v>
      </c>
      <c r="O2335" t="str">
        <f t="shared" si="151"/>
        <v>Proposta Ok</v>
      </c>
    </row>
    <row r="2336" spans="12:15" x14ac:dyDescent="0.25">
      <c r="L2336">
        <f t="shared" si="148"/>
        <v>0</v>
      </c>
      <c r="M2336">
        <f t="shared" si="149"/>
        <v>1</v>
      </c>
      <c r="N2336">
        <f t="shared" si="150"/>
        <v>0</v>
      </c>
      <c r="O2336" t="str">
        <f t="shared" si="151"/>
        <v>Proposta Ok</v>
      </c>
    </row>
    <row r="2337" spans="12:15" x14ac:dyDescent="0.25">
      <c r="L2337">
        <f t="shared" si="148"/>
        <v>0</v>
      </c>
      <c r="M2337">
        <f t="shared" si="149"/>
        <v>1</v>
      </c>
      <c r="N2337">
        <f t="shared" si="150"/>
        <v>0</v>
      </c>
      <c r="O2337" t="str">
        <f t="shared" si="151"/>
        <v>Proposta Ok</v>
      </c>
    </row>
    <row r="2338" spans="12:15" x14ac:dyDescent="0.25">
      <c r="L2338">
        <f t="shared" si="148"/>
        <v>0</v>
      </c>
      <c r="M2338">
        <f t="shared" si="149"/>
        <v>1</v>
      </c>
      <c r="N2338">
        <f t="shared" si="150"/>
        <v>0</v>
      </c>
      <c r="O2338" t="str">
        <f t="shared" si="151"/>
        <v>Proposta Ok</v>
      </c>
    </row>
    <row r="2339" spans="12:15" x14ac:dyDescent="0.25">
      <c r="L2339">
        <f t="shared" si="148"/>
        <v>0</v>
      </c>
      <c r="M2339">
        <f t="shared" si="149"/>
        <v>1</v>
      </c>
      <c r="N2339">
        <f t="shared" si="150"/>
        <v>0</v>
      </c>
      <c r="O2339" t="str">
        <f t="shared" si="151"/>
        <v>Proposta Ok</v>
      </c>
    </row>
    <row r="2340" spans="12:15" x14ac:dyDescent="0.25">
      <c r="L2340">
        <f t="shared" si="148"/>
        <v>0</v>
      </c>
      <c r="M2340">
        <f t="shared" si="149"/>
        <v>1</v>
      </c>
      <c r="N2340">
        <f t="shared" si="150"/>
        <v>0</v>
      </c>
      <c r="O2340" t="str">
        <f t="shared" si="151"/>
        <v>Proposta Ok</v>
      </c>
    </row>
    <row r="2341" spans="12:15" x14ac:dyDescent="0.25">
      <c r="L2341">
        <f t="shared" si="148"/>
        <v>0</v>
      </c>
      <c r="M2341">
        <f t="shared" si="149"/>
        <v>1</v>
      </c>
      <c r="N2341">
        <f t="shared" si="150"/>
        <v>0</v>
      </c>
      <c r="O2341" t="str">
        <f t="shared" si="151"/>
        <v>Proposta Ok</v>
      </c>
    </row>
    <row r="2342" spans="12:15" x14ac:dyDescent="0.25">
      <c r="L2342">
        <f t="shared" si="148"/>
        <v>0</v>
      </c>
      <c r="M2342">
        <f t="shared" si="149"/>
        <v>1</v>
      </c>
      <c r="N2342">
        <f t="shared" si="150"/>
        <v>0</v>
      </c>
      <c r="O2342" t="str">
        <f t="shared" si="151"/>
        <v>Proposta Ok</v>
      </c>
    </row>
    <row r="2343" spans="12:15" x14ac:dyDescent="0.25">
      <c r="L2343">
        <f t="shared" si="148"/>
        <v>0</v>
      </c>
      <c r="M2343">
        <f t="shared" si="149"/>
        <v>1</v>
      </c>
      <c r="N2343">
        <f t="shared" si="150"/>
        <v>0</v>
      </c>
      <c r="O2343" t="str">
        <f t="shared" si="151"/>
        <v>Proposta Ok</v>
      </c>
    </row>
    <row r="2344" spans="12:15" x14ac:dyDescent="0.25">
      <c r="L2344">
        <f t="shared" si="148"/>
        <v>0</v>
      </c>
      <c r="M2344">
        <f t="shared" si="149"/>
        <v>1</v>
      </c>
      <c r="N2344">
        <f t="shared" si="150"/>
        <v>0</v>
      </c>
      <c r="O2344" t="str">
        <f t="shared" si="151"/>
        <v>Proposta Ok</v>
      </c>
    </row>
    <row r="2345" spans="12:15" x14ac:dyDescent="0.25">
      <c r="L2345">
        <f t="shared" si="148"/>
        <v>0</v>
      </c>
      <c r="M2345">
        <f t="shared" si="149"/>
        <v>1</v>
      </c>
      <c r="N2345">
        <f t="shared" si="150"/>
        <v>0</v>
      </c>
      <c r="O2345" t="str">
        <f t="shared" si="151"/>
        <v>Proposta Ok</v>
      </c>
    </row>
    <row r="2346" spans="12:15" x14ac:dyDescent="0.25">
      <c r="L2346">
        <f t="shared" si="148"/>
        <v>0</v>
      </c>
      <c r="M2346">
        <f t="shared" si="149"/>
        <v>1</v>
      </c>
      <c r="N2346">
        <f t="shared" si="150"/>
        <v>0</v>
      </c>
      <c r="O2346" t="str">
        <f t="shared" si="151"/>
        <v>Proposta Ok</v>
      </c>
    </row>
    <row r="2347" spans="12:15" x14ac:dyDescent="0.25">
      <c r="L2347">
        <f t="shared" si="148"/>
        <v>0</v>
      </c>
      <c r="M2347">
        <f t="shared" si="149"/>
        <v>1</v>
      </c>
      <c r="N2347">
        <f t="shared" si="150"/>
        <v>0</v>
      </c>
      <c r="O2347" t="str">
        <f t="shared" si="151"/>
        <v>Proposta Ok</v>
      </c>
    </row>
    <row r="2348" spans="12:15" x14ac:dyDescent="0.25">
      <c r="L2348">
        <f t="shared" si="148"/>
        <v>0</v>
      </c>
      <c r="M2348">
        <f t="shared" si="149"/>
        <v>1</v>
      </c>
      <c r="N2348">
        <f t="shared" si="150"/>
        <v>0</v>
      </c>
      <c r="O2348" t="str">
        <f t="shared" si="151"/>
        <v>Proposta Ok</v>
      </c>
    </row>
    <row r="2349" spans="12:15" x14ac:dyDescent="0.25">
      <c r="L2349">
        <f t="shared" si="148"/>
        <v>0</v>
      </c>
      <c r="M2349">
        <f t="shared" si="149"/>
        <v>1</v>
      </c>
      <c r="N2349">
        <f t="shared" si="150"/>
        <v>0</v>
      </c>
      <c r="O2349" t="str">
        <f t="shared" si="151"/>
        <v>Proposta Ok</v>
      </c>
    </row>
    <row r="2350" spans="12:15" x14ac:dyDescent="0.25">
      <c r="L2350">
        <f t="shared" si="148"/>
        <v>0</v>
      </c>
      <c r="M2350">
        <f t="shared" si="149"/>
        <v>1</v>
      </c>
      <c r="N2350">
        <f t="shared" si="150"/>
        <v>0</v>
      </c>
      <c r="O2350" t="str">
        <f t="shared" si="151"/>
        <v>Proposta Ok</v>
      </c>
    </row>
    <row r="2351" spans="12:15" x14ac:dyDescent="0.25">
      <c r="L2351">
        <f t="shared" si="148"/>
        <v>0</v>
      </c>
      <c r="M2351">
        <f t="shared" si="149"/>
        <v>1</v>
      </c>
      <c r="N2351">
        <f t="shared" si="150"/>
        <v>0</v>
      </c>
      <c r="O2351" t="str">
        <f t="shared" si="151"/>
        <v>Proposta Ok</v>
      </c>
    </row>
    <row r="2352" spans="12:15" x14ac:dyDescent="0.25">
      <c r="L2352">
        <f t="shared" si="148"/>
        <v>0</v>
      </c>
      <c r="M2352">
        <f t="shared" si="149"/>
        <v>1</v>
      </c>
      <c r="N2352">
        <f t="shared" si="150"/>
        <v>0</v>
      </c>
      <c r="O2352" t="str">
        <f t="shared" si="151"/>
        <v>Proposta Ok</v>
      </c>
    </row>
    <row r="2353" spans="12:15" x14ac:dyDescent="0.25">
      <c r="L2353">
        <f t="shared" si="148"/>
        <v>0</v>
      </c>
      <c r="M2353">
        <f t="shared" si="149"/>
        <v>1</v>
      </c>
      <c r="N2353">
        <f t="shared" si="150"/>
        <v>0</v>
      </c>
      <c r="O2353" t="str">
        <f t="shared" si="151"/>
        <v>Proposta Ok</v>
      </c>
    </row>
    <row r="2354" spans="12:15" x14ac:dyDescent="0.25">
      <c r="L2354">
        <f t="shared" si="148"/>
        <v>0</v>
      </c>
      <c r="M2354">
        <f t="shared" si="149"/>
        <v>1</v>
      </c>
      <c r="N2354">
        <f t="shared" si="150"/>
        <v>0</v>
      </c>
      <c r="O2354" t="str">
        <f t="shared" si="151"/>
        <v>Proposta Ok</v>
      </c>
    </row>
    <row r="2355" spans="12:15" x14ac:dyDescent="0.25">
      <c r="L2355">
        <f t="shared" si="148"/>
        <v>0</v>
      </c>
      <c r="M2355">
        <f t="shared" si="149"/>
        <v>1</v>
      </c>
      <c r="N2355">
        <f t="shared" si="150"/>
        <v>0</v>
      </c>
      <c r="O2355" t="str">
        <f t="shared" si="151"/>
        <v>Proposta Ok</v>
      </c>
    </row>
    <row r="2356" spans="12:15" x14ac:dyDescent="0.25">
      <c r="L2356">
        <f t="shared" si="148"/>
        <v>0</v>
      </c>
      <c r="M2356">
        <f t="shared" si="149"/>
        <v>1</v>
      </c>
      <c r="N2356">
        <f t="shared" si="150"/>
        <v>0</v>
      </c>
      <c r="O2356" t="str">
        <f t="shared" si="151"/>
        <v>Proposta Ok</v>
      </c>
    </row>
    <row r="2357" spans="12:15" x14ac:dyDescent="0.25">
      <c r="L2357">
        <f t="shared" si="148"/>
        <v>0</v>
      </c>
      <c r="M2357">
        <f t="shared" si="149"/>
        <v>1</v>
      </c>
      <c r="N2357">
        <f t="shared" si="150"/>
        <v>0</v>
      </c>
      <c r="O2357" t="str">
        <f t="shared" si="151"/>
        <v>Proposta Ok</v>
      </c>
    </row>
    <row r="2358" spans="12:15" x14ac:dyDescent="0.25">
      <c r="L2358">
        <f t="shared" si="148"/>
        <v>0</v>
      </c>
      <c r="M2358">
        <f t="shared" si="149"/>
        <v>1</v>
      </c>
      <c r="N2358">
        <f t="shared" si="150"/>
        <v>0</v>
      </c>
      <c r="O2358" t="str">
        <f t="shared" si="151"/>
        <v>Proposta Ok</v>
      </c>
    </row>
    <row r="2359" spans="12:15" x14ac:dyDescent="0.25">
      <c r="L2359">
        <f t="shared" si="148"/>
        <v>0</v>
      </c>
      <c r="M2359">
        <f t="shared" si="149"/>
        <v>1</v>
      </c>
      <c r="N2359">
        <f t="shared" si="150"/>
        <v>0</v>
      </c>
      <c r="O2359" t="str">
        <f t="shared" si="151"/>
        <v>Proposta Ok</v>
      </c>
    </row>
    <row r="2360" spans="12:15" x14ac:dyDescent="0.25">
      <c r="L2360">
        <f t="shared" si="148"/>
        <v>0</v>
      </c>
      <c r="M2360">
        <f t="shared" si="149"/>
        <v>1</v>
      </c>
      <c r="N2360">
        <f t="shared" si="150"/>
        <v>0</v>
      </c>
      <c r="O2360" t="str">
        <f t="shared" si="151"/>
        <v>Proposta Ok</v>
      </c>
    </row>
    <row r="2361" spans="12:15" x14ac:dyDescent="0.25">
      <c r="L2361">
        <f t="shared" si="148"/>
        <v>0</v>
      </c>
      <c r="M2361">
        <f t="shared" si="149"/>
        <v>1</v>
      </c>
      <c r="N2361">
        <f t="shared" si="150"/>
        <v>0</v>
      </c>
      <c r="O2361" t="str">
        <f t="shared" si="151"/>
        <v>Proposta Ok</v>
      </c>
    </row>
    <row r="2362" spans="12:15" x14ac:dyDescent="0.25">
      <c r="L2362">
        <f t="shared" si="148"/>
        <v>0</v>
      </c>
      <c r="M2362">
        <f t="shared" si="149"/>
        <v>1</v>
      </c>
      <c r="N2362">
        <f t="shared" si="150"/>
        <v>0</v>
      </c>
      <c r="O2362" t="str">
        <f t="shared" si="151"/>
        <v>Proposta Ok</v>
      </c>
    </row>
    <row r="2363" spans="12:15" x14ac:dyDescent="0.25">
      <c r="L2363">
        <f t="shared" si="148"/>
        <v>0</v>
      </c>
      <c r="M2363">
        <f t="shared" si="149"/>
        <v>1</v>
      </c>
      <c r="N2363">
        <f t="shared" si="150"/>
        <v>0</v>
      </c>
      <c r="O2363" t="str">
        <f t="shared" si="151"/>
        <v>Proposta Ok</v>
      </c>
    </row>
    <row r="2364" spans="12:15" x14ac:dyDescent="0.25">
      <c r="L2364">
        <f t="shared" si="148"/>
        <v>0</v>
      </c>
      <c r="M2364">
        <f t="shared" si="149"/>
        <v>1</v>
      </c>
      <c r="N2364">
        <f t="shared" si="150"/>
        <v>0</v>
      </c>
      <c r="O2364" t="str">
        <f t="shared" si="151"/>
        <v>Proposta Ok</v>
      </c>
    </row>
    <row r="2365" spans="12:15" x14ac:dyDescent="0.25">
      <c r="L2365">
        <f t="shared" si="148"/>
        <v>0</v>
      </c>
      <c r="M2365">
        <f t="shared" si="149"/>
        <v>1</v>
      </c>
      <c r="N2365">
        <f t="shared" si="150"/>
        <v>0</v>
      </c>
      <c r="O2365" t="str">
        <f t="shared" si="151"/>
        <v>Proposta Ok</v>
      </c>
    </row>
    <row r="2366" spans="12:15" x14ac:dyDescent="0.25">
      <c r="L2366">
        <f t="shared" si="148"/>
        <v>0</v>
      </c>
      <c r="M2366">
        <f t="shared" si="149"/>
        <v>1</v>
      </c>
      <c r="N2366">
        <f t="shared" si="150"/>
        <v>0</v>
      </c>
      <c r="O2366" t="str">
        <f t="shared" si="151"/>
        <v>Proposta Ok</v>
      </c>
    </row>
    <row r="2367" spans="12:15" x14ac:dyDescent="0.25">
      <c r="L2367">
        <f t="shared" si="148"/>
        <v>0</v>
      </c>
      <c r="M2367">
        <f t="shared" si="149"/>
        <v>1</v>
      </c>
      <c r="N2367">
        <f t="shared" si="150"/>
        <v>0</v>
      </c>
      <c r="O2367" t="str">
        <f t="shared" si="151"/>
        <v>Proposta Ok</v>
      </c>
    </row>
    <row r="2368" spans="12:15" x14ac:dyDescent="0.25">
      <c r="L2368">
        <f t="shared" si="148"/>
        <v>0</v>
      </c>
      <c r="M2368">
        <f t="shared" si="149"/>
        <v>1</v>
      </c>
      <c r="N2368">
        <f t="shared" si="150"/>
        <v>0</v>
      </c>
      <c r="O2368" t="str">
        <f t="shared" si="151"/>
        <v>Proposta Ok</v>
      </c>
    </row>
    <row r="2369" spans="12:15" x14ac:dyDescent="0.25">
      <c r="L2369">
        <f t="shared" si="148"/>
        <v>0</v>
      </c>
      <c r="M2369">
        <f t="shared" si="149"/>
        <v>1</v>
      </c>
      <c r="N2369">
        <f t="shared" si="150"/>
        <v>0</v>
      </c>
      <c r="O2369" t="str">
        <f t="shared" si="151"/>
        <v>Proposta Ok</v>
      </c>
    </row>
    <row r="2370" spans="12:15" x14ac:dyDescent="0.25">
      <c r="L2370">
        <f t="shared" si="148"/>
        <v>0</v>
      </c>
      <c r="M2370">
        <f t="shared" si="149"/>
        <v>1</v>
      </c>
      <c r="N2370">
        <f t="shared" si="150"/>
        <v>0</v>
      </c>
      <c r="O2370" t="str">
        <f t="shared" si="151"/>
        <v>Proposta Ok</v>
      </c>
    </row>
    <row r="2371" spans="12:15" x14ac:dyDescent="0.25">
      <c r="L2371">
        <f t="shared" si="148"/>
        <v>0</v>
      </c>
      <c r="M2371">
        <f t="shared" si="149"/>
        <v>1</v>
      </c>
      <c r="N2371">
        <f t="shared" si="150"/>
        <v>0</v>
      </c>
      <c r="O2371" t="str">
        <f t="shared" si="151"/>
        <v>Proposta Ok</v>
      </c>
    </row>
    <row r="2372" spans="12:15" x14ac:dyDescent="0.25">
      <c r="L2372">
        <f t="shared" si="148"/>
        <v>0</v>
      </c>
      <c r="M2372">
        <f t="shared" si="149"/>
        <v>1</v>
      </c>
      <c r="N2372">
        <f t="shared" si="150"/>
        <v>0</v>
      </c>
      <c r="O2372" t="str">
        <f t="shared" si="151"/>
        <v>Proposta Ok</v>
      </c>
    </row>
    <row r="2373" spans="12:15" x14ac:dyDescent="0.25">
      <c r="L2373">
        <f t="shared" si="148"/>
        <v>0</v>
      </c>
      <c r="M2373">
        <f t="shared" si="149"/>
        <v>1</v>
      </c>
      <c r="N2373">
        <f t="shared" si="150"/>
        <v>0</v>
      </c>
      <c r="O2373" t="str">
        <f t="shared" si="151"/>
        <v>Proposta Ok</v>
      </c>
    </row>
    <row r="2374" spans="12:15" x14ac:dyDescent="0.25">
      <c r="L2374">
        <f t="shared" si="148"/>
        <v>0</v>
      </c>
      <c r="M2374">
        <f t="shared" si="149"/>
        <v>1</v>
      </c>
      <c r="N2374">
        <f t="shared" si="150"/>
        <v>0</v>
      </c>
      <c r="O2374" t="str">
        <f t="shared" si="151"/>
        <v>Proposta Ok</v>
      </c>
    </row>
    <row r="2375" spans="12:15" x14ac:dyDescent="0.25">
      <c r="L2375">
        <f t="shared" si="148"/>
        <v>0</v>
      </c>
      <c r="M2375">
        <f t="shared" si="149"/>
        <v>1</v>
      </c>
      <c r="N2375">
        <f t="shared" si="150"/>
        <v>0</v>
      </c>
      <c r="O2375" t="str">
        <f t="shared" si="151"/>
        <v>Proposta Ok</v>
      </c>
    </row>
    <row r="2376" spans="12:15" x14ac:dyDescent="0.25">
      <c r="L2376">
        <f t="shared" si="148"/>
        <v>0</v>
      </c>
      <c r="M2376">
        <f t="shared" si="149"/>
        <v>1</v>
      </c>
      <c r="N2376">
        <f t="shared" si="150"/>
        <v>0</v>
      </c>
      <c r="O2376" t="str">
        <f t="shared" si="151"/>
        <v>Proposta Ok</v>
      </c>
    </row>
    <row r="2377" spans="12:15" x14ac:dyDescent="0.25">
      <c r="L2377">
        <f t="shared" si="148"/>
        <v>0</v>
      </c>
      <c r="M2377">
        <f t="shared" si="149"/>
        <v>1</v>
      </c>
      <c r="N2377">
        <f t="shared" si="150"/>
        <v>0</v>
      </c>
      <c r="O2377" t="str">
        <f t="shared" si="151"/>
        <v>Proposta Ok</v>
      </c>
    </row>
    <row r="2378" spans="12:15" x14ac:dyDescent="0.25">
      <c r="L2378">
        <f t="shared" si="148"/>
        <v>0</v>
      </c>
      <c r="M2378">
        <f t="shared" si="149"/>
        <v>1</v>
      </c>
      <c r="N2378">
        <f t="shared" si="150"/>
        <v>0</v>
      </c>
      <c r="O2378" t="str">
        <f t="shared" si="151"/>
        <v>Proposta Ok</v>
      </c>
    </row>
    <row r="2379" spans="12:15" x14ac:dyDescent="0.25">
      <c r="L2379">
        <f t="shared" si="148"/>
        <v>0</v>
      </c>
      <c r="M2379">
        <f t="shared" si="149"/>
        <v>1</v>
      </c>
      <c r="N2379">
        <f t="shared" si="150"/>
        <v>0</v>
      </c>
      <c r="O2379" t="str">
        <f t="shared" si="151"/>
        <v>Proposta Ok</v>
      </c>
    </row>
    <row r="2380" spans="12:15" x14ac:dyDescent="0.25">
      <c r="L2380">
        <f t="shared" si="148"/>
        <v>0</v>
      </c>
      <c r="M2380">
        <f t="shared" si="149"/>
        <v>1</v>
      </c>
      <c r="N2380">
        <f t="shared" si="150"/>
        <v>0</v>
      </c>
      <c r="O2380" t="str">
        <f t="shared" si="151"/>
        <v>Proposta Ok</v>
      </c>
    </row>
    <row r="2381" spans="12:15" x14ac:dyDescent="0.25">
      <c r="L2381">
        <f t="shared" si="148"/>
        <v>0</v>
      </c>
      <c r="M2381">
        <f t="shared" si="149"/>
        <v>1</v>
      </c>
      <c r="N2381">
        <f t="shared" si="150"/>
        <v>0</v>
      </c>
      <c r="O2381" t="str">
        <f t="shared" si="151"/>
        <v>Proposta Ok</v>
      </c>
    </row>
    <row r="2382" spans="12:15" x14ac:dyDescent="0.25">
      <c r="L2382">
        <f t="shared" si="148"/>
        <v>0</v>
      </c>
      <c r="M2382">
        <f t="shared" si="149"/>
        <v>1</v>
      </c>
      <c r="N2382">
        <f t="shared" si="150"/>
        <v>0</v>
      </c>
      <c r="O2382" t="str">
        <f t="shared" si="151"/>
        <v>Proposta Ok</v>
      </c>
    </row>
    <row r="2383" spans="12:15" x14ac:dyDescent="0.25">
      <c r="L2383">
        <f t="shared" si="148"/>
        <v>0</v>
      </c>
      <c r="M2383">
        <f t="shared" si="149"/>
        <v>1</v>
      </c>
      <c r="N2383">
        <f t="shared" si="150"/>
        <v>0</v>
      </c>
      <c r="O2383" t="str">
        <f t="shared" si="151"/>
        <v>Proposta Ok</v>
      </c>
    </row>
    <row r="2384" spans="12:15" x14ac:dyDescent="0.25">
      <c r="L2384">
        <f t="shared" si="148"/>
        <v>0</v>
      </c>
      <c r="M2384">
        <f t="shared" si="149"/>
        <v>1</v>
      </c>
      <c r="N2384">
        <f t="shared" si="150"/>
        <v>0</v>
      </c>
      <c r="O2384" t="str">
        <f t="shared" si="151"/>
        <v>Proposta Ok</v>
      </c>
    </row>
    <row r="2385" spans="12:15" x14ac:dyDescent="0.25">
      <c r="L2385">
        <f t="shared" si="148"/>
        <v>0</v>
      </c>
      <c r="M2385">
        <f t="shared" si="149"/>
        <v>1</v>
      </c>
      <c r="N2385">
        <f t="shared" si="150"/>
        <v>0</v>
      </c>
      <c r="O2385" t="str">
        <f t="shared" si="151"/>
        <v>Proposta Ok</v>
      </c>
    </row>
    <row r="2386" spans="12:15" x14ac:dyDescent="0.25">
      <c r="L2386">
        <f t="shared" si="148"/>
        <v>0</v>
      </c>
      <c r="M2386">
        <f t="shared" si="149"/>
        <v>1</v>
      </c>
      <c r="N2386">
        <f t="shared" si="150"/>
        <v>0</v>
      </c>
      <c r="O2386" t="str">
        <f t="shared" si="151"/>
        <v>Proposta Ok</v>
      </c>
    </row>
    <row r="2387" spans="12:15" x14ac:dyDescent="0.25">
      <c r="L2387">
        <f t="shared" si="148"/>
        <v>0</v>
      </c>
      <c r="M2387">
        <f t="shared" si="149"/>
        <v>1</v>
      </c>
      <c r="N2387">
        <f t="shared" si="150"/>
        <v>0</v>
      </c>
      <c r="O2387" t="str">
        <f t="shared" si="151"/>
        <v>Proposta Ok</v>
      </c>
    </row>
    <row r="2388" spans="12:15" x14ac:dyDescent="0.25">
      <c r="L2388">
        <f t="shared" si="148"/>
        <v>0</v>
      </c>
      <c r="M2388">
        <f t="shared" si="149"/>
        <v>1</v>
      </c>
      <c r="N2388">
        <f t="shared" si="150"/>
        <v>0</v>
      </c>
      <c r="O2388" t="str">
        <f t="shared" si="151"/>
        <v>Proposta Ok</v>
      </c>
    </row>
    <row r="2389" spans="12:15" x14ac:dyDescent="0.25">
      <c r="L2389">
        <f t="shared" si="148"/>
        <v>0</v>
      </c>
      <c r="M2389">
        <f t="shared" si="149"/>
        <v>1</v>
      </c>
      <c r="N2389">
        <f t="shared" si="150"/>
        <v>0</v>
      </c>
      <c r="O2389" t="str">
        <f t="shared" si="151"/>
        <v>Proposta Ok</v>
      </c>
    </row>
    <row r="2390" spans="12:15" x14ac:dyDescent="0.25">
      <c r="L2390">
        <f t="shared" si="148"/>
        <v>0</v>
      </c>
      <c r="M2390">
        <f t="shared" si="149"/>
        <v>1</v>
      </c>
      <c r="N2390">
        <f t="shared" si="150"/>
        <v>0</v>
      </c>
      <c r="O2390" t="str">
        <f t="shared" si="151"/>
        <v>Proposta Ok</v>
      </c>
    </row>
    <row r="2391" spans="12:15" x14ac:dyDescent="0.25">
      <c r="L2391">
        <f t="shared" si="148"/>
        <v>0</v>
      </c>
      <c r="M2391">
        <f t="shared" si="149"/>
        <v>1</v>
      </c>
      <c r="N2391">
        <f t="shared" si="150"/>
        <v>0</v>
      </c>
      <c r="O2391" t="str">
        <f t="shared" si="151"/>
        <v>Proposta Ok</v>
      </c>
    </row>
    <row r="2392" spans="12:15" x14ac:dyDescent="0.25">
      <c r="L2392">
        <f t="shared" si="148"/>
        <v>0</v>
      </c>
      <c r="M2392">
        <f t="shared" si="149"/>
        <v>1</v>
      </c>
      <c r="N2392">
        <f t="shared" si="150"/>
        <v>0</v>
      </c>
      <c r="O2392" t="str">
        <f t="shared" si="151"/>
        <v>Proposta Ok</v>
      </c>
    </row>
    <row r="2393" spans="12:15" x14ac:dyDescent="0.25">
      <c r="L2393">
        <f t="shared" si="148"/>
        <v>0</v>
      </c>
      <c r="M2393">
        <f t="shared" si="149"/>
        <v>1</v>
      </c>
      <c r="N2393">
        <f t="shared" si="150"/>
        <v>0</v>
      </c>
      <c r="O2393" t="str">
        <f t="shared" si="151"/>
        <v>Proposta Ok</v>
      </c>
    </row>
    <row r="2394" spans="12:15" x14ac:dyDescent="0.25">
      <c r="L2394">
        <f t="shared" si="148"/>
        <v>0</v>
      </c>
      <c r="M2394">
        <f t="shared" si="149"/>
        <v>1</v>
      </c>
      <c r="N2394">
        <f t="shared" si="150"/>
        <v>0</v>
      </c>
      <c r="O2394" t="str">
        <f t="shared" si="151"/>
        <v>Proposta Ok</v>
      </c>
    </row>
    <row r="2395" spans="12:15" x14ac:dyDescent="0.25">
      <c r="L2395">
        <f t="shared" ref="L2395:L2458" si="152">IF(OR(I2395="Termo OK (Exceção)",I2395="Termo OK"),1,0)</f>
        <v>0</v>
      </c>
      <c r="M2395">
        <f t="shared" ref="M2395:M2458" si="153">IF(OR(I2395="Termo OK (Exceção)",I2395="Termo OK"),0,1)</f>
        <v>1</v>
      </c>
      <c r="N2395">
        <f t="shared" ref="N2395:N2458" si="154">IF(J2395="SIM",1,0)</f>
        <v>0</v>
      </c>
      <c r="O2395" t="str">
        <f t="shared" ref="O2395:O2458" si="155">IF(SUMIFS(M:M,A:A,A2395)&gt;0,"Proposta não Ok","Proposta Ok")</f>
        <v>Proposta Ok</v>
      </c>
    </row>
    <row r="2396" spans="12:15" x14ac:dyDescent="0.25">
      <c r="L2396">
        <f t="shared" si="152"/>
        <v>0</v>
      </c>
      <c r="M2396">
        <f t="shared" si="153"/>
        <v>1</v>
      </c>
      <c r="N2396">
        <f t="shared" si="154"/>
        <v>0</v>
      </c>
      <c r="O2396" t="str">
        <f t="shared" si="155"/>
        <v>Proposta Ok</v>
      </c>
    </row>
    <row r="2397" spans="12:15" x14ac:dyDescent="0.25">
      <c r="L2397">
        <f t="shared" si="152"/>
        <v>0</v>
      </c>
      <c r="M2397">
        <f t="shared" si="153"/>
        <v>1</v>
      </c>
      <c r="N2397">
        <f t="shared" si="154"/>
        <v>0</v>
      </c>
      <c r="O2397" t="str">
        <f t="shared" si="155"/>
        <v>Proposta Ok</v>
      </c>
    </row>
    <row r="2398" spans="12:15" x14ac:dyDescent="0.25">
      <c r="L2398">
        <f t="shared" si="152"/>
        <v>0</v>
      </c>
      <c r="M2398">
        <f t="shared" si="153"/>
        <v>1</v>
      </c>
      <c r="N2398">
        <f t="shared" si="154"/>
        <v>0</v>
      </c>
      <c r="O2398" t="str">
        <f t="shared" si="155"/>
        <v>Proposta Ok</v>
      </c>
    </row>
    <row r="2399" spans="12:15" x14ac:dyDescent="0.25">
      <c r="L2399">
        <f t="shared" si="152"/>
        <v>0</v>
      </c>
      <c r="M2399">
        <f t="shared" si="153"/>
        <v>1</v>
      </c>
      <c r="N2399">
        <f t="shared" si="154"/>
        <v>0</v>
      </c>
      <c r="O2399" t="str">
        <f t="shared" si="155"/>
        <v>Proposta Ok</v>
      </c>
    </row>
    <row r="2400" spans="12:15" x14ac:dyDescent="0.25">
      <c r="L2400">
        <f t="shared" si="152"/>
        <v>0</v>
      </c>
      <c r="M2400">
        <f t="shared" si="153"/>
        <v>1</v>
      </c>
      <c r="N2400">
        <f t="shared" si="154"/>
        <v>0</v>
      </c>
      <c r="O2400" t="str">
        <f t="shared" si="155"/>
        <v>Proposta Ok</v>
      </c>
    </row>
    <row r="2401" spans="12:15" x14ac:dyDescent="0.25">
      <c r="L2401">
        <f t="shared" si="152"/>
        <v>0</v>
      </c>
      <c r="M2401">
        <f t="shared" si="153"/>
        <v>1</v>
      </c>
      <c r="N2401">
        <f t="shared" si="154"/>
        <v>0</v>
      </c>
      <c r="O2401" t="str">
        <f t="shared" si="155"/>
        <v>Proposta Ok</v>
      </c>
    </row>
    <row r="2402" spans="12:15" x14ac:dyDescent="0.25">
      <c r="L2402">
        <f t="shared" si="152"/>
        <v>0</v>
      </c>
      <c r="M2402">
        <f t="shared" si="153"/>
        <v>1</v>
      </c>
      <c r="N2402">
        <f t="shared" si="154"/>
        <v>0</v>
      </c>
      <c r="O2402" t="str">
        <f t="shared" si="155"/>
        <v>Proposta Ok</v>
      </c>
    </row>
    <row r="2403" spans="12:15" x14ac:dyDescent="0.25">
      <c r="L2403">
        <f t="shared" si="152"/>
        <v>0</v>
      </c>
      <c r="M2403">
        <f t="shared" si="153"/>
        <v>1</v>
      </c>
      <c r="N2403">
        <f t="shared" si="154"/>
        <v>0</v>
      </c>
      <c r="O2403" t="str">
        <f t="shared" si="155"/>
        <v>Proposta Ok</v>
      </c>
    </row>
    <row r="2404" spans="12:15" x14ac:dyDescent="0.25">
      <c r="L2404">
        <f t="shared" si="152"/>
        <v>0</v>
      </c>
      <c r="M2404">
        <f t="shared" si="153"/>
        <v>1</v>
      </c>
      <c r="N2404">
        <f t="shared" si="154"/>
        <v>0</v>
      </c>
      <c r="O2404" t="str">
        <f t="shared" si="155"/>
        <v>Proposta Ok</v>
      </c>
    </row>
    <row r="2405" spans="12:15" x14ac:dyDescent="0.25">
      <c r="L2405">
        <f t="shared" si="152"/>
        <v>0</v>
      </c>
      <c r="M2405">
        <f t="shared" si="153"/>
        <v>1</v>
      </c>
      <c r="N2405">
        <f t="shared" si="154"/>
        <v>0</v>
      </c>
      <c r="O2405" t="str">
        <f t="shared" si="155"/>
        <v>Proposta Ok</v>
      </c>
    </row>
    <row r="2406" spans="12:15" x14ac:dyDescent="0.25">
      <c r="L2406">
        <f t="shared" si="152"/>
        <v>0</v>
      </c>
      <c r="M2406">
        <f t="shared" si="153"/>
        <v>1</v>
      </c>
      <c r="N2406">
        <f t="shared" si="154"/>
        <v>0</v>
      </c>
      <c r="O2406" t="str">
        <f t="shared" si="155"/>
        <v>Proposta Ok</v>
      </c>
    </row>
    <row r="2407" spans="12:15" x14ac:dyDescent="0.25">
      <c r="L2407">
        <f t="shared" si="152"/>
        <v>0</v>
      </c>
      <c r="M2407">
        <f t="shared" si="153"/>
        <v>1</v>
      </c>
      <c r="N2407">
        <f t="shared" si="154"/>
        <v>0</v>
      </c>
      <c r="O2407" t="str">
        <f t="shared" si="155"/>
        <v>Proposta Ok</v>
      </c>
    </row>
    <row r="2408" spans="12:15" x14ac:dyDescent="0.25">
      <c r="L2408">
        <f t="shared" si="152"/>
        <v>0</v>
      </c>
      <c r="M2408">
        <f t="shared" si="153"/>
        <v>1</v>
      </c>
      <c r="N2408">
        <f t="shared" si="154"/>
        <v>0</v>
      </c>
      <c r="O2408" t="str">
        <f t="shared" si="155"/>
        <v>Proposta Ok</v>
      </c>
    </row>
    <row r="2409" spans="12:15" x14ac:dyDescent="0.25">
      <c r="L2409">
        <f t="shared" si="152"/>
        <v>0</v>
      </c>
      <c r="M2409">
        <f t="shared" si="153"/>
        <v>1</v>
      </c>
      <c r="N2409">
        <f t="shared" si="154"/>
        <v>0</v>
      </c>
      <c r="O2409" t="str">
        <f t="shared" si="155"/>
        <v>Proposta Ok</v>
      </c>
    </row>
    <row r="2410" spans="12:15" x14ac:dyDescent="0.25">
      <c r="L2410">
        <f t="shared" si="152"/>
        <v>0</v>
      </c>
      <c r="M2410">
        <f t="shared" si="153"/>
        <v>1</v>
      </c>
      <c r="N2410">
        <f t="shared" si="154"/>
        <v>0</v>
      </c>
      <c r="O2410" t="str">
        <f t="shared" si="155"/>
        <v>Proposta Ok</v>
      </c>
    </row>
    <row r="2411" spans="12:15" x14ac:dyDescent="0.25">
      <c r="L2411">
        <f t="shared" si="152"/>
        <v>0</v>
      </c>
      <c r="M2411">
        <f t="shared" si="153"/>
        <v>1</v>
      </c>
      <c r="N2411">
        <f t="shared" si="154"/>
        <v>0</v>
      </c>
      <c r="O2411" t="str">
        <f t="shared" si="155"/>
        <v>Proposta Ok</v>
      </c>
    </row>
    <row r="2412" spans="12:15" x14ac:dyDescent="0.25">
      <c r="L2412">
        <f t="shared" si="152"/>
        <v>0</v>
      </c>
      <c r="M2412">
        <f t="shared" si="153"/>
        <v>1</v>
      </c>
      <c r="N2412">
        <f t="shared" si="154"/>
        <v>0</v>
      </c>
      <c r="O2412" t="str">
        <f t="shared" si="155"/>
        <v>Proposta Ok</v>
      </c>
    </row>
    <row r="2413" spans="12:15" x14ac:dyDescent="0.25">
      <c r="L2413">
        <f t="shared" si="152"/>
        <v>0</v>
      </c>
      <c r="M2413">
        <f t="shared" si="153"/>
        <v>1</v>
      </c>
      <c r="N2413">
        <f t="shared" si="154"/>
        <v>0</v>
      </c>
      <c r="O2413" t="str">
        <f t="shared" si="155"/>
        <v>Proposta Ok</v>
      </c>
    </row>
    <row r="2414" spans="12:15" x14ac:dyDescent="0.25">
      <c r="L2414">
        <f t="shared" si="152"/>
        <v>0</v>
      </c>
      <c r="M2414">
        <f t="shared" si="153"/>
        <v>1</v>
      </c>
      <c r="N2414">
        <f t="shared" si="154"/>
        <v>0</v>
      </c>
      <c r="O2414" t="str">
        <f t="shared" si="155"/>
        <v>Proposta Ok</v>
      </c>
    </row>
    <row r="2415" spans="12:15" x14ac:dyDescent="0.25">
      <c r="L2415">
        <f t="shared" si="152"/>
        <v>0</v>
      </c>
      <c r="M2415">
        <f t="shared" si="153"/>
        <v>1</v>
      </c>
      <c r="N2415">
        <f t="shared" si="154"/>
        <v>0</v>
      </c>
      <c r="O2415" t="str">
        <f t="shared" si="155"/>
        <v>Proposta Ok</v>
      </c>
    </row>
    <row r="2416" spans="12:15" x14ac:dyDescent="0.25">
      <c r="L2416">
        <f t="shared" si="152"/>
        <v>0</v>
      </c>
      <c r="M2416">
        <f t="shared" si="153"/>
        <v>1</v>
      </c>
      <c r="N2416">
        <f t="shared" si="154"/>
        <v>0</v>
      </c>
      <c r="O2416" t="str">
        <f t="shared" si="155"/>
        <v>Proposta Ok</v>
      </c>
    </row>
    <row r="2417" spans="12:15" x14ac:dyDescent="0.25">
      <c r="L2417">
        <f t="shared" si="152"/>
        <v>0</v>
      </c>
      <c r="M2417">
        <f t="shared" si="153"/>
        <v>1</v>
      </c>
      <c r="N2417">
        <f t="shared" si="154"/>
        <v>0</v>
      </c>
      <c r="O2417" t="str">
        <f t="shared" si="155"/>
        <v>Proposta Ok</v>
      </c>
    </row>
    <row r="2418" spans="12:15" x14ac:dyDescent="0.25">
      <c r="L2418">
        <f t="shared" si="152"/>
        <v>0</v>
      </c>
      <c r="M2418">
        <f t="shared" si="153"/>
        <v>1</v>
      </c>
      <c r="N2418">
        <f t="shared" si="154"/>
        <v>0</v>
      </c>
      <c r="O2418" t="str">
        <f t="shared" si="155"/>
        <v>Proposta Ok</v>
      </c>
    </row>
    <row r="2419" spans="12:15" x14ac:dyDescent="0.25">
      <c r="L2419">
        <f t="shared" si="152"/>
        <v>0</v>
      </c>
      <c r="M2419">
        <f t="shared" si="153"/>
        <v>1</v>
      </c>
      <c r="N2419">
        <f t="shared" si="154"/>
        <v>0</v>
      </c>
      <c r="O2419" t="str">
        <f t="shared" si="155"/>
        <v>Proposta Ok</v>
      </c>
    </row>
    <row r="2420" spans="12:15" x14ac:dyDescent="0.25">
      <c r="L2420">
        <f t="shared" si="152"/>
        <v>0</v>
      </c>
      <c r="M2420">
        <f t="shared" si="153"/>
        <v>1</v>
      </c>
      <c r="N2420">
        <f t="shared" si="154"/>
        <v>0</v>
      </c>
      <c r="O2420" t="str">
        <f t="shared" si="155"/>
        <v>Proposta Ok</v>
      </c>
    </row>
    <row r="2421" spans="12:15" x14ac:dyDescent="0.25">
      <c r="L2421">
        <f t="shared" si="152"/>
        <v>0</v>
      </c>
      <c r="M2421">
        <f t="shared" si="153"/>
        <v>1</v>
      </c>
      <c r="N2421">
        <f t="shared" si="154"/>
        <v>0</v>
      </c>
      <c r="O2421" t="str">
        <f t="shared" si="155"/>
        <v>Proposta Ok</v>
      </c>
    </row>
    <row r="2422" spans="12:15" x14ac:dyDescent="0.25">
      <c r="L2422">
        <f t="shared" si="152"/>
        <v>0</v>
      </c>
      <c r="M2422">
        <f t="shared" si="153"/>
        <v>1</v>
      </c>
      <c r="N2422">
        <f t="shared" si="154"/>
        <v>0</v>
      </c>
      <c r="O2422" t="str">
        <f t="shared" si="155"/>
        <v>Proposta Ok</v>
      </c>
    </row>
    <row r="2423" spans="12:15" x14ac:dyDescent="0.25">
      <c r="L2423">
        <f t="shared" si="152"/>
        <v>0</v>
      </c>
      <c r="M2423">
        <f t="shared" si="153"/>
        <v>1</v>
      </c>
      <c r="N2423">
        <f t="shared" si="154"/>
        <v>0</v>
      </c>
      <c r="O2423" t="str">
        <f t="shared" si="155"/>
        <v>Proposta Ok</v>
      </c>
    </row>
    <row r="2424" spans="12:15" x14ac:dyDescent="0.25">
      <c r="L2424">
        <f t="shared" si="152"/>
        <v>0</v>
      </c>
      <c r="M2424">
        <f t="shared" si="153"/>
        <v>1</v>
      </c>
      <c r="N2424">
        <f t="shared" si="154"/>
        <v>0</v>
      </c>
      <c r="O2424" t="str">
        <f t="shared" si="155"/>
        <v>Proposta Ok</v>
      </c>
    </row>
    <row r="2425" spans="12:15" x14ac:dyDescent="0.25">
      <c r="L2425">
        <f t="shared" si="152"/>
        <v>0</v>
      </c>
      <c r="M2425">
        <f t="shared" si="153"/>
        <v>1</v>
      </c>
      <c r="N2425">
        <f t="shared" si="154"/>
        <v>0</v>
      </c>
      <c r="O2425" t="str">
        <f t="shared" si="155"/>
        <v>Proposta Ok</v>
      </c>
    </row>
    <row r="2426" spans="12:15" x14ac:dyDescent="0.25">
      <c r="L2426">
        <f t="shared" si="152"/>
        <v>0</v>
      </c>
      <c r="M2426">
        <f t="shared" si="153"/>
        <v>1</v>
      </c>
      <c r="N2426">
        <f t="shared" si="154"/>
        <v>0</v>
      </c>
      <c r="O2426" t="str">
        <f t="shared" si="155"/>
        <v>Proposta Ok</v>
      </c>
    </row>
    <row r="2427" spans="12:15" x14ac:dyDescent="0.25">
      <c r="L2427">
        <f t="shared" si="152"/>
        <v>0</v>
      </c>
      <c r="M2427">
        <f t="shared" si="153"/>
        <v>1</v>
      </c>
      <c r="N2427">
        <f t="shared" si="154"/>
        <v>0</v>
      </c>
      <c r="O2427" t="str">
        <f t="shared" si="155"/>
        <v>Proposta Ok</v>
      </c>
    </row>
    <row r="2428" spans="12:15" x14ac:dyDescent="0.25">
      <c r="L2428">
        <f t="shared" si="152"/>
        <v>0</v>
      </c>
      <c r="M2428">
        <f t="shared" si="153"/>
        <v>1</v>
      </c>
      <c r="N2428">
        <f t="shared" si="154"/>
        <v>0</v>
      </c>
      <c r="O2428" t="str">
        <f t="shared" si="155"/>
        <v>Proposta Ok</v>
      </c>
    </row>
    <row r="2429" spans="12:15" x14ac:dyDescent="0.25">
      <c r="L2429">
        <f t="shared" si="152"/>
        <v>0</v>
      </c>
      <c r="M2429">
        <f t="shared" si="153"/>
        <v>1</v>
      </c>
      <c r="N2429">
        <f t="shared" si="154"/>
        <v>0</v>
      </c>
      <c r="O2429" t="str">
        <f t="shared" si="155"/>
        <v>Proposta Ok</v>
      </c>
    </row>
    <row r="2430" spans="12:15" x14ac:dyDescent="0.25">
      <c r="L2430">
        <f t="shared" si="152"/>
        <v>0</v>
      </c>
      <c r="M2430">
        <f t="shared" si="153"/>
        <v>1</v>
      </c>
      <c r="N2430">
        <f t="shared" si="154"/>
        <v>0</v>
      </c>
      <c r="O2430" t="str">
        <f t="shared" si="155"/>
        <v>Proposta Ok</v>
      </c>
    </row>
    <row r="2431" spans="12:15" x14ac:dyDescent="0.25">
      <c r="L2431">
        <f t="shared" si="152"/>
        <v>0</v>
      </c>
      <c r="M2431">
        <f t="shared" si="153"/>
        <v>1</v>
      </c>
      <c r="N2431">
        <f t="shared" si="154"/>
        <v>0</v>
      </c>
      <c r="O2431" t="str">
        <f t="shared" si="155"/>
        <v>Proposta Ok</v>
      </c>
    </row>
    <row r="2432" spans="12:15" x14ac:dyDescent="0.25">
      <c r="L2432">
        <f t="shared" si="152"/>
        <v>0</v>
      </c>
      <c r="M2432">
        <f t="shared" si="153"/>
        <v>1</v>
      </c>
      <c r="N2432">
        <f t="shared" si="154"/>
        <v>0</v>
      </c>
      <c r="O2432" t="str">
        <f t="shared" si="155"/>
        <v>Proposta Ok</v>
      </c>
    </row>
    <row r="2433" spans="12:15" x14ac:dyDescent="0.25">
      <c r="L2433">
        <f t="shared" si="152"/>
        <v>0</v>
      </c>
      <c r="M2433">
        <f t="shared" si="153"/>
        <v>1</v>
      </c>
      <c r="N2433">
        <f t="shared" si="154"/>
        <v>0</v>
      </c>
      <c r="O2433" t="str">
        <f t="shared" si="155"/>
        <v>Proposta Ok</v>
      </c>
    </row>
    <row r="2434" spans="12:15" x14ac:dyDescent="0.25">
      <c r="L2434">
        <f t="shared" si="152"/>
        <v>0</v>
      </c>
      <c r="M2434">
        <f t="shared" si="153"/>
        <v>1</v>
      </c>
      <c r="N2434">
        <f t="shared" si="154"/>
        <v>0</v>
      </c>
      <c r="O2434" t="str">
        <f t="shared" si="155"/>
        <v>Proposta Ok</v>
      </c>
    </row>
    <row r="2435" spans="12:15" x14ac:dyDescent="0.25">
      <c r="L2435">
        <f t="shared" si="152"/>
        <v>0</v>
      </c>
      <c r="M2435">
        <f t="shared" si="153"/>
        <v>1</v>
      </c>
      <c r="N2435">
        <f t="shared" si="154"/>
        <v>0</v>
      </c>
      <c r="O2435" t="str">
        <f t="shared" si="155"/>
        <v>Proposta Ok</v>
      </c>
    </row>
    <row r="2436" spans="12:15" x14ac:dyDescent="0.25">
      <c r="L2436">
        <f t="shared" si="152"/>
        <v>0</v>
      </c>
      <c r="M2436">
        <f t="shared" si="153"/>
        <v>1</v>
      </c>
      <c r="N2436">
        <f t="shared" si="154"/>
        <v>0</v>
      </c>
      <c r="O2436" t="str">
        <f t="shared" si="155"/>
        <v>Proposta Ok</v>
      </c>
    </row>
    <row r="2437" spans="12:15" x14ac:dyDescent="0.25">
      <c r="L2437">
        <f t="shared" si="152"/>
        <v>0</v>
      </c>
      <c r="M2437">
        <f t="shared" si="153"/>
        <v>1</v>
      </c>
      <c r="N2437">
        <f t="shared" si="154"/>
        <v>0</v>
      </c>
      <c r="O2437" t="str">
        <f t="shared" si="155"/>
        <v>Proposta Ok</v>
      </c>
    </row>
    <row r="2438" spans="12:15" x14ac:dyDescent="0.25">
      <c r="L2438">
        <f t="shared" si="152"/>
        <v>0</v>
      </c>
      <c r="M2438">
        <f t="shared" si="153"/>
        <v>1</v>
      </c>
      <c r="N2438">
        <f t="shared" si="154"/>
        <v>0</v>
      </c>
      <c r="O2438" t="str">
        <f t="shared" si="155"/>
        <v>Proposta Ok</v>
      </c>
    </row>
    <row r="2439" spans="12:15" x14ac:dyDescent="0.25">
      <c r="L2439">
        <f t="shared" si="152"/>
        <v>0</v>
      </c>
      <c r="M2439">
        <f t="shared" si="153"/>
        <v>1</v>
      </c>
      <c r="N2439">
        <f t="shared" si="154"/>
        <v>0</v>
      </c>
      <c r="O2439" t="str">
        <f t="shared" si="155"/>
        <v>Proposta Ok</v>
      </c>
    </row>
    <row r="2440" spans="12:15" x14ac:dyDescent="0.25">
      <c r="L2440">
        <f t="shared" si="152"/>
        <v>0</v>
      </c>
      <c r="M2440">
        <f t="shared" si="153"/>
        <v>1</v>
      </c>
      <c r="N2440">
        <f t="shared" si="154"/>
        <v>0</v>
      </c>
      <c r="O2440" t="str">
        <f t="shared" si="155"/>
        <v>Proposta Ok</v>
      </c>
    </row>
    <row r="2441" spans="12:15" x14ac:dyDescent="0.25">
      <c r="L2441">
        <f t="shared" si="152"/>
        <v>0</v>
      </c>
      <c r="M2441">
        <f t="shared" si="153"/>
        <v>1</v>
      </c>
      <c r="N2441">
        <f t="shared" si="154"/>
        <v>0</v>
      </c>
      <c r="O2441" t="str">
        <f t="shared" si="155"/>
        <v>Proposta Ok</v>
      </c>
    </row>
    <row r="2442" spans="12:15" x14ac:dyDescent="0.25">
      <c r="L2442">
        <f t="shared" si="152"/>
        <v>0</v>
      </c>
      <c r="M2442">
        <f t="shared" si="153"/>
        <v>1</v>
      </c>
      <c r="N2442">
        <f t="shared" si="154"/>
        <v>0</v>
      </c>
      <c r="O2442" t="str">
        <f t="shared" si="155"/>
        <v>Proposta Ok</v>
      </c>
    </row>
    <row r="2443" spans="12:15" x14ac:dyDescent="0.25">
      <c r="L2443">
        <f t="shared" si="152"/>
        <v>0</v>
      </c>
      <c r="M2443">
        <f t="shared" si="153"/>
        <v>1</v>
      </c>
      <c r="N2443">
        <f t="shared" si="154"/>
        <v>0</v>
      </c>
      <c r="O2443" t="str">
        <f t="shared" si="155"/>
        <v>Proposta Ok</v>
      </c>
    </row>
    <row r="2444" spans="12:15" x14ac:dyDescent="0.25">
      <c r="L2444">
        <f t="shared" si="152"/>
        <v>0</v>
      </c>
      <c r="M2444">
        <f t="shared" si="153"/>
        <v>1</v>
      </c>
      <c r="N2444">
        <f t="shared" si="154"/>
        <v>0</v>
      </c>
      <c r="O2444" t="str">
        <f t="shared" si="155"/>
        <v>Proposta Ok</v>
      </c>
    </row>
    <row r="2445" spans="12:15" x14ac:dyDescent="0.25">
      <c r="L2445">
        <f t="shared" si="152"/>
        <v>0</v>
      </c>
      <c r="M2445">
        <f t="shared" si="153"/>
        <v>1</v>
      </c>
      <c r="N2445">
        <f t="shared" si="154"/>
        <v>0</v>
      </c>
      <c r="O2445" t="str">
        <f t="shared" si="155"/>
        <v>Proposta Ok</v>
      </c>
    </row>
    <row r="2446" spans="12:15" x14ac:dyDescent="0.25">
      <c r="L2446">
        <f t="shared" si="152"/>
        <v>0</v>
      </c>
      <c r="M2446">
        <f t="shared" si="153"/>
        <v>1</v>
      </c>
      <c r="N2446">
        <f t="shared" si="154"/>
        <v>0</v>
      </c>
      <c r="O2446" t="str">
        <f t="shared" si="155"/>
        <v>Proposta Ok</v>
      </c>
    </row>
    <row r="2447" spans="12:15" x14ac:dyDescent="0.25">
      <c r="L2447">
        <f t="shared" si="152"/>
        <v>0</v>
      </c>
      <c r="M2447">
        <f t="shared" si="153"/>
        <v>1</v>
      </c>
      <c r="N2447">
        <f t="shared" si="154"/>
        <v>0</v>
      </c>
      <c r="O2447" t="str">
        <f t="shared" si="155"/>
        <v>Proposta Ok</v>
      </c>
    </row>
    <row r="2448" spans="12:15" x14ac:dyDescent="0.25">
      <c r="L2448">
        <f t="shared" si="152"/>
        <v>0</v>
      </c>
      <c r="M2448">
        <f t="shared" si="153"/>
        <v>1</v>
      </c>
      <c r="N2448">
        <f t="shared" si="154"/>
        <v>0</v>
      </c>
      <c r="O2448" t="str">
        <f t="shared" si="155"/>
        <v>Proposta Ok</v>
      </c>
    </row>
    <row r="2449" spans="12:15" x14ac:dyDescent="0.25">
      <c r="L2449">
        <f t="shared" si="152"/>
        <v>0</v>
      </c>
      <c r="M2449">
        <f t="shared" si="153"/>
        <v>1</v>
      </c>
      <c r="N2449">
        <f t="shared" si="154"/>
        <v>0</v>
      </c>
      <c r="O2449" t="str">
        <f t="shared" si="155"/>
        <v>Proposta Ok</v>
      </c>
    </row>
    <row r="2450" spans="12:15" x14ac:dyDescent="0.25">
      <c r="L2450">
        <f t="shared" si="152"/>
        <v>0</v>
      </c>
      <c r="M2450">
        <f t="shared" si="153"/>
        <v>1</v>
      </c>
      <c r="N2450">
        <f t="shared" si="154"/>
        <v>0</v>
      </c>
      <c r="O2450" t="str">
        <f t="shared" si="155"/>
        <v>Proposta Ok</v>
      </c>
    </row>
    <row r="2451" spans="12:15" x14ac:dyDescent="0.25">
      <c r="L2451">
        <f t="shared" si="152"/>
        <v>0</v>
      </c>
      <c r="M2451">
        <f t="shared" si="153"/>
        <v>1</v>
      </c>
      <c r="N2451">
        <f t="shared" si="154"/>
        <v>0</v>
      </c>
      <c r="O2451" t="str">
        <f t="shared" si="155"/>
        <v>Proposta Ok</v>
      </c>
    </row>
    <row r="2452" spans="12:15" x14ac:dyDescent="0.25">
      <c r="L2452">
        <f t="shared" si="152"/>
        <v>0</v>
      </c>
      <c r="M2452">
        <f t="shared" si="153"/>
        <v>1</v>
      </c>
      <c r="N2452">
        <f t="shared" si="154"/>
        <v>0</v>
      </c>
      <c r="O2452" t="str">
        <f t="shared" si="155"/>
        <v>Proposta Ok</v>
      </c>
    </row>
    <row r="2453" spans="12:15" x14ac:dyDescent="0.25">
      <c r="L2453">
        <f t="shared" si="152"/>
        <v>0</v>
      </c>
      <c r="M2453">
        <f t="shared" si="153"/>
        <v>1</v>
      </c>
      <c r="N2453">
        <f t="shared" si="154"/>
        <v>0</v>
      </c>
      <c r="O2453" t="str">
        <f t="shared" si="155"/>
        <v>Proposta Ok</v>
      </c>
    </row>
    <row r="2454" spans="12:15" x14ac:dyDescent="0.25">
      <c r="L2454">
        <f t="shared" si="152"/>
        <v>0</v>
      </c>
      <c r="M2454">
        <f t="shared" si="153"/>
        <v>1</v>
      </c>
      <c r="N2454">
        <f t="shared" si="154"/>
        <v>0</v>
      </c>
      <c r="O2454" t="str">
        <f t="shared" si="155"/>
        <v>Proposta Ok</v>
      </c>
    </row>
    <row r="2455" spans="12:15" x14ac:dyDescent="0.25">
      <c r="L2455">
        <f t="shared" si="152"/>
        <v>0</v>
      </c>
      <c r="M2455">
        <f t="shared" si="153"/>
        <v>1</v>
      </c>
      <c r="N2455">
        <f t="shared" si="154"/>
        <v>0</v>
      </c>
      <c r="O2455" t="str">
        <f t="shared" si="155"/>
        <v>Proposta Ok</v>
      </c>
    </row>
    <row r="2456" spans="12:15" x14ac:dyDescent="0.25">
      <c r="L2456">
        <f t="shared" si="152"/>
        <v>0</v>
      </c>
      <c r="M2456">
        <f t="shared" si="153"/>
        <v>1</v>
      </c>
      <c r="N2456">
        <f t="shared" si="154"/>
        <v>0</v>
      </c>
      <c r="O2456" t="str">
        <f t="shared" si="155"/>
        <v>Proposta Ok</v>
      </c>
    </row>
    <row r="2457" spans="12:15" x14ac:dyDescent="0.25">
      <c r="L2457">
        <f t="shared" si="152"/>
        <v>0</v>
      </c>
      <c r="M2457">
        <f t="shared" si="153"/>
        <v>1</v>
      </c>
      <c r="N2457">
        <f t="shared" si="154"/>
        <v>0</v>
      </c>
      <c r="O2457" t="str">
        <f t="shared" si="155"/>
        <v>Proposta Ok</v>
      </c>
    </row>
    <row r="2458" spans="12:15" x14ac:dyDescent="0.25">
      <c r="L2458">
        <f t="shared" si="152"/>
        <v>0</v>
      </c>
      <c r="M2458">
        <f t="shared" si="153"/>
        <v>1</v>
      </c>
      <c r="N2458">
        <f t="shared" si="154"/>
        <v>0</v>
      </c>
      <c r="O2458" t="str">
        <f t="shared" si="155"/>
        <v>Proposta Ok</v>
      </c>
    </row>
    <row r="2459" spans="12:15" x14ac:dyDescent="0.25">
      <c r="L2459">
        <f t="shared" ref="L2459:L2522" si="156">IF(OR(I2459="Termo OK (Exceção)",I2459="Termo OK"),1,0)</f>
        <v>0</v>
      </c>
      <c r="M2459">
        <f t="shared" ref="M2459:M2522" si="157">IF(OR(I2459="Termo OK (Exceção)",I2459="Termo OK"),0,1)</f>
        <v>1</v>
      </c>
      <c r="N2459">
        <f t="shared" ref="N2459:N2522" si="158">IF(J2459="SIM",1,0)</f>
        <v>0</v>
      </c>
      <c r="O2459" t="str">
        <f t="shared" ref="O2459:O2522" si="159">IF(SUMIFS(M:M,A:A,A2459)&gt;0,"Proposta não Ok","Proposta Ok")</f>
        <v>Proposta Ok</v>
      </c>
    </row>
    <row r="2460" spans="12:15" x14ac:dyDescent="0.25">
      <c r="L2460">
        <f t="shared" si="156"/>
        <v>0</v>
      </c>
      <c r="M2460">
        <f t="shared" si="157"/>
        <v>1</v>
      </c>
      <c r="N2460">
        <f t="shared" si="158"/>
        <v>0</v>
      </c>
      <c r="O2460" t="str">
        <f t="shared" si="159"/>
        <v>Proposta Ok</v>
      </c>
    </row>
    <row r="2461" spans="12:15" x14ac:dyDescent="0.25">
      <c r="L2461">
        <f t="shared" si="156"/>
        <v>0</v>
      </c>
      <c r="M2461">
        <f t="shared" si="157"/>
        <v>1</v>
      </c>
      <c r="N2461">
        <f t="shared" si="158"/>
        <v>0</v>
      </c>
      <c r="O2461" t="str">
        <f t="shared" si="159"/>
        <v>Proposta Ok</v>
      </c>
    </row>
    <row r="2462" spans="12:15" x14ac:dyDescent="0.25">
      <c r="L2462">
        <f t="shared" si="156"/>
        <v>0</v>
      </c>
      <c r="M2462">
        <f t="shared" si="157"/>
        <v>1</v>
      </c>
      <c r="N2462">
        <f t="shared" si="158"/>
        <v>0</v>
      </c>
      <c r="O2462" t="str">
        <f t="shared" si="159"/>
        <v>Proposta Ok</v>
      </c>
    </row>
    <row r="2463" spans="12:15" x14ac:dyDescent="0.25">
      <c r="L2463">
        <f t="shared" si="156"/>
        <v>0</v>
      </c>
      <c r="M2463">
        <f t="shared" si="157"/>
        <v>1</v>
      </c>
      <c r="N2463">
        <f t="shared" si="158"/>
        <v>0</v>
      </c>
      <c r="O2463" t="str">
        <f t="shared" si="159"/>
        <v>Proposta Ok</v>
      </c>
    </row>
    <row r="2464" spans="12:15" x14ac:dyDescent="0.25">
      <c r="L2464">
        <f t="shared" si="156"/>
        <v>0</v>
      </c>
      <c r="M2464">
        <f t="shared" si="157"/>
        <v>1</v>
      </c>
      <c r="N2464">
        <f t="shared" si="158"/>
        <v>0</v>
      </c>
      <c r="O2464" t="str">
        <f t="shared" si="159"/>
        <v>Proposta Ok</v>
      </c>
    </row>
    <row r="2465" spans="12:15" x14ac:dyDescent="0.25">
      <c r="L2465">
        <f t="shared" si="156"/>
        <v>0</v>
      </c>
      <c r="M2465">
        <f t="shared" si="157"/>
        <v>1</v>
      </c>
      <c r="N2465">
        <f t="shared" si="158"/>
        <v>0</v>
      </c>
      <c r="O2465" t="str">
        <f t="shared" si="159"/>
        <v>Proposta Ok</v>
      </c>
    </row>
    <row r="2466" spans="12:15" x14ac:dyDescent="0.25">
      <c r="L2466">
        <f t="shared" si="156"/>
        <v>0</v>
      </c>
      <c r="M2466">
        <f t="shared" si="157"/>
        <v>1</v>
      </c>
      <c r="N2466">
        <f t="shared" si="158"/>
        <v>0</v>
      </c>
      <c r="O2466" t="str">
        <f t="shared" si="159"/>
        <v>Proposta Ok</v>
      </c>
    </row>
    <row r="2467" spans="12:15" x14ac:dyDescent="0.25">
      <c r="L2467">
        <f t="shared" si="156"/>
        <v>0</v>
      </c>
      <c r="M2467">
        <f t="shared" si="157"/>
        <v>1</v>
      </c>
      <c r="N2467">
        <f t="shared" si="158"/>
        <v>0</v>
      </c>
      <c r="O2467" t="str">
        <f t="shared" si="159"/>
        <v>Proposta Ok</v>
      </c>
    </row>
    <row r="2468" spans="12:15" x14ac:dyDescent="0.25">
      <c r="L2468">
        <f t="shared" si="156"/>
        <v>0</v>
      </c>
      <c r="M2468">
        <f t="shared" si="157"/>
        <v>1</v>
      </c>
      <c r="N2468">
        <f t="shared" si="158"/>
        <v>0</v>
      </c>
      <c r="O2468" t="str">
        <f t="shared" si="159"/>
        <v>Proposta Ok</v>
      </c>
    </row>
    <row r="2469" spans="12:15" x14ac:dyDescent="0.25">
      <c r="L2469">
        <f t="shared" si="156"/>
        <v>0</v>
      </c>
      <c r="M2469">
        <f t="shared" si="157"/>
        <v>1</v>
      </c>
      <c r="N2469">
        <f t="shared" si="158"/>
        <v>0</v>
      </c>
      <c r="O2469" t="str">
        <f t="shared" si="159"/>
        <v>Proposta Ok</v>
      </c>
    </row>
    <row r="2470" spans="12:15" x14ac:dyDescent="0.25">
      <c r="L2470">
        <f t="shared" si="156"/>
        <v>0</v>
      </c>
      <c r="M2470">
        <f t="shared" si="157"/>
        <v>1</v>
      </c>
      <c r="N2470">
        <f t="shared" si="158"/>
        <v>0</v>
      </c>
      <c r="O2470" t="str">
        <f t="shared" si="159"/>
        <v>Proposta Ok</v>
      </c>
    </row>
    <row r="2471" spans="12:15" x14ac:dyDescent="0.25">
      <c r="L2471">
        <f t="shared" si="156"/>
        <v>0</v>
      </c>
      <c r="M2471">
        <f t="shared" si="157"/>
        <v>1</v>
      </c>
      <c r="N2471">
        <f t="shared" si="158"/>
        <v>0</v>
      </c>
      <c r="O2471" t="str">
        <f t="shared" si="159"/>
        <v>Proposta Ok</v>
      </c>
    </row>
    <row r="2472" spans="12:15" x14ac:dyDescent="0.25">
      <c r="L2472">
        <f t="shared" si="156"/>
        <v>0</v>
      </c>
      <c r="M2472">
        <f t="shared" si="157"/>
        <v>1</v>
      </c>
      <c r="N2472">
        <f t="shared" si="158"/>
        <v>0</v>
      </c>
      <c r="O2472" t="str">
        <f t="shared" si="159"/>
        <v>Proposta Ok</v>
      </c>
    </row>
    <row r="2473" spans="12:15" x14ac:dyDescent="0.25">
      <c r="L2473">
        <f t="shared" si="156"/>
        <v>0</v>
      </c>
      <c r="M2473">
        <f t="shared" si="157"/>
        <v>1</v>
      </c>
      <c r="N2473">
        <f t="shared" si="158"/>
        <v>0</v>
      </c>
      <c r="O2473" t="str">
        <f t="shared" si="159"/>
        <v>Proposta Ok</v>
      </c>
    </row>
    <row r="2474" spans="12:15" x14ac:dyDescent="0.25">
      <c r="L2474">
        <f t="shared" si="156"/>
        <v>0</v>
      </c>
      <c r="M2474">
        <f t="shared" si="157"/>
        <v>1</v>
      </c>
      <c r="N2474">
        <f t="shared" si="158"/>
        <v>0</v>
      </c>
      <c r="O2474" t="str">
        <f t="shared" si="159"/>
        <v>Proposta Ok</v>
      </c>
    </row>
    <row r="2475" spans="12:15" x14ac:dyDescent="0.25">
      <c r="L2475">
        <f t="shared" si="156"/>
        <v>0</v>
      </c>
      <c r="M2475">
        <f t="shared" si="157"/>
        <v>1</v>
      </c>
      <c r="N2475">
        <f t="shared" si="158"/>
        <v>0</v>
      </c>
      <c r="O2475" t="str">
        <f t="shared" si="159"/>
        <v>Proposta Ok</v>
      </c>
    </row>
    <row r="2476" spans="12:15" x14ac:dyDescent="0.25">
      <c r="L2476">
        <f t="shared" si="156"/>
        <v>0</v>
      </c>
      <c r="M2476">
        <f t="shared" si="157"/>
        <v>1</v>
      </c>
      <c r="N2476">
        <f t="shared" si="158"/>
        <v>0</v>
      </c>
      <c r="O2476" t="str">
        <f t="shared" si="159"/>
        <v>Proposta Ok</v>
      </c>
    </row>
    <row r="2477" spans="12:15" x14ac:dyDescent="0.25">
      <c r="L2477">
        <f t="shared" si="156"/>
        <v>0</v>
      </c>
      <c r="M2477">
        <f t="shared" si="157"/>
        <v>1</v>
      </c>
      <c r="N2477">
        <f t="shared" si="158"/>
        <v>0</v>
      </c>
      <c r="O2477" t="str">
        <f t="shared" si="159"/>
        <v>Proposta Ok</v>
      </c>
    </row>
    <row r="2478" spans="12:15" x14ac:dyDescent="0.25">
      <c r="L2478">
        <f t="shared" si="156"/>
        <v>0</v>
      </c>
      <c r="M2478">
        <f t="shared" si="157"/>
        <v>1</v>
      </c>
      <c r="N2478">
        <f t="shared" si="158"/>
        <v>0</v>
      </c>
      <c r="O2478" t="str">
        <f t="shared" si="159"/>
        <v>Proposta Ok</v>
      </c>
    </row>
    <row r="2479" spans="12:15" x14ac:dyDescent="0.25">
      <c r="L2479">
        <f t="shared" si="156"/>
        <v>0</v>
      </c>
      <c r="M2479">
        <f t="shared" si="157"/>
        <v>1</v>
      </c>
      <c r="N2479">
        <f t="shared" si="158"/>
        <v>0</v>
      </c>
      <c r="O2479" t="str">
        <f t="shared" si="159"/>
        <v>Proposta Ok</v>
      </c>
    </row>
    <row r="2480" spans="12:15" x14ac:dyDescent="0.25">
      <c r="L2480">
        <f t="shared" si="156"/>
        <v>0</v>
      </c>
      <c r="M2480">
        <f t="shared" si="157"/>
        <v>1</v>
      </c>
      <c r="N2480">
        <f t="shared" si="158"/>
        <v>0</v>
      </c>
      <c r="O2480" t="str">
        <f t="shared" si="159"/>
        <v>Proposta Ok</v>
      </c>
    </row>
    <row r="2481" spans="12:15" x14ac:dyDescent="0.25">
      <c r="L2481">
        <f t="shared" si="156"/>
        <v>0</v>
      </c>
      <c r="M2481">
        <f t="shared" si="157"/>
        <v>1</v>
      </c>
      <c r="N2481">
        <f t="shared" si="158"/>
        <v>0</v>
      </c>
      <c r="O2481" t="str">
        <f t="shared" si="159"/>
        <v>Proposta Ok</v>
      </c>
    </row>
    <row r="2482" spans="12:15" x14ac:dyDescent="0.25">
      <c r="L2482">
        <f t="shared" si="156"/>
        <v>0</v>
      </c>
      <c r="M2482">
        <f t="shared" si="157"/>
        <v>1</v>
      </c>
      <c r="N2482">
        <f t="shared" si="158"/>
        <v>0</v>
      </c>
      <c r="O2482" t="str">
        <f t="shared" si="159"/>
        <v>Proposta Ok</v>
      </c>
    </row>
    <row r="2483" spans="12:15" x14ac:dyDescent="0.25">
      <c r="L2483">
        <f t="shared" si="156"/>
        <v>0</v>
      </c>
      <c r="M2483">
        <f t="shared" si="157"/>
        <v>1</v>
      </c>
      <c r="N2483">
        <f t="shared" si="158"/>
        <v>0</v>
      </c>
      <c r="O2483" t="str">
        <f t="shared" si="159"/>
        <v>Proposta Ok</v>
      </c>
    </row>
    <row r="2484" spans="12:15" x14ac:dyDescent="0.25">
      <c r="L2484">
        <f t="shared" si="156"/>
        <v>0</v>
      </c>
      <c r="M2484">
        <f t="shared" si="157"/>
        <v>1</v>
      </c>
      <c r="N2484">
        <f t="shared" si="158"/>
        <v>0</v>
      </c>
      <c r="O2484" t="str">
        <f t="shared" si="159"/>
        <v>Proposta Ok</v>
      </c>
    </row>
    <row r="2485" spans="12:15" x14ac:dyDescent="0.25">
      <c r="L2485">
        <f t="shared" si="156"/>
        <v>0</v>
      </c>
      <c r="M2485">
        <f t="shared" si="157"/>
        <v>1</v>
      </c>
      <c r="N2485">
        <f t="shared" si="158"/>
        <v>0</v>
      </c>
      <c r="O2485" t="str">
        <f t="shared" si="159"/>
        <v>Proposta Ok</v>
      </c>
    </row>
    <row r="2486" spans="12:15" x14ac:dyDescent="0.25">
      <c r="L2486">
        <f t="shared" si="156"/>
        <v>0</v>
      </c>
      <c r="M2486">
        <f t="shared" si="157"/>
        <v>1</v>
      </c>
      <c r="N2486">
        <f t="shared" si="158"/>
        <v>0</v>
      </c>
      <c r="O2486" t="str">
        <f t="shared" si="159"/>
        <v>Proposta Ok</v>
      </c>
    </row>
    <row r="2487" spans="12:15" x14ac:dyDescent="0.25">
      <c r="L2487">
        <f t="shared" si="156"/>
        <v>0</v>
      </c>
      <c r="M2487">
        <f t="shared" si="157"/>
        <v>1</v>
      </c>
      <c r="N2487">
        <f t="shared" si="158"/>
        <v>0</v>
      </c>
      <c r="O2487" t="str">
        <f t="shared" si="159"/>
        <v>Proposta Ok</v>
      </c>
    </row>
    <row r="2488" spans="12:15" x14ac:dyDescent="0.25">
      <c r="L2488">
        <f t="shared" si="156"/>
        <v>0</v>
      </c>
      <c r="M2488">
        <f t="shared" si="157"/>
        <v>1</v>
      </c>
      <c r="N2488">
        <f t="shared" si="158"/>
        <v>0</v>
      </c>
      <c r="O2488" t="str">
        <f t="shared" si="159"/>
        <v>Proposta Ok</v>
      </c>
    </row>
    <row r="2489" spans="12:15" x14ac:dyDescent="0.25">
      <c r="L2489">
        <f t="shared" si="156"/>
        <v>0</v>
      </c>
      <c r="M2489">
        <f t="shared" si="157"/>
        <v>1</v>
      </c>
      <c r="N2489">
        <f t="shared" si="158"/>
        <v>0</v>
      </c>
      <c r="O2489" t="str">
        <f t="shared" si="159"/>
        <v>Proposta Ok</v>
      </c>
    </row>
    <row r="2490" spans="12:15" x14ac:dyDescent="0.25">
      <c r="L2490">
        <f t="shared" si="156"/>
        <v>0</v>
      </c>
      <c r="M2490">
        <f t="shared" si="157"/>
        <v>1</v>
      </c>
      <c r="N2490">
        <f t="shared" si="158"/>
        <v>0</v>
      </c>
      <c r="O2490" t="str">
        <f t="shared" si="159"/>
        <v>Proposta Ok</v>
      </c>
    </row>
    <row r="2491" spans="12:15" x14ac:dyDescent="0.25">
      <c r="L2491">
        <f t="shared" si="156"/>
        <v>0</v>
      </c>
      <c r="M2491">
        <f t="shared" si="157"/>
        <v>1</v>
      </c>
      <c r="N2491">
        <f t="shared" si="158"/>
        <v>0</v>
      </c>
      <c r="O2491" t="str">
        <f t="shared" si="159"/>
        <v>Proposta Ok</v>
      </c>
    </row>
    <row r="2492" spans="12:15" x14ac:dyDescent="0.25">
      <c r="L2492">
        <f t="shared" si="156"/>
        <v>0</v>
      </c>
      <c r="M2492">
        <f t="shared" si="157"/>
        <v>1</v>
      </c>
      <c r="N2492">
        <f t="shared" si="158"/>
        <v>0</v>
      </c>
      <c r="O2492" t="str">
        <f t="shared" si="159"/>
        <v>Proposta Ok</v>
      </c>
    </row>
    <row r="2493" spans="12:15" x14ac:dyDescent="0.25">
      <c r="L2493">
        <f t="shared" si="156"/>
        <v>0</v>
      </c>
      <c r="M2493">
        <f t="shared" si="157"/>
        <v>1</v>
      </c>
      <c r="N2493">
        <f t="shared" si="158"/>
        <v>0</v>
      </c>
      <c r="O2493" t="str">
        <f t="shared" si="159"/>
        <v>Proposta Ok</v>
      </c>
    </row>
    <row r="2494" spans="12:15" x14ac:dyDescent="0.25">
      <c r="L2494">
        <f t="shared" si="156"/>
        <v>0</v>
      </c>
      <c r="M2494">
        <f t="shared" si="157"/>
        <v>1</v>
      </c>
      <c r="N2494">
        <f t="shared" si="158"/>
        <v>0</v>
      </c>
      <c r="O2494" t="str">
        <f t="shared" si="159"/>
        <v>Proposta Ok</v>
      </c>
    </row>
    <row r="2495" spans="12:15" x14ac:dyDescent="0.25">
      <c r="L2495">
        <f t="shared" si="156"/>
        <v>0</v>
      </c>
      <c r="M2495">
        <f t="shared" si="157"/>
        <v>1</v>
      </c>
      <c r="N2495">
        <f t="shared" si="158"/>
        <v>0</v>
      </c>
      <c r="O2495" t="str">
        <f t="shared" si="159"/>
        <v>Proposta Ok</v>
      </c>
    </row>
    <row r="2496" spans="12:15" x14ac:dyDescent="0.25">
      <c r="L2496">
        <f t="shared" si="156"/>
        <v>0</v>
      </c>
      <c r="M2496">
        <f t="shared" si="157"/>
        <v>1</v>
      </c>
      <c r="N2496">
        <f t="shared" si="158"/>
        <v>0</v>
      </c>
      <c r="O2496" t="str">
        <f t="shared" si="159"/>
        <v>Proposta Ok</v>
      </c>
    </row>
    <row r="2497" spans="12:15" x14ac:dyDescent="0.25">
      <c r="L2497">
        <f t="shared" si="156"/>
        <v>0</v>
      </c>
      <c r="M2497">
        <f t="shared" si="157"/>
        <v>1</v>
      </c>
      <c r="N2497">
        <f t="shared" si="158"/>
        <v>0</v>
      </c>
      <c r="O2497" t="str">
        <f t="shared" si="159"/>
        <v>Proposta Ok</v>
      </c>
    </row>
    <row r="2498" spans="12:15" x14ac:dyDescent="0.25">
      <c r="L2498">
        <f t="shared" si="156"/>
        <v>0</v>
      </c>
      <c r="M2498">
        <f t="shared" si="157"/>
        <v>1</v>
      </c>
      <c r="N2498">
        <f t="shared" si="158"/>
        <v>0</v>
      </c>
      <c r="O2498" t="str">
        <f t="shared" si="159"/>
        <v>Proposta Ok</v>
      </c>
    </row>
    <row r="2499" spans="12:15" x14ac:dyDescent="0.25">
      <c r="L2499">
        <f t="shared" si="156"/>
        <v>0</v>
      </c>
      <c r="M2499">
        <f t="shared" si="157"/>
        <v>1</v>
      </c>
      <c r="N2499">
        <f t="shared" si="158"/>
        <v>0</v>
      </c>
      <c r="O2499" t="str">
        <f t="shared" si="159"/>
        <v>Proposta Ok</v>
      </c>
    </row>
    <row r="2500" spans="12:15" x14ac:dyDescent="0.25">
      <c r="L2500">
        <f t="shared" si="156"/>
        <v>0</v>
      </c>
      <c r="M2500">
        <f t="shared" si="157"/>
        <v>1</v>
      </c>
      <c r="N2500">
        <f t="shared" si="158"/>
        <v>0</v>
      </c>
      <c r="O2500" t="str">
        <f t="shared" si="159"/>
        <v>Proposta Ok</v>
      </c>
    </row>
    <row r="2501" spans="12:15" x14ac:dyDescent="0.25">
      <c r="L2501">
        <f t="shared" si="156"/>
        <v>0</v>
      </c>
      <c r="M2501">
        <f t="shared" si="157"/>
        <v>1</v>
      </c>
      <c r="N2501">
        <f t="shared" si="158"/>
        <v>0</v>
      </c>
      <c r="O2501" t="str">
        <f t="shared" si="159"/>
        <v>Proposta Ok</v>
      </c>
    </row>
    <row r="2502" spans="12:15" x14ac:dyDescent="0.25">
      <c r="L2502">
        <f t="shared" si="156"/>
        <v>0</v>
      </c>
      <c r="M2502">
        <f t="shared" si="157"/>
        <v>1</v>
      </c>
      <c r="N2502">
        <f t="shared" si="158"/>
        <v>0</v>
      </c>
      <c r="O2502" t="str">
        <f t="shared" si="159"/>
        <v>Proposta Ok</v>
      </c>
    </row>
    <row r="2503" spans="12:15" x14ac:dyDescent="0.25">
      <c r="L2503">
        <f t="shared" si="156"/>
        <v>0</v>
      </c>
      <c r="M2503">
        <f t="shared" si="157"/>
        <v>1</v>
      </c>
      <c r="N2503">
        <f t="shared" si="158"/>
        <v>0</v>
      </c>
      <c r="O2503" t="str">
        <f t="shared" si="159"/>
        <v>Proposta Ok</v>
      </c>
    </row>
    <row r="2504" spans="12:15" x14ac:dyDescent="0.25">
      <c r="L2504">
        <f t="shared" si="156"/>
        <v>0</v>
      </c>
      <c r="M2504">
        <f t="shared" si="157"/>
        <v>1</v>
      </c>
      <c r="N2504">
        <f t="shared" si="158"/>
        <v>0</v>
      </c>
      <c r="O2504" t="str">
        <f t="shared" si="159"/>
        <v>Proposta Ok</v>
      </c>
    </row>
    <row r="2505" spans="12:15" x14ac:dyDescent="0.25">
      <c r="L2505">
        <f t="shared" si="156"/>
        <v>0</v>
      </c>
      <c r="M2505">
        <f t="shared" si="157"/>
        <v>1</v>
      </c>
      <c r="N2505">
        <f t="shared" si="158"/>
        <v>0</v>
      </c>
      <c r="O2505" t="str">
        <f t="shared" si="159"/>
        <v>Proposta Ok</v>
      </c>
    </row>
    <row r="2506" spans="12:15" x14ac:dyDescent="0.25">
      <c r="L2506">
        <f t="shared" si="156"/>
        <v>0</v>
      </c>
      <c r="M2506">
        <f t="shared" si="157"/>
        <v>1</v>
      </c>
      <c r="N2506">
        <f t="shared" si="158"/>
        <v>0</v>
      </c>
      <c r="O2506" t="str">
        <f t="shared" si="159"/>
        <v>Proposta Ok</v>
      </c>
    </row>
    <row r="2507" spans="12:15" x14ac:dyDescent="0.25">
      <c r="L2507">
        <f t="shared" si="156"/>
        <v>0</v>
      </c>
      <c r="M2507">
        <f t="shared" si="157"/>
        <v>1</v>
      </c>
      <c r="N2507">
        <f t="shared" si="158"/>
        <v>0</v>
      </c>
      <c r="O2507" t="str">
        <f t="shared" si="159"/>
        <v>Proposta Ok</v>
      </c>
    </row>
    <row r="2508" spans="12:15" x14ac:dyDescent="0.25">
      <c r="L2508">
        <f t="shared" si="156"/>
        <v>0</v>
      </c>
      <c r="M2508">
        <f t="shared" si="157"/>
        <v>1</v>
      </c>
      <c r="N2508">
        <f t="shared" si="158"/>
        <v>0</v>
      </c>
      <c r="O2508" t="str">
        <f t="shared" si="159"/>
        <v>Proposta Ok</v>
      </c>
    </row>
    <row r="2509" spans="12:15" x14ac:dyDescent="0.25">
      <c r="L2509">
        <f t="shared" si="156"/>
        <v>0</v>
      </c>
      <c r="M2509">
        <f t="shared" si="157"/>
        <v>1</v>
      </c>
      <c r="N2509">
        <f t="shared" si="158"/>
        <v>0</v>
      </c>
      <c r="O2509" t="str">
        <f t="shared" si="159"/>
        <v>Proposta Ok</v>
      </c>
    </row>
    <row r="2510" spans="12:15" x14ac:dyDescent="0.25">
      <c r="L2510">
        <f t="shared" si="156"/>
        <v>0</v>
      </c>
      <c r="M2510">
        <f t="shared" si="157"/>
        <v>1</v>
      </c>
      <c r="N2510">
        <f t="shared" si="158"/>
        <v>0</v>
      </c>
      <c r="O2510" t="str">
        <f t="shared" si="159"/>
        <v>Proposta Ok</v>
      </c>
    </row>
    <row r="2511" spans="12:15" x14ac:dyDescent="0.25">
      <c r="L2511">
        <f t="shared" si="156"/>
        <v>0</v>
      </c>
      <c r="M2511">
        <f t="shared" si="157"/>
        <v>1</v>
      </c>
      <c r="N2511">
        <f t="shared" si="158"/>
        <v>0</v>
      </c>
      <c r="O2511" t="str">
        <f t="shared" si="159"/>
        <v>Proposta Ok</v>
      </c>
    </row>
    <row r="2512" spans="12:15" x14ac:dyDescent="0.25">
      <c r="L2512">
        <f t="shared" si="156"/>
        <v>0</v>
      </c>
      <c r="M2512">
        <f t="shared" si="157"/>
        <v>1</v>
      </c>
      <c r="N2512">
        <f t="shared" si="158"/>
        <v>0</v>
      </c>
      <c r="O2512" t="str">
        <f t="shared" si="159"/>
        <v>Proposta Ok</v>
      </c>
    </row>
    <row r="2513" spans="12:15" x14ac:dyDescent="0.25">
      <c r="L2513">
        <f t="shared" si="156"/>
        <v>0</v>
      </c>
      <c r="M2513">
        <f t="shared" si="157"/>
        <v>1</v>
      </c>
      <c r="N2513">
        <f t="shared" si="158"/>
        <v>0</v>
      </c>
      <c r="O2513" t="str">
        <f t="shared" si="159"/>
        <v>Proposta Ok</v>
      </c>
    </row>
    <row r="2514" spans="12:15" x14ac:dyDescent="0.25">
      <c r="L2514">
        <f t="shared" si="156"/>
        <v>0</v>
      </c>
      <c r="M2514">
        <f t="shared" si="157"/>
        <v>1</v>
      </c>
      <c r="N2514">
        <f t="shared" si="158"/>
        <v>0</v>
      </c>
      <c r="O2514" t="str">
        <f t="shared" si="159"/>
        <v>Proposta Ok</v>
      </c>
    </row>
    <row r="2515" spans="12:15" x14ac:dyDescent="0.25">
      <c r="L2515">
        <f t="shared" si="156"/>
        <v>0</v>
      </c>
      <c r="M2515">
        <f t="shared" si="157"/>
        <v>1</v>
      </c>
      <c r="N2515">
        <f t="shared" si="158"/>
        <v>0</v>
      </c>
      <c r="O2515" t="str">
        <f t="shared" si="159"/>
        <v>Proposta Ok</v>
      </c>
    </row>
    <row r="2516" spans="12:15" x14ac:dyDescent="0.25">
      <c r="L2516">
        <f t="shared" si="156"/>
        <v>0</v>
      </c>
      <c r="M2516">
        <f t="shared" si="157"/>
        <v>1</v>
      </c>
      <c r="N2516">
        <f t="shared" si="158"/>
        <v>0</v>
      </c>
      <c r="O2516" t="str">
        <f t="shared" si="159"/>
        <v>Proposta Ok</v>
      </c>
    </row>
    <row r="2517" spans="12:15" x14ac:dyDescent="0.25">
      <c r="L2517">
        <f t="shared" si="156"/>
        <v>0</v>
      </c>
      <c r="M2517">
        <f t="shared" si="157"/>
        <v>1</v>
      </c>
      <c r="N2517">
        <f t="shared" si="158"/>
        <v>0</v>
      </c>
      <c r="O2517" t="str">
        <f t="shared" si="159"/>
        <v>Proposta Ok</v>
      </c>
    </row>
    <row r="2518" spans="12:15" x14ac:dyDescent="0.25">
      <c r="L2518">
        <f t="shared" si="156"/>
        <v>0</v>
      </c>
      <c r="M2518">
        <f t="shared" si="157"/>
        <v>1</v>
      </c>
      <c r="N2518">
        <f t="shared" si="158"/>
        <v>0</v>
      </c>
      <c r="O2518" t="str">
        <f t="shared" si="159"/>
        <v>Proposta Ok</v>
      </c>
    </row>
    <row r="2519" spans="12:15" x14ac:dyDescent="0.25">
      <c r="L2519">
        <f t="shared" si="156"/>
        <v>0</v>
      </c>
      <c r="M2519">
        <f t="shared" si="157"/>
        <v>1</v>
      </c>
      <c r="N2519">
        <f t="shared" si="158"/>
        <v>0</v>
      </c>
      <c r="O2519" t="str">
        <f t="shared" si="159"/>
        <v>Proposta Ok</v>
      </c>
    </row>
    <row r="2520" spans="12:15" x14ac:dyDescent="0.25">
      <c r="L2520">
        <f t="shared" si="156"/>
        <v>0</v>
      </c>
      <c r="M2520">
        <f t="shared" si="157"/>
        <v>1</v>
      </c>
      <c r="N2520">
        <f t="shared" si="158"/>
        <v>0</v>
      </c>
      <c r="O2520" t="str">
        <f t="shared" si="159"/>
        <v>Proposta Ok</v>
      </c>
    </row>
    <row r="2521" spans="12:15" x14ac:dyDescent="0.25">
      <c r="L2521">
        <f t="shared" si="156"/>
        <v>0</v>
      </c>
      <c r="M2521">
        <f t="shared" si="157"/>
        <v>1</v>
      </c>
      <c r="N2521">
        <f t="shared" si="158"/>
        <v>0</v>
      </c>
      <c r="O2521" t="str">
        <f t="shared" si="159"/>
        <v>Proposta Ok</v>
      </c>
    </row>
    <row r="2522" spans="12:15" x14ac:dyDescent="0.25">
      <c r="L2522">
        <f t="shared" si="156"/>
        <v>0</v>
      </c>
      <c r="M2522">
        <f t="shared" si="157"/>
        <v>1</v>
      </c>
      <c r="N2522">
        <f t="shared" si="158"/>
        <v>0</v>
      </c>
      <c r="O2522" t="str">
        <f t="shared" si="159"/>
        <v>Proposta Ok</v>
      </c>
    </row>
    <row r="2523" spans="12:15" x14ac:dyDescent="0.25">
      <c r="L2523">
        <f t="shared" ref="L2523:L2586" si="160">IF(OR(I2523="Termo OK (Exceção)",I2523="Termo OK"),1,0)</f>
        <v>0</v>
      </c>
      <c r="M2523">
        <f t="shared" ref="M2523:M2586" si="161">IF(OR(I2523="Termo OK (Exceção)",I2523="Termo OK"),0,1)</f>
        <v>1</v>
      </c>
      <c r="N2523">
        <f t="shared" ref="N2523:N2586" si="162">IF(J2523="SIM",1,0)</f>
        <v>0</v>
      </c>
      <c r="O2523" t="str">
        <f t="shared" ref="O2523:O2586" si="163">IF(SUMIFS(M:M,A:A,A2523)&gt;0,"Proposta não Ok","Proposta Ok")</f>
        <v>Proposta Ok</v>
      </c>
    </row>
    <row r="2524" spans="12:15" x14ac:dyDescent="0.25">
      <c r="L2524">
        <f t="shared" si="160"/>
        <v>0</v>
      </c>
      <c r="M2524">
        <f t="shared" si="161"/>
        <v>1</v>
      </c>
      <c r="N2524">
        <f t="shared" si="162"/>
        <v>0</v>
      </c>
      <c r="O2524" t="str">
        <f t="shared" si="163"/>
        <v>Proposta Ok</v>
      </c>
    </row>
    <row r="2525" spans="12:15" x14ac:dyDescent="0.25">
      <c r="L2525">
        <f t="shared" si="160"/>
        <v>0</v>
      </c>
      <c r="M2525">
        <f t="shared" si="161"/>
        <v>1</v>
      </c>
      <c r="N2525">
        <f t="shared" si="162"/>
        <v>0</v>
      </c>
      <c r="O2525" t="str">
        <f t="shared" si="163"/>
        <v>Proposta Ok</v>
      </c>
    </row>
    <row r="2526" spans="12:15" x14ac:dyDescent="0.25">
      <c r="L2526">
        <f t="shared" si="160"/>
        <v>0</v>
      </c>
      <c r="M2526">
        <f t="shared" si="161"/>
        <v>1</v>
      </c>
      <c r="N2526">
        <f t="shared" si="162"/>
        <v>0</v>
      </c>
      <c r="O2526" t="str">
        <f t="shared" si="163"/>
        <v>Proposta Ok</v>
      </c>
    </row>
    <row r="2527" spans="12:15" x14ac:dyDescent="0.25">
      <c r="L2527">
        <f t="shared" si="160"/>
        <v>0</v>
      </c>
      <c r="M2527">
        <f t="shared" si="161"/>
        <v>1</v>
      </c>
      <c r="N2527">
        <f t="shared" si="162"/>
        <v>0</v>
      </c>
      <c r="O2527" t="str">
        <f t="shared" si="163"/>
        <v>Proposta Ok</v>
      </c>
    </row>
    <row r="2528" spans="12:15" x14ac:dyDescent="0.25">
      <c r="L2528">
        <f t="shared" si="160"/>
        <v>0</v>
      </c>
      <c r="M2528">
        <f t="shared" si="161"/>
        <v>1</v>
      </c>
      <c r="N2528">
        <f t="shared" si="162"/>
        <v>0</v>
      </c>
      <c r="O2528" t="str">
        <f t="shared" si="163"/>
        <v>Proposta Ok</v>
      </c>
    </row>
    <row r="2529" spans="12:15" x14ac:dyDescent="0.25">
      <c r="L2529">
        <f t="shared" si="160"/>
        <v>0</v>
      </c>
      <c r="M2529">
        <f t="shared" si="161"/>
        <v>1</v>
      </c>
      <c r="N2529">
        <f t="shared" si="162"/>
        <v>0</v>
      </c>
      <c r="O2529" t="str">
        <f t="shared" si="163"/>
        <v>Proposta Ok</v>
      </c>
    </row>
    <row r="2530" spans="12:15" x14ac:dyDescent="0.25">
      <c r="L2530">
        <f t="shared" si="160"/>
        <v>0</v>
      </c>
      <c r="M2530">
        <f t="shared" si="161"/>
        <v>1</v>
      </c>
      <c r="N2530">
        <f t="shared" si="162"/>
        <v>0</v>
      </c>
      <c r="O2530" t="str">
        <f t="shared" si="163"/>
        <v>Proposta Ok</v>
      </c>
    </row>
    <row r="2531" spans="12:15" x14ac:dyDescent="0.25">
      <c r="L2531">
        <f t="shared" si="160"/>
        <v>0</v>
      </c>
      <c r="M2531">
        <f t="shared" si="161"/>
        <v>1</v>
      </c>
      <c r="N2531">
        <f t="shared" si="162"/>
        <v>0</v>
      </c>
      <c r="O2531" t="str">
        <f t="shared" si="163"/>
        <v>Proposta Ok</v>
      </c>
    </row>
    <row r="2532" spans="12:15" x14ac:dyDescent="0.25">
      <c r="L2532">
        <f t="shared" si="160"/>
        <v>0</v>
      </c>
      <c r="M2532">
        <f t="shared" si="161"/>
        <v>1</v>
      </c>
      <c r="N2532">
        <f t="shared" si="162"/>
        <v>0</v>
      </c>
      <c r="O2532" t="str">
        <f t="shared" si="163"/>
        <v>Proposta Ok</v>
      </c>
    </row>
    <row r="2533" spans="12:15" x14ac:dyDescent="0.25">
      <c r="L2533">
        <f t="shared" si="160"/>
        <v>0</v>
      </c>
      <c r="M2533">
        <f t="shared" si="161"/>
        <v>1</v>
      </c>
      <c r="N2533">
        <f t="shared" si="162"/>
        <v>0</v>
      </c>
      <c r="O2533" t="str">
        <f t="shared" si="163"/>
        <v>Proposta Ok</v>
      </c>
    </row>
    <row r="2534" spans="12:15" x14ac:dyDescent="0.25">
      <c r="L2534">
        <f t="shared" si="160"/>
        <v>0</v>
      </c>
      <c r="M2534">
        <f t="shared" si="161"/>
        <v>1</v>
      </c>
      <c r="N2534">
        <f t="shared" si="162"/>
        <v>0</v>
      </c>
      <c r="O2534" t="str">
        <f t="shared" si="163"/>
        <v>Proposta Ok</v>
      </c>
    </row>
    <row r="2535" spans="12:15" x14ac:dyDescent="0.25">
      <c r="L2535">
        <f t="shared" si="160"/>
        <v>0</v>
      </c>
      <c r="M2535">
        <f t="shared" si="161"/>
        <v>1</v>
      </c>
      <c r="N2535">
        <f t="shared" si="162"/>
        <v>0</v>
      </c>
      <c r="O2535" t="str">
        <f t="shared" si="163"/>
        <v>Proposta Ok</v>
      </c>
    </row>
    <row r="2536" spans="12:15" x14ac:dyDescent="0.25">
      <c r="L2536">
        <f t="shared" si="160"/>
        <v>0</v>
      </c>
      <c r="M2536">
        <f t="shared" si="161"/>
        <v>1</v>
      </c>
      <c r="N2536">
        <f t="shared" si="162"/>
        <v>0</v>
      </c>
      <c r="O2536" t="str">
        <f t="shared" si="163"/>
        <v>Proposta Ok</v>
      </c>
    </row>
    <row r="2537" spans="12:15" x14ac:dyDescent="0.25">
      <c r="L2537">
        <f t="shared" si="160"/>
        <v>0</v>
      </c>
      <c r="M2537">
        <f t="shared" si="161"/>
        <v>1</v>
      </c>
      <c r="N2537">
        <f t="shared" si="162"/>
        <v>0</v>
      </c>
      <c r="O2537" t="str">
        <f t="shared" si="163"/>
        <v>Proposta Ok</v>
      </c>
    </row>
    <row r="2538" spans="12:15" x14ac:dyDescent="0.25">
      <c r="L2538">
        <f t="shared" si="160"/>
        <v>0</v>
      </c>
      <c r="M2538">
        <f t="shared" si="161"/>
        <v>1</v>
      </c>
      <c r="N2538">
        <f t="shared" si="162"/>
        <v>0</v>
      </c>
      <c r="O2538" t="str">
        <f t="shared" si="163"/>
        <v>Proposta Ok</v>
      </c>
    </row>
    <row r="2539" spans="12:15" x14ac:dyDescent="0.25">
      <c r="L2539">
        <f t="shared" si="160"/>
        <v>0</v>
      </c>
      <c r="M2539">
        <f t="shared" si="161"/>
        <v>1</v>
      </c>
      <c r="N2539">
        <f t="shared" si="162"/>
        <v>0</v>
      </c>
      <c r="O2539" t="str">
        <f t="shared" si="163"/>
        <v>Proposta Ok</v>
      </c>
    </row>
    <row r="2540" spans="12:15" x14ac:dyDescent="0.25">
      <c r="L2540">
        <f t="shared" si="160"/>
        <v>0</v>
      </c>
      <c r="M2540">
        <f t="shared" si="161"/>
        <v>1</v>
      </c>
      <c r="N2540">
        <f t="shared" si="162"/>
        <v>0</v>
      </c>
      <c r="O2540" t="str">
        <f t="shared" si="163"/>
        <v>Proposta Ok</v>
      </c>
    </row>
    <row r="2541" spans="12:15" x14ac:dyDescent="0.25">
      <c r="L2541">
        <f t="shared" si="160"/>
        <v>0</v>
      </c>
      <c r="M2541">
        <f t="shared" si="161"/>
        <v>1</v>
      </c>
      <c r="N2541">
        <f t="shared" si="162"/>
        <v>0</v>
      </c>
      <c r="O2541" t="str">
        <f t="shared" si="163"/>
        <v>Proposta Ok</v>
      </c>
    </row>
    <row r="2542" spans="12:15" x14ac:dyDescent="0.25">
      <c r="L2542">
        <f t="shared" si="160"/>
        <v>0</v>
      </c>
      <c r="M2542">
        <f t="shared" si="161"/>
        <v>1</v>
      </c>
      <c r="N2542">
        <f t="shared" si="162"/>
        <v>0</v>
      </c>
      <c r="O2542" t="str">
        <f t="shared" si="163"/>
        <v>Proposta Ok</v>
      </c>
    </row>
    <row r="2543" spans="12:15" x14ac:dyDescent="0.25">
      <c r="L2543">
        <f t="shared" si="160"/>
        <v>0</v>
      </c>
      <c r="M2543">
        <f t="shared" si="161"/>
        <v>1</v>
      </c>
      <c r="N2543">
        <f t="shared" si="162"/>
        <v>0</v>
      </c>
      <c r="O2543" t="str">
        <f t="shared" si="163"/>
        <v>Proposta Ok</v>
      </c>
    </row>
    <row r="2544" spans="12:15" x14ac:dyDescent="0.25">
      <c r="L2544">
        <f t="shared" si="160"/>
        <v>0</v>
      </c>
      <c r="M2544">
        <f t="shared" si="161"/>
        <v>1</v>
      </c>
      <c r="N2544">
        <f t="shared" si="162"/>
        <v>0</v>
      </c>
      <c r="O2544" t="str">
        <f t="shared" si="163"/>
        <v>Proposta Ok</v>
      </c>
    </row>
    <row r="2545" spans="12:15" x14ac:dyDescent="0.25">
      <c r="L2545">
        <f t="shared" si="160"/>
        <v>0</v>
      </c>
      <c r="M2545">
        <f t="shared" si="161"/>
        <v>1</v>
      </c>
      <c r="N2545">
        <f t="shared" si="162"/>
        <v>0</v>
      </c>
      <c r="O2545" t="str">
        <f t="shared" si="163"/>
        <v>Proposta Ok</v>
      </c>
    </row>
    <row r="2546" spans="12:15" x14ac:dyDescent="0.25">
      <c r="L2546">
        <f t="shared" si="160"/>
        <v>0</v>
      </c>
      <c r="M2546">
        <f t="shared" si="161"/>
        <v>1</v>
      </c>
      <c r="N2546">
        <f t="shared" si="162"/>
        <v>0</v>
      </c>
      <c r="O2546" t="str">
        <f t="shared" si="163"/>
        <v>Proposta Ok</v>
      </c>
    </row>
    <row r="2547" spans="12:15" x14ac:dyDescent="0.25">
      <c r="L2547">
        <f t="shared" si="160"/>
        <v>0</v>
      </c>
      <c r="M2547">
        <f t="shared" si="161"/>
        <v>1</v>
      </c>
      <c r="N2547">
        <f t="shared" si="162"/>
        <v>0</v>
      </c>
      <c r="O2547" t="str">
        <f t="shared" si="163"/>
        <v>Proposta Ok</v>
      </c>
    </row>
    <row r="2548" spans="12:15" x14ac:dyDescent="0.25">
      <c r="L2548">
        <f t="shared" si="160"/>
        <v>0</v>
      </c>
      <c r="M2548">
        <f t="shared" si="161"/>
        <v>1</v>
      </c>
      <c r="N2548">
        <f t="shared" si="162"/>
        <v>0</v>
      </c>
      <c r="O2548" t="str">
        <f t="shared" si="163"/>
        <v>Proposta Ok</v>
      </c>
    </row>
    <row r="2549" spans="12:15" x14ac:dyDescent="0.25">
      <c r="L2549">
        <f t="shared" si="160"/>
        <v>0</v>
      </c>
      <c r="M2549">
        <f t="shared" si="161"/>
        <v>1</v>
      </c>
      <c r="N2549">
        <f t="shared" si="162"/>
        <v>0</v>
      </c>
      <c r="O2549" t="str">
        <f t="shared" si="163"/>
        <v>Proposta Ok</v>
      </c>
    </row>
    <row r="2550" spans="12:15" x14ac:dyDescent="0.25">
      <c r="L2550">
        <f t="shared" si="160"/>
        <v>0</v>
      </c>
      <c r="M2550">
        <f t="shared" si="161"/>
        <v>1</v>
      </c>
      <c r="N2550">
        <f t="shared" si="162"/>
        <v>0</v>
      </c>
      <c r="O2550" t="str">
        <f t="shared" si="163"/>
        <v>Proposta Ok</v>
      </c>
    </row>
    <row r="2551" spans="12:15" x14ac:dyDescent="0.25">
      <c r="L2551">
        <f t="shared" si="160"/>
        <v>0</v>
      </c>
      <c r="M2551">
        <f t="shared" si="161"/>
        <v>1</v>
      </c>
      <c r="N2551">
        <f t="shared" si="162"/>
        <v>0</v>
      </c>
      <c r="O2551" t="str">
        <f t="shared" si="163"/>
        <v>Proposta Ok</v>
      </c>
    </row>
    <row r="2552" spans="12:15" x14ac:dyDescent="0.25">
      <c r="L2552">
        <f t="shared" si="160"/>
        <v>0</v>
      </c>
      <c r="M2552">
        <f t="shared" si="161"/>
        <v>1</v>
      </c>
      <c r="N2552">
        <f t="shared" si="162"/>
        <v>0</v>
      </c>
      <c r="O2552" t="str">
        <f t="shared" si="163"/>
        <v>Proposta Ok</v>
      </c>
    </row>
    <row r="2553" spans="12:15" x14ac:dyDescent="0.25">
      <c r="L2553">
        <f t="shared" si="160"/>
        <v>0</v>
      </c>
      <c r="M2553">
        <f t="shared" si="161"/>
        <v>1</v>
      </c>
      <c r="N2553">
        <f t="shared" si="162"/>
        <v>0</v>
      </c>
      <c r="O2553" t="str">
        <f t="shared" si="163"/>
        <v>Proposta Ok</v>
      </c>
    </row>
    <row r="2554" spans="12:15" x14ac:dyDescent="0.25">
      <c r="L2554">
        <f t="shared" si="160"/>
        <v>0</v>
      </c>
      <c r="M2554">
        <f t="shared" si="161"/>
        <v>1</v>
      </c>
      <c r="N2554">
        <f t="shared" si="162"/>
        <v>0</v>
      </c>
      <c r="O2554" t="str">
        <f t="shared" si="163"/>
        <v>Proposta Ok</v>
      </c>
    </row>
    <row r="2555" spans="12:15" x14ac:dyDescent="0.25">
      <c r="L2555">
        <f t="shared" si="160"/>
        <v>0</v>
      </c>
      <c r="M2555">
        <f t="shared" si="161"/>
        <v>1</v>
      </c>
      <c r="N2555">
        <f t="shared" si="162"/>
        <v>0</v>
      </c>
      <c r="O2555" t="str">
        <f t="shared" si="163"/>
        <v>Proposta Ok</v>
      </c>
    </row>
    <row r="2556" spans="12:15" x14ac:dyDescent="0.25">
      <c r="L2556">
        <f t="shared" si="160"/>
        <v>0</v>
      </c>
      <c r="M2556">
        <f t="shared" si="161"/>
        <v>1</v>
      </c>
      <c r="N2556">
        <f t="shared" si="162"/>
        <v>0</v>
      </c>
      <c r="O2556" t="str">
        <f t="shared" si="163"/>
        <v>Proposta Ok</v>
      </c>
    </row>
    <row r="2557" spans="12:15" x14ac:dyDescent="0.25">
      <c r="L2557">
        <f t="shared" si="160"/>
        <v>0</v>
      </c>
      <c r="M2557">
        <f t="shared" si="161"/>
        <v>1</v>
      </c>
      <c r="N2557">
        <f t="shared" si="162"/>
        <v>0</v>
      </c>
      <c r="O2557" t="str">
        <f t="shared" si="163"/>
        <v>Proposta Ok</v>
      </c>
    </row>
    <row r="2558" spans="12:15" x14ac:dyDescent="0.25">
      <c r="L2558">
        <f t="shared" si="160"/>
        <v>0</v>
      </c>
      <c r="M2558">
        <f t="shared" si="161"/>
        <v>1</v>
      </c>
      <c r="N2558">
        <f t="shared" si="162"/>
        <v>0</v>
      </c>
      <c r="O2558" t="str">
        <f t="shared" si="163"/>
        <v>Proposta Ok</v>
      </c>
    </row>
    <row r="2559" spans="12:15" x14ac:dyDescent="0.25">
      <c r="L2559">
        <f t="shared" si="160"/>
        <v>0</v>
      </c>
      <c r="M2559">
        <f t="shared" si="161"/>
        <v>1</v>
      </c>
      <c r="N2559">
        <f t="shared" si="162"/>
        <v>0</v>
      </c>
      <c r="O2559" t="str">
        <f t="shared" si="163"/>
        <v>Proposta Ok</v>
      </c>
    </row>
    <row r="2560" spans="12:15" x14ac:dyDescent="0.25">
      <c r="L2560">
        <f t="shared" si="160"/>
        <v>0</v>
      </c>
      <c r="M2560">
        <f t="shared" si="161"/>
        <v>1</v>
      </c>
      <c r="N2560">
        <f t="shared" si="162"/>
        <v>0</v>
      </c>
      <c r="O2560" t="str">
        <f t="shared" si="163"/>
        <v>Proposta Ok</v>
      </c>
    </row>
    <row r="2561" spans="12:15" x14ac:dyDescent="0.25">
      <c r="L2561">
        <f t="shared" si="160"/>
        <v>0</v>
      </c>
      <c r="M2561">
        <f t="shared" si="161"/>
        <v>1</v>
      </c>
      <c r="N2561">
        <f t="shared" si="162"/>
        <v>0</v>
      </c>
      <c r="O2561" t="str">
        <f t="shared" si="163"/>
        <v>Proposta Ok</v>
      </c>
    </row>
    <row r="2562" spans="12:15" x14ac:dyDescent="0.25">
      <c r="L2562">
        <f t="shared" si="160"/>
        <v>0</v>
      </c>
      <c r="M2562">
        <f t="shared" si="161"/>
        <v>1</v>
      </c>
      <c r="N2562">
        <f t="shared" si="162"/>
        <v>0</v>
      </c>
      <c r="O2562" t="str">
        <f t="shared" si="163"/>
        <v>Proposta Ok</v>
      </c>
    </row>
    <row r="2563" spans="12:15" x14ac:dyDescent="0.25">
      <c r="L2563">
        <f t="shared" si="160"/>
        <v>0</v>
      </c>
      <c r="M2563">
        <f t="shared" si="161"/>
        <v>1</v>
      </c>
      <c r="N2563">
        <f t="shared" si="162"/>
        <v>0</v>
      </c>
      <c r="O2563" t="str">
        <f t="shared" si="163"/>
        <v>Proposta Ok</v>
      </c>
    </row>
    <row r="2564" spans="12:15" x14ac:dyDescent="0.25">
      <c r="L2564">
        <f t="shared" si="160"/>
        <v>0</v>
      </c>
      <c r="M2564">
        <f t="shared" si="161"/>
        <v>1</v>
      </c>
      <c r="N2564">
        <f t="shared" si="162"/>
        <v>0</v>
      </c>
      <c r="O2564" t="str">
        <f t="shared" si="163"/>
        <v>Proposta Ok</v>
      </c>
    </row>
    <row r="2565" spans="12:15" x14ac:dyDescent="0.25">
      <c r="L2565">
        <f t="shared" si="160"/>
        <v>0</v>
      </c>
      <c r="M2565">
        <f t="shared" si="161"/>
        <v>1</v>
      </c>
      <c r="N2565">
        <f t="shared" si="162"/>
        <v>0</v>
      </c>
      <c r="O2565" t="str">
        <f t="shared" si="163"/>
        <v>Proposta Ok</v>
      </c>
    </row>
    <row r="2566" spans="12:15" x14ac:dyDescent="0.25">
      <c r="L2566">
        <f t="shared" si="160"/>
        <v>0</v>
      </c>
      <c r="M2566">
        <f t="shared" si="161"/>
        <v>1</v>
      </c>
      <c r="N2566">
        <f t="shared" si="162"/>
        <v>0</v>
      </c>
      <c r="O2566" t="str">
        <f t="shared" si="163"/>
        <v>Proposta Ok</v>
      </c>
    </row>
    <row r="2567" spans="12:15" x14ac:dyDescent="0.25">
      <c r="L2567">
        <f t="shared" si="160"/>
        <v>0</v>
      </c>
      <c r="M2567">
        <f t="shared" si="161"/>
        <v>1</v>
      </c>
      <c r="N2567">
        <f t="shared" si="162"/>
        <v>0</v>
      </c>
      <c r="O2567" t="str">
        <f t="shared" si="163"/>
        <v>Proposta Ok</v>
      </c>
    </row>
    <row r="2568" spans="12:15" x14ac:dyDescent="0.25">
      <c r="L2568">
        <f t="shared" si="160"/>
        <v>0</v>
      </c>
      <c r="M2568">
        <f t="shared" si="161"/>
        <v>1</v>
      </c>
      <c r="N2568">
        <f t="shared" si="162"/>
        <v>0</v>
      </c>
      <c r="O2568" t="str">
        <f t="shared" si="163"/>
        <v>Proposta Ok</v>
      </c>
    </row>
    <row r="2569" spans="12:15" x14ac:dyDescent="0.25">
      <c r="L2569">
        <f t="shared" si="160"/>
        <v>0</v>
      </c>
      <c r="M2569">
        <f t="shared" si="161"/>
        <v>1</v>
      </c>
      <c r="N2569">
        <f t="shared" si="162"/>
        <v>0</v>
      </c>
      <c r="O2569" t="str">
        <f t="shared" si="163"/>
        <v>Proposta Ok</v>
      </c>
    </row>
    <row r="2570" spans="12:15" x14ac:dyDescent="0.25">
      <c r="L2570">
        <f t="shared" si="160"/>
        <v>0</v>
      </c>
      <c r="M2570">
        <f t="shared" si="161"/>
        <v>1</v>
      </c>
      <c r="N2570">
        <f t="shared" si="162"/>
        <v>0</v>
      </c>
      <c r="O2570" t="str">
        <f t="shared" si="163"/>
        <v>Proposta Ok</v>
      </c>
    </row>
    <row r="2571" spans="12:15" x14ac:dyDescent="0.25">
      <c r="L2571">
        <f t="shared" si="160"/>
        <v>0</v>
      </c>
      <c r="M2571">
        <f t="shared" si="161"/>
        <v>1</v>
      </c>
      <c r="N2571">
        <f t="shared" si="162"/>
        <v>0</v>
      </c>
      <c r="O2571" t="str">
        <f t="shared" si="163"/>
        <v>Proposta Ok</v>
      </c>
    </row>
    <row r="2572" spans="12:15" x14ac:dyDescent="0.25">
      <c r="L2572">
        <f t="shared" si="160"/>
        <v>0</v>
      </c>
      <c r="M2572">
        <f t="shared" si="161"/>
        <v>1</v>
      </c>
      <c r="N2572">
        <f t="shared" si="162"/>
        <v>0</v>
      </c>
      <c r="O2572" t="str">
        <f t="shared" si="163"/>
        <v>Proposta Ok</v>
      </c>
    </row>
    <row r="2573" spans="12:15" x14ac:dyDescent="0.25">
      <c r="L2573">
        <f t="shared" si="160"/>
        <v>0</v>
      </c>
      <c r="M2573">
        <f t="shared" si="161"/>
        <v>1</v>
      </c>
      <c r="N2573">
        <f t="shared" si="162"/>
        <v>0</v>
      </c>
      <c r="O2573" t="str">
        <f t="shared" si="163"/>
        <v>Proposta Ok</v>
      </c>
    </row>
    <row r="2574" spans="12:15" x14ac:dyDescent="0.25">
      <c r="L2574">
        <f t="shared" si="160"/>
        <v>0</v>
      </c>
      <c r="M2574">
        <f t="shared" si="161"/>
        <v>1</v>
      </c>
      <c r="N2574">
        <f t="shared" si="162"/>
        <v>0</v>
      </c>
      <c r="O2574" t="str">
        <f t="shared" si="163"/>
        <v>Proposta Ok</v>
      </c>
    </row>
    <row r="2575" spans="12:15" x14ac:dyDescent="0.25">
      <c r="L2575">
        <f t="shared" si="160"/>
        <v>0</v>
      </c>
      <c r="M2575">
        <f t="shared" si="161"/>
        <v>1</v>
      </c>
      <c r="N2575">
        <f t="shared" si="162"/>
        <v>0</v>
      </c>
      <c r="O2575" t="str">
        <f t="shared" si="163"/>
        <v>Proposta Ok</v>
      </c>
    </row>
    <row r="2576" spans="12:15" x14ac:dyDescent="0.25">
      <c r="L2576">
        <f t="shared" si="160"/>
        <v>0</v>
      </c>
      <c r="M2576">
        <f t="shared" si="161"/>
        <v>1</v>
      </c>
      <c r="N2576">
        <f t="shared" si="162"/>
        <v>0</v>
      </c>
      <c r="O2576" t="str">
        <f t="shared" si="163"/>
        <v>Proposta Ok</v>
      </c>
    </row>
    <row r="2577" spans="12:15" x14ac:dyDescent="0.25">
      <c r="L2577">
        <f t="shared" si="160"/>
        <v>0</v>
      </c>
      <c r="M2577">
        <f t="shared" si="161"/>
        <v>1</v>
      </c>
      <c r="N2577">
        <f t="shared" si="162"/>
        <v>0</v>
      </c>
      <c r="O2577" t="str">
        <f t="shared" si="163"/>
        <v>Proposta Ok</v>
      </c>
    </row>
    <row r="2578" spans="12:15" x14ac:dyDescent="0.25">
      <c r="L2578">
        <f t="shared" si="160"/>
        <v>0</v>
      </c>
      <c r="M2578">
        <f t="shared" si="161"/>
        <v>1</v>
      </c>
      <c r="N2578">
        <f t="shared" si="162"/>
        <v>0</v>
      </c>
      <c r="O2578" t="str">
        <f t="shared" si="163"/>
        <v>Proposta Ok</v>
      </c>
    </row>
    <row r="2579" spans="12:15" x14ac:dyDescent="0.25">
      <c r="L2579">
        <f t="shared" si="160"/>
        <v>0</v>
      </c>
      <c r="M2579">
        <f t="shared" si="161"/>
        <v>1</v>
      </c>
      <c r="N2579">
        <f t="shared" si="162"/>
        <v>0</v>
      </c>
      <c r="O2579" t="str">
        <f t="shared" si="163"/>
        <v>Proposta Ok</v>
      </c>
    </row>
    <row r="2580" spans="12:15" x14ac:dyDescent="0.25">
      <c r="L2580">
        <f t="shared" si="160"/>
        <v>0</v>
      </c>
      <c r="M2580">
        <f t="shared" si="161"/>
        <v>1</v>
      </c>
      <c r="N2580">
        <f t="shared" si="162"/>
        <v>0</v>
      </c>
      <c r="O2580" t="str">
        <f t="shared" si="163"/>
        <v>Proposta Ok</v>
      </c>
    </row>
    <row r="2581" spans="12:15" x14ac:dyDescent="0.25">
      <c r="L2581">
        <f t="shared" si="160"/>
        <v>0</v>
      </c>
      <c r="M2581">
        <f t="shared" si="161"/>
        <v>1</v>
      </c>
      <c r="N2581">
        <f t="shared" si="162"/>
        <v>0</v>
      </c>
      <c r="O2581" t="str">
        <f t="shared" si="163"/>
        <v>Proposta Ok</v>
      </c>
    </row>
    <row r="2582" spans="12:15" x14ac:dyDescent="0.25">
      <c r="L2582">
        <f t="shared" si="160"/>
        <v>0</v>
      </c>
      <c r="M2582">
        <f t="shared" si="161"/>
        <v>1</v>
      </c>
      <c r="N2582">
        <f t="shared" si="162"/>
        <v>0</v>
      </c>
      <c r="O2582" t="str">
        <f t="shared" si="163"/>
        <v>Proposta Ok</v>
      </c>
    </row>
    <row r="2583" spans="12:15" x14ac:dyDescent="0.25">
      <c r="L2583">
        <f t="shared" si="160"/>
        <v>0</v>
      </c>
      <c r="M2583">
        <f t="shared" si="161"/>
        <v>1</v>
      </c>
      <c r="N2583">
        <f t="shared" si="162"/>
        <v>0</v>
      </c>
      <c r="O2583" t="str">
        <f t="shared" si="163"/>
        <v>Proposta Ok</v>
      </c>
    </row>
    <row r="2584" spans="12:15" x14ac:dyDescent="0.25">
      <c r="L2584">
        <f t="shared" si="160"/>
        <v>0</v>
      </c>
      <c r="M2584">
        <f t="shared" si="161"/>
        <v>1</v>
      </c>
      <c r="N2584">
        <f t="shared" si="162"/>
        <v>0</v>
      </c>
      <c r="O2584" t="str">
        <f t="shared" si="163"/>
        <v>Proposta Ok</v>
      </c>
    </row>
    <row r="2585" spans="12:15" x14ac:dyDescent="0.25">
      <c r="L2585">
        <f t="shared" si="160"/>
        <v>0</v>
      </c>
      <c r="M2585">
        <f t="shared" si="161"/>
        <v>1</v>
      </c>
      <c r="N2585">
        <f t="shared" si="162"/>
        <v>0</v>
      </c>
      <c r="O2585" t="str">
        <f t="shared" si="163"/>
        <v>Proposta Ok</v>
      </c>
    </row>
    <row r="2586" spans="12:15" x14ac:dyDescent="0.25">
      <c r="L2586">
        <f t="shared" si="160"/>
        <v>0</v>
      </c>
      <c r="M2586">
        <f t="shared" si="161"/>
        <v>1</v>
      </c>
      <c r="N2586">
        <f t="shared" si="162"/>
        <v>0</v>
      </c>
      <c r="O2586" t="str">
        <f t="shared" si="163"/>
        <v>Proposta Ok</v>
      </c>
    </row>
    <row r="2587" spans="12:15" x14ac:dyDescent="0.25">
      <c r="L2587">
        <f t="shared" ref="L2587:L2650" si="164">IF(OR(I2587="Termo OK (Exceção)",I2587="Termo OK"),1,0)</f>
        <v>0</v>
      </c>
      <c r="M2587">
        <f t="shared" ref="M2587:M2650" si="165">IF(OR(I2587="Termo OK (Exceção)",I2587="Termo OK"),0,1)</f>
        <v>1</v>
      </c>
      <c r="N2587">
        <f t="shared" ref="N2587:N2650" si="166">IF(J2587="SIM",1,0)</f>
        <v>0</v>
      </c>
      <c r="O2587" t="str">
        <f t="shared" ref="O2587:O2650" si="167">IF(SUMIFS(M:M,A:A,A2587)&gt;0,"Proposta não Ok","Proposta Ok")</f>
        <v>Proposta Ok</v>
      </c>
    </row>
    <row r="2588" spans="12:15" x14ac:dyDescent="0.25">
      <c r="L2588">
        <f t="shared" si="164"/>
        <v>0</v>
      </c>
      <c r="M2588">
        <f t="shared" si="165"/>
        <v>1</v>
      </c>
      <c r="N2588">
        <f t="shared" si="166"/>
        <v>0</v>
      </c>
      <c r="O2588" t="str">
        <f t="shared" si="167"/>
        <v>Proposta Ok</v>
      </c>
    </row>
    <row r="2589" spans="12:15" x14ac:dyDescent="0.25">
      <c r="L2589">
        <f t="shared" si="164"/>
        <v>0</v>
      </c>
      <c r="M2589">
        <f t="shared" si="165"/>
        <v>1</v>
      </c>
      <c r="N2589">
        <f t="shared" si="166"/>
        <v>0</v>
      </c>
      <c r="O2589" t="str">
        <f t="shared" si="167"/>
        <v>Proposta Ok</v>
      </c>
    </row>
    <row r="2590" spans="12:15" x14ac:dyDescent="0.25">
      <c r="L2590">
        <f t="shared" si="164"/>
        <v>0</v>
      </c>
      <c r="M2590">
        <f t="shared" si="165"/>
        <v>1</v>
      </c>
      <c r="N2590">
        <f t="shared" si="166"/>
        <v>0</v>
      </c>
      <c r="O2590" t="str">
        <f t="shared" si="167"/>
        <v>Proposta Ok</v>
      </c>
    </row>
    <row r="2591" spans="12:15" x14ac:dyDescent="0.25">
      <c r="L2591">
        <f t="shared" si="164"/>
        <v>0</v>
      </c>
      <c r="M2591">
        <f t="shared" si="165"/>
        <v>1</v>
      </c>
      <c r="N2591">
        <f t="shared" si="166"/>
        <v>0</v>
      </c>
      <c r="O2591" t="str">
        <f t="shared" si="167"/>
        <v>Proposta Ok</v>
      </c>
    </row>
    <row r="2592" spans="12:15" x14ac:dyDescent="0.25">
      <c r="L2592">
        <f t="shared" si="164"/>
        <v>0</v>
      </c>
      <c r="M2592">
        <f t="shared" si="165"/>
        <v>1</v>
      </c>
      <c r="N2592">
        <f t="shared" si="166"/>
        <v>0</v>
      </c>
      <c r="O2592" t="str">
        <f t="shared" si="167"/>
        <v>Proposta Ok</v>
      </c>
    </row>
    <row r="2593" spans="12:15" x14ac:dyDescent="0.25">
      <c r="L2593">
        <f t="shared" si="164"/>
        <v>0</v>
      </c>
      <c r="M2593">
        <f t="shared" si="165"/>
        <v>1</v>
      </c>
      <c r="N2593">
        <f t="shared" si="166"/>
        <v>0</v>
      </c>
      <c r="O2593" t="str">
        <f t="shared" si="167"/>
        <v>Proposta Ok</v>
      </c>
    </row>
    <row r="2594" spans="12:15" x14ac:dyDescent="0.25">
      <c r="L2594">
        <f t="shared" si="164"/>
        <v>0</v>
      </c>
      <c r="M2594">
        <f t="shared" si="165"/>
        <v>1</v>
      </c>
      <c r="N2594">
        <f t="shared" si="166"/>
        <v>0</v>
      </c>
      <c r="O2594" t="str">
        <f t="shared" si="167"/>
        <v>Proposta Ok</v>
      </c>
    </row>
    <row r="2595" spans="12:15" x14ac:dyDescent="0.25">
      <c r="L2595">
        <f t="shared" si="164"/>
        <v>0</v>
      </c>
      <c r="M2595">
        <f t="shared" si="165"/>
        <v>1</v>
      </c>
      <c r="N2595">
        <f t="shared" si="166"/>
        <v>0</v>
      </c>
      <c r="O2595" t="str">
        <f t="shared" si="167"/>
        <v>Proposta Ok</v>
      </c>
    </row>
    <row r="2596" spans="12:15" x14ac:dyDescent="0.25">
      <c r="L2596">
        <f t="shared" si="164"/>
        <v>0</v>
      </c>
      <c r="M2596">
        <f t="shared" si="165"/>
        <v>1</v>
      </c>
      <c r="N2596">
        <f t="shared" si="166"/>
        <v>0</v>
      </c>
      <c r="O2596" t="str">
        <f t="shared" si="167"/>
        <v>Proposta Ok</v>
      </c>
    </row>
    <row r="2597" spans="12:15" x14ac:dyDescent="0.25">
      <c r="L2597">
        <f t="shared" si="164"/>
        <v>0</v>
      </c>
      <c r="M2597">
        <f t="shared" si="165"/>
        <v>1</v>
      </c>
      <c r="N2597">
        <f t="shared" si="166"/>
        <v>0</v>
      </c>
      <c r="O2597" t="str">
        <f t="shared" si="167"/>
        <v>Proposta Ok</v>
      </c>
    </row>
    <row r="2598" spans="12:15" x14ac:dyDescent="0.25">
      <c r="L2598">
        <f t="shared" si="164"/>
        <v>0</v>
      </c>
      <c r="M2598">
        <f t="shared" si="165"/>
        <v>1</v>
      </c>
      <c r="N2598">
        <f t="shared" si="166"/>
        <v>0</v>
      </c>
      <c r="O2598" t="str">
        <f t="shared" si="167"/>
        <v>Proposta Ok</v>
      </c>
    </row>
    <row r="2599" spans="12:15" x14ac:dyDescent="0.25">
      <c r="L2599">
        <f t="shared" si="164"/>
        <v>0</v>
      </c>
      <c r="M2599">
        <f t="shared" si="165"/>
        <v>1</v>
      </c>
      <c r="N2599">
        <f t="shared" si="166"/>
        <v>0</v>
      </c>
      <c r="O2599" t="str">
        <f t="shared" si="167"/>
        <v>Proposta Ok</v>
      </c>
    </row>
    <row r="2600" spans="12:15" x14ac:dyDescent="0.25">
      <c r="L2600">
        <f t="shared" si="164"/>
        <v>0</v>
      </c>
      <c r="M2600">
        <f t="shared" si="165"/>
        <v>1</v>
      </c>
      <c r="N2600">
        <f t="shared" si="166"/>
        <v>0</v>
      </c>
      <c r="O2600" t="str">
        <f t="shared" si="167"/>
        <v>Proposta Ok</v>
      </c>
    </row>
    <row r="2601" spans="12:15" x14ac:dyDescent="0.25">
      <c r="L2601">
        <f t="shared" si="164"/>
        <v>0</v>
      </c>
      <c r="M2601">
        <f t="shared" si="165"/>
        <v>1</v>
      </c>
      <c r="N2601">
        <f t="shared" si="166"/>
        <v>0</v>
      </c>
      <c r="O2601" t="str">
        <f t="shared" si="167"/>
        <v>Proposta Ok</v>
      </c>
    </row>
    <row r="2602" spans="12:15" x14ac:dyDescent="0.25">
      <c r="L2602">
        <f t="shared" si="164"/>
        <v>0</v>
      </c>
      <c r="M2602">
        <f t="shared" si="165"/>
        <v>1</v>
      </c>
      <c r="N2602">
        <f t="shared" si="166"/>
        <v>0</v>
      </c>
      <c r="O2602" t="str">
        <f t="shared" si="167"/>
        <v>Proposta Ok</v>
      </c>
    </row>
    <row r="2603" spans="12:15" x14ac:dyDescent="0.25">
      <c r="L2603">
        <f t="shared" si="164"/>
        <v>0</v>
      </c>
      <c r="M2603">
        <f t="shared" si="165"/>
        <v>1</v>
      </c>
      <c r="N2603">
        <f t="shared" si="166"/>
        <v>0</v>
      </c>
      <c r="O2603" t="str">
        <f t="shared" si="167"/>
        <v>Proposta Ok</v>
      </c>
    </row>
    <row r="2604" spans="12:15" x14ac:dyDescent="0.25">
      <c r="L2604">
        <f t="shared" si="164"/>
        <v>0</v>
      </c>
      <c r="M2604">
        <f t="shared" si="165"/>
        <v>1</v>
      </c>
      <c r="N2604">
        <f t="shared" si="166"/>
        <v>0</v>
      </c>
      <c r="O2604" t="str">
        <f t="shared" si="167"/>
        <v>Proposta Ok</v>
      </c>
    </row>
    <row r="2605" spans="12:15" x14ac:dyDescent="0.25">
      <c r="L2605">
        <f t="shared" si="164"/>
        <v>0</v>
      </c>
      <c r="M2605">
        <f t="shared" si="165"/>
        <v>1</v>
      </c>
      <c r="N2605">
        <f t="shared" si="166"/>
        <v>0</v>
      </c>
      <c r="O2605" t="str">
        <f t="shared" si="167"/>
        <v>Proposta Ok</v>
      </c>
    </row>
    <row r="2606" spans="12:15" x14ac:dyDescent="0.25">
      <c r="L2606">
        <f t="shared" si="164"/>
        <v>0</v>
      </c>
      <c r="M2606">
        <f t="shared" si="165"/>
        <v>1</v>
      </c>
      <c r="N2606">
        <f t="shared" si="166"/>
        <v>0</v>
      </c>
      <c r="O2606" t="str">
        <f t="shared" si="167"/>
        <v>Proposta Ok</v>
      </c>
    </row>
    <row r="2607" spans="12:15" x14ac:dyDescent="0.25">
      <c r="L2607">
        <f t="shared" si="164"/>
        <v>0</v>
      </c>
      <c r="M2607">
        <f t="shared" si="165"/>
        <v>1</v>
      </c>
      <c r="N2607">
        <f t="shared" si="166"/>
        <v>0</v>
      </c>
      <c r="O2607" t="str">
        <f t="shared" si="167"/>
        <v>Proposta Ok</v>
      </c>
    </row>
    <row r="2608" spans="12:15" x14ac:dyDescent="0.25">
      <c r="L2608">
        <f t="shared" si="164"/>
        <v>0</v>
      </c>
      <c r="M2608">
        <f t="shared" si="165"/>
        <v>1</v>
      </c>
      <c r="N2608">
        <f t="shared" si="166"/>
        <v>0</v>
      </c>
      <c r="O2608" t="str">
        <f t="shared" si="167"/>
        <v>Proposta Ok</v>
      </c>
    </row>
    <row r="2609" spans="12:15" x14ac:dyDescent="0.25">
      <c r="L2609">
        <f t="shared" si="164"/>
        <v>0</v>
      </c>
      <c r="M2609">
        <f t="shared" si="165"/>
        <v>1</v>
      </c>
      <c r="N2609">
        <f t="shared" si="166"/>
        <v>0</v>
      </c>
      <c r="O2609" t="str">
        <f t="shared" si="167"/>
        <v>Proposta Ok</v>
      </c>
    </row>
    <row r="2610" spans="12:15" x14ac:dyDescent="0.25">
      <c r="L2610">
        <f t="shared" si="164"/>
        <v>0</v>
      </c>
      <c r="M2610">
        <f t="shared" si="165"/>
        <v>1</v>
      </c>
      <c r="N2610">
        <f t="shared" si="166"/>
        <v>0</v>
      </c>
      <c r="O2610" t="str">
        <f t="shared" si="167"/>
        <v>Proposta Ok</v>
      </c>
    </row>
    <row r="2611" spans="12:15" x14ac:dyDescent="0.25">
      <c r="L2611">
        <f t="shared" si="164"/>
        <v>0</v>
      </c>
      <c r="M2611">
        <f t="shared" si="165"/>
        <v>1</v>
      </c>
      <c r="N2611">
        <f t="shared" si="166"/>
        <v>0</v>
      </c>
      <c r="O2611" t="str">
        <f t="shared" si="167"/>
        <v>Proposta Ok</v>
      </c>
    </row>
    <row r="2612" spans="12:15" x14ac:dyDescent="0.25">
      <c r="L2612">
        <f t="shared" si="164"/>
        <v>0</v>
      </c>
      <c r="M2612">
        <f t="shared" si="165"/>
        <v>1</v>
      </c>
      <c r="N2612">
        <f t="shared" si="166"/>
        <v>0</v>
      </c>
      <c r="O2612" t="str">
        <f t="shared" si="167"/>
        <v>Proposta Ok</v>
      </c>
    </row>
    <row r="2613" spans="12:15" x14ac:dyDescent="0.25">
      <c r="L2613">
        <f t="shared" si="164"/>
        <v>0</v>
      </c>
      <c r="M2613">
        <f t="shared" si="165"/>
        <v>1</v>
      </c>
      <c r="N2613">
        <f t="shared" si="166"/>
        <v>0</v>
      </c>
      <c r="O2613" t="str">
        <f t="shared" si="167"/>
        <v>Proposta Ok</v>
      </c>
    </row>
    <row r="2614" spans="12:15" x14ac:dyDescent="0.25">
      <c r="L2614">
        <f t="shared" si="164"/>
        <v>0</v>
      </c>
      <c r="M2614">
        <f t="shared" si="165"/>
        <v>1</v>
      </c>
      <c r="N2614">
        <f t="shared" si="166"/>
        <v>0</v>
      </c>
      <c r="O2614" t="str">
        <f t="shared" si="167"/>
        <v>Proposta Ok</v>
      </c>
    </row>
    <row r="2615" spans="12:15" x14ac:dyDescent="0.25">
      <c r="L2615">
        <f t="shared" si="164"/>
        <v>0</v>
      </c>
      <c r="M2615">
        <f t="shared" si="165"/>
        <v>1</v>
      </c>
      <c r="N2615">
        <f t="shared" si="166"/>
        <v>0</v>
      </c>
      <c r="O2615" t="str">
        <f t="shared" si="167"/>
        <v>Proposta Ok</v>
      </c>
    </row>
    <row r="2616" spans="12:15" x14ac:dyDescent="0.25">
      <c r="L2616">
        <f t="shared" si="164"/>
        <v>0</v>
      </c>
      <c r="M2616">
        <f t="shared" si="165"/>
        <v>1</v>
      </c>
      <c r="N2616">
        <f t="shared" si="166"/>
        <v>0</v>
      </c>
      <c r="O2616" t="str">
        <f t="shared" si="167"/>
        <v>Proposta Ok</v>
      </c>
    </row>
    <row r="2617" spans="12:15" x14ac:dyDescent="0.25">
      <c r="L2617">
        <f t="shared" si="164"/>
        <v>0</v>
      </c>
      <c r="M2617">
        <f t="shared" si="165"/>
        <v>1</v>
      </c>
      <c r="N2617">
        <f t="shared" si="166"/>
        <v>0</v>
      </c>
      <c r="O2617" t="str">
        <f t="shared" si="167"/>
        <v>Proposta Ok</v>
      </c>
    </row>
    <row r="2618" spans="12:15" x14ac:dyDescent="0.25">
      <c r="L2618">
        <f t="shared" si="164"/>
        <v>0</v>
      </c>
      <c r="M2618">
        <f t="shared" si="165"/>
        <v>1</v>
      </c>
      <c r="N2618">
        <f t="shared" si="166"/>
        <v>0</v>
      </c>
      <c r="O2618" t="str">
        <f t="shared" si="167"/>
        <v>Proposta Ok</v>
      </c>
    </row>
    <row r="2619" spans="12:15" x14ac:dyDescent="0.25">
      <c r="L2619">
        <f t="shared" si="164"/>
        <v>0</v>
      </c>
      <c r="M2619">
        <f t="shared" si="165"/>
        <v>1</v>
      </c>
      <c r="N2619">
        <f t="shared" si="166"/>
        <v>0</v>
      </c>
      <c r="O2619" t="str">
        <f t="shared" si="167"/>
        <v>Proposta Ok</v>
      </c>
    </row>
    <row r="2620" spans="12:15" x14ac:dyDescent="0.25">
      <c r="L2620">
        <f t="shared" si="164"/>
        <v>0</v>
      </c>
      <c r="M2620">
        <f t="shared" si="165"/>
        <v>1</v>
      </c>
      <c r="N2620">
        <f t="shared" si="166"/>
        <v>0</v>
      </c>
      <c r="O2620" t="str">
        <f t="shared" si="167"/>
        <v>Proposta Ok</v>
      </c>
    </row>
    <row r="2621" spans="12:15" x14ac:dyDescent="0.25">
      <c r="L2621">
        <f t="shared" si="164"/>
        <v>0</v>
      </c>
      <c r="M2621">
        <f t="shared" si="165"/>
        <v>1</v>
      </c>
      <c r="N2621">
        <f t="shared" si="166"/>
        <v>0</v>
      </c>
      <c r="O2621" t="str">
        <f t="shared" si="167"/>
        <v>Proposta Ok</v>
      </c>
    </row>
    <row r="2622" spans="12:15" x14ac:dyDescent="0.25">
      <c r="L2622">
        <f t="shared" si="164"/>
        <v>0</v>
      </c>
      <c r="M2622">
        <f t="shared" si="165"/>
        <v>1</v>
      </c>
      <c r="N2622">
        <f t="shared" si="166"/>
        <v>0</v>
      </c>
      <c r="O2622" t="str">
        <f t="shared" si="167"/>
        <v>Proposta Ok</v>
      </c>
    </row>
    <row r="2623" spans="12:15" x14ac:dyDescent="0.25">
      <c r="L2623">
        <f t="shared" si="164"/>
        <v>0</v>
      </c>
      <c r="M2623">
        <f t="shared" si="165"/>
        <v>1</v>
      </c>
      <c r="N2623">
        <f t="shared" si="166"/>
        <v>0</v>
      </c>
      <c r="O2623" t="str">
        <f t="shared" si="167"/>
        <v>Proposta Ok</v>
      </c>
    </row>
    <row r="2624" spans="12:15" x14ac:dyDescent="0.25">
      <c r="L2624">
        <f t="shared" si="164"/>
        <v>0</v>
      </c>
      <c r="M2624">
        <f t="shared" si="165"/>
        <v>1</v>
      </c>
      <c r="N2624">
        <f t="shared" si="166"/>
        <v>0</v>
      </c>
      <c r="O2624" t="str">
        <f t="shared" si="167"/>
        <v>Proposta Ok</v>
      </c>
    </row>
    <row r="2625" spans="12:15" x14ac:dyDescent="0.25">
      <c r="L2625">
        <f t="shared" si="164"/>
        <v>0</v>
      </c>
      <c r="M2625">
        <f t="shared" si="165"/>
        <v>1</v>
      </c>
      <c r="N2625">
        <f t="shared" si="166"/>
        <v>0</v>
      </c>
      <c r="O2625" t="str">
        <f t="shared" si="167"/>
        <v>Proposta Ok</v>
      </c>
    </row>
    <row r="2626" spans="12:15" x14ac:dyDescent="0.25">
      <c r="L2626">
        <f t="shared" si="164"/>
        <v>0</v>
      </c>
      <c r="M2626">
        <f t="shared" si="165"/>
        <v>1</v>
      </c>
      <c r="N2626">
        <f t="shared" si="166"/>
        <v>0</v>
      </c>
      <c r="O2626" t="str">
        <f t="shared" si="167"/>
        <v>Proposta Ok</v>
      </c>
    </row>
    <row r="2627" spans="12:15" x14ac:dyDescent="0.25">
      <c r="L2627">
        <f t="shared" si="164"/>
        <v>0</v>
      </c>
      <c r="M2627">
        <f t="shared" si="165"/>
        <v>1</v>
      </c>
      <c r="N2627">
        <f t="shared" si="166"/>
        <v>0</v>
      </c>
      <c r="O2627" t="str">
        <f t="shared" si="167"/>
        <v>Proposta Ok</v>
      </c>
    </row>
    <row r="2628" spans="12:15" x14ac:dyDescent="0.25">
      <c r="L2628">
        <f t="shared" si="164"/>
        <v>0</v>
      </c>
      <c r="M2628">
        <f t="shared" si="165"/>
        <v>1</v>
      </c>
      <c r="N2628">
        <f t="shared" si="166"/>
        <v>0</v>
      </c>
      <c r="O2628" t="str">
        <f t="shared" si="167"/>
        <v>Proposta Ok</v>
      </c>
    </row>
    <row r="2629" spans="12:15" x14ac:dyDescent="0.25">
      <c r="L2629">
        <f t="shared" si="164"/>
        <v>0</v>
      </c>
      <c r="M2629">
        <f t="shared" si="165"/>
        <v>1</v>
      </c>
      <c r="N2629">
        <f t="shared" si="166"/>
        <v>0</v>
      </c>
      <c r="O2629" t="str">
        <f t="shared" si="167"/>
        <v>Proposta Ok</v>
      </c>
    </row>
    <row r="2630" spans="12:15" x14ac:dyDescent="0.25">
      <c r="L2630">
        <f t="shared" si="164"/>
        <v>0</v>
      </c>
      <c r="M2630">
        <f t="shared" si="165"/>
        <v>1</v>
      </c>
      <c r="N2630">
        <f t="shared" si="166"/>
        <v>0</v>
      </c>
      <c r="O2630" t="str">
        <f t="shared" si="167"/>
        <v>Proposta Ok</v>
      </c>
    </row>
    <row r="2631" spans="12:15" x14ac:dyDescent="0.25">
      <c r="L2631">
        <f t="shared" si="164"/>
        <v>0</v>
      </c>
      <c r="M2631">
        <f t="shared" si="165"/>
        <v>1</v>
      </c>
      <c r="N2631">
        <f t="shared" si="166"/>
        <v>0</v>
      </c>
      <c r="O2631" t="str">
        <f t="shared" si="167"/>
        <v>Proposta Ok</v>
      </c>
    </row>
    <row r="2632" spans="12:15" x14ac:dyDescent="0.25">
      <c r="L2632">
        <f t="shared" si="164"/>
        <v>0</v>
      </c>
      <c r="M2632">
        <f t="shared" si="165"/>
        <v>1</v>
      </c>
      <c r="N2632">
        <f t="shared" si="166"/>
        <v>0</v>
      </c>
      <c r="O2632" t="str">
        <f t="shared" si="167"/>
        <v>Proposta Ok</v>
      </c>
    </row>
    <row r="2633" spans="12:15" x14ac:dyDescent="0.25">
      <c r="L2633">
        <f t="shared" si="164"/>
        <v>0</v>
      </c>
      <c r="M2633">
        <f t="shared" si="165"/>
        <v>1</v>
      </c>
      <c r="N2633">
        <f t="shared" si="166"/>
        <v>0</v>
      </c>
      <c r="O2633" t="str">
        <f t="shared" si="167"/>
        <v>Proposta Ok</v>
      </c>
    </row>
    <row r="2634" spans="12:15" x14ac:dyDescent="0.25">
      <c r="L2634">
        <f t="shared" si="164"/>
        <v>0</v>
      </c>
      <c r="M2634">
        <f t="shared" si="165"/>
        <v>1</v>
      </c>
      <c r="N2634">
        <f t="shared" si="166"/>
        <v>0</v>
      </c>
      <c r="O2634" t="str">
        <f t="shared" si="167"/>
        <v>Proposta Ok</v>
      </c>
    </row>
    <row r="2635" spans="12:15" x14ac:dyDescent="0.25">
      <c r="L2635">
        <f t="shared" si="164"/>
        <v>0</v>
      </c>
      <c r="M2635">
        <f t="shared" si="165"/>
        <v>1</v>
      </c>
      <c r="N2635">
        <f t="shared" si="166"/>
        <v>0</v>
      </c>
      <c r="O2635" t="str">
        <f t="shared" si="167"/>
        <v>Proposta Ok</v>
      </c>
    </row>
    <row r="2636" spans="12:15" x14ac:dyDescent="0.25">
      <c r="L2636">
        <f t="shared" si="164"/>
        <v>0</v>
      </c>
      <c r="M2636">
        <f t="shared" si="165"/>
        <v>1</v>
      </c>
      <c r="N2636">
        <f t="shared" si="166"/>
        <v>0</v>
      </c>
      <c r="O2636" t="str">
        <f t="shared" si="167"/>
        <v>Proposta Ok</v>
      </c>
    </row>
    <row r="2637" spans="12:15" x14ac:dyDescent="0.25">
      <c r="L2637">
        <f t="shared" si="164"/>
        <v>0</v>
      </c>
      <c r="M2637">
        <f t="shared" si="165"/>
        <v>1</v>
      </c>
      <c r="N2637">
        <f t="shared" si="166"/>
        <v>0</v>
      </c>
      <c r="O2637" t="str">
        <f t="shared" si="167"/>
        <v>Proposta Ok</v>
      </c>
    </row>
    <row r="2638" spans="12:15" x14ac:dyDescent="0.25">
      <c r="L2638">
        <f t="shared" si="164"/>
        <v>0</v>
      </c>
      <c r="M2638">
        <f t="shared" si="165"/>
        <v>1</v>
      </c>
      <c r="N2638">
        <f t="shared" si="166"/>
        <v>0</v>
      </c>
      <c r="O2638" t="str">
        <f t="shared" si="167"/>
        <v>Proposta Ok</v>
      </c>
    </row>
    <row r="2639" spans="12:15" x14ac:dyDescent="0.25">
      <c r="L2639">
        <f t="shared" si="164"/>
        <v>0</v>
      </c>
      <c r="M2639">
        <f t="shared" si="165"/>
        <v>1</v>
      </c>
      <c r="N2639">
        <f t="shared" si="166"/>
        <v>0</v>
      </c>
      <c r="O2639" t="str">
        <f t="shared" si="167"/>
        <v>Proposta Ok</v>
      </c>
    </row>
    <row r="2640" spans="12:15" x14ac:dyDescent="0.25">
      <c r="L2640">
        <f t="shared" si="164"/>
        <v>0</v>
      </c>
      <c r="M2640">
        <f t="shared" si="165"/>
        <v>1</v>
      </c>
      <c r="N2640">
        <f t="shared" si="166"/>
        <v>0</v>
      </c>
      <c r="O2640" t="str">
        <f t="shared" si="167"/>
        <v>Proposta Ok</v>
      </c>
    </row>
    <row r="2641" spans="12:15" x14ac:dyDescent="0.25">
      <c r="L2641">
        <f t="shared" si="164"/>
        <v>0</v>
      </c>
      <c r="M2641">
        <f t="shared" si="165"/>
        <v>1</v>
      </c>
      <c r="N2641">
        <f t="shared" si="166"/>
        <v>0</v>
      </c>
      <c r="O2641" t="str">
        <f t="shared" si="167"/>
        <v>Proposta Ok</v>
      </c>
    </row>
    <row r="2642" spans="12:15" x14ac:dyDescent="0.25">
      <c r="L2642">
        <f t="shared" si="164"/>
        <v>0</v>
      </c>
      <c r="M2642">
        <f t="shared" si="165"/>
        <v>1</v>
      </c>
      <c r="N2642">
        <f t="shared" si="166"/>
        <v>0</v>
      </c>
      <c r="O2642" t="str">
        <f t="shared" si="167"/>
        <v>Proposta Ok</v>
      </c>
    </row>
    <row r="2643" spans="12:15" x14ac:dyDescent="0.25">
      <c r="L2643">
        <f t="shared" si="164"/>
        <v>0</v>
      </c>
      <c r="M2643">
        <f t="shared" si="165"/>
        <v>1</v>
      </c>
      <c r="N2643">
        <f t="shared" si="166"/>
        <v>0</v>
      </c>
      <c r="O2643" t="str">
        <f t="shared" si="167"/>
        <v>Proposta Ok</v>
      </c>
    </row>
    <row r="2644" spans="12:15" x14ac:dyDescent="0.25">
      <c r="L2644">
        <f t="shared" si="164"/>
        <v>0</v>
      </c>
      <c r="M2644">
        <f t="shared" si="165"/>
        <v>1</v>
      </c>
      <c r="N2644">
        <f t="shared" si="166"/>
        <v>0</v>
      </c>
      <c r="O2644" t="str">
        <f t="shared" si="167"/>
        <v>Proposta Ok</v>
      </c>
    </row>
    <row r="2645" spans="12:15" x14ac:dyDescent="0.25">
      <c r="L2645">
        <f t="shared" si="164"/>
        <v>0</v>
      </c>
      <c r="M2645">
        <f t="shared" si="165"/>
        <v>1</v>
      </c>
      <c r="N2645">
        <f t="shared" si="166"/>
        <v>0</v>
      </c>
      <c r="O2645" t="str">
        <f t="shared" si="167"/>
        <v>Proposta Ok</v>
      </c>
    </row>
    <row r="2646" spans="12:15" x14ac:dyDescent="0.25">
      <c r="L2646">
        <f t="shared" si="164"/>
        <v>0</v>
      </c>
      <c r="M2646">
        <f t="shared" si="165"/>
        <v>1</v>
      </c>
      <c r="N2646">
        <f t="shared" si="166"/>
        <v>0</v>
      </c>
      <c r="O2646" t="str">
        <f t="shared" si="167"/>
        <v>Proposta Ok</v>
      </c>
    </row>
    <row r="2647" spans="12:15" x14ac:dyDescent="0.25">
      <c r="L2647">
        <f t="shared" si="164"/>
        <v>0</v>
      </c>
      <c r="M2647">
        <f t="shared" si="165"/>
        <v>1</v>
      </c>
      <c r="N2647">
        <f t="shared" si="166"/>
        <v>0</v>
      </c>
      <c r="O2647" t="str">
        <f t="shared" si="167"/>
        <v>Proposta Ok</v>
      </c>
    </row>
    <row r="2648" spans="12:15" x14ac:dyDescent="0.25">
      <c r="L2648">
        <f t="shared" si="164"/>
        <v>0</v>
      </c>
      <c r="M2648">
        <f t="shared" si="165"/>
        <v>1</v>
      </c>
      <c r="N2648">
        <f t="shared" si="166"/>
        <v>0</v>
      </c>
      <c r="O2648" t="str">
        <f t="shared" si="167"/>
        <v>Proposta Ok</v>
      </c>
    </row>
    <row r="2649" spans="12:15" x14ac:dyDescent="0.25">
      <c r="L2649">
        <f t="shared" si="164"/>
        <v>0</v>
      </c>
      <c r="M2649">
        <f t="shared" si="165"/>
        <v>1</v>
      </c>
      <c r="N2649">
        <f t="shared" si="166"/>
        <v>0</v>
      </c>
      <c r="O2649" t="str">
        <f t="shared" si="167"/>
        <v>Proposta Ok</v>
      </c>
    </row>
    <row r="2650" spans="12:15" x14ac:dyDescent="0.25">
      <c r="L2650">
        <f t="shared" si="164"/>
        <v>0</v>
      </c>
      <c r="M2650">
        <f t="shared" si="165"/>
        <v>1</v>
      </c>
      <c r="N2650">
        <f t="shared" si="166"/>
        <v>0</v>
      </c>
      <c r="O2650" t="str">
        <f t="shared" si="167"/>
        <v>Proposta Ok</v>
      </c>
    </row>
    <row r="2651" spans="12:15" x14ac:dyDescent="0.25">
      <c r="L2651">
        <f t="shared" ref="L2651:L2714" si="168">IF(OR(I2651="Termo OK (Exceção)",I2651="Termo OK"),1,0)</f>
        <v>0</v>
      </c>
      <c r="M2651">
        <f t="shared" ref="M2651:M2714" si="169">IF(OR(I2651="Termo OK (Exceção)",I2651="Termo OK"),0,1)</f>
        <v>1</v>
      </c>
      <c r="N2651">
        <f t="shared" ref="N2651:N2714" si="170">IF(J2651="SIM",1,0)</f>
        <v>0</v>
      </c>
      <c r="O2651" t="str">
        <f t="shared" ref="O2651:O2714" si="171">IF(SUMIFS(M:M,A:A,A2651)&gt;0,"Proposta não Ok","Proposta Ok")</f>
        <v>Proposta Ok</v>
      </c>
    </row>
    <row r="2652" spans="12:15" x14ac:dyDescent="0.25">
      <c r="L2652">
        <f t="shared" si="168"/>
        <v>0</v>
      </c>
      <c r="M2652">
        <f t="shared" si="169"/>
        <v>1</v>
      </c>
      <c r="N2652">
        <f t="shared" si="170"/>
        <v>0</v>
      </c>
      <c r="O2652" t="str">
        <f t="shared" si="171"/>
        <v>Proposta Ok</v>
      </c>
    </row>
    <row r="2653" spans="12:15" x14ac:dyDescent="0.25">
      <c r="L2653">
        <f t="shared" si="168"/>
        <v>0</v>
      </c>
      <c r="M2653">
        <f t="shared" si="169"/>
        <v>1</v>
      </c>
      <c r="N2653">
        <f t="shared" si="170"/>
        <v>0</v>
      </c>
      <c r="O2653" t="str">
        <f t="shared" si="171"/>
        <v>Proposta Ok</v>
      </c>
    </row>
    <row r="2654" spans="12:15" x14ac:dyDescent="0.25">
      <c r="L2654">
        <f t="shared" si="168"/>
        <v>0</v>
      </c>
      <c r="M2654">
        <f t="shared" si="169"/>
        <v>1</v>
      </c>
      <c r="N2654">
        <f t="shared" si="170"/>
        <v>0</v>
      </c>
      <c r="O2654" t="str">
        <f t="shared" si="171"/>
        <v>Proposta Ok</v>
      </c>
    </row>
    <row r="2655" spans="12:15" x14ac:dyDescent="0.25">
      <c r="L2655">
        <f t="shared" si="168"/>
        <v>0</v>
      </c>
      <c r="M2655">
        <f t="shared" si="169"/>
        <v>1</v>
      </c>
      <c r="N2655">
        <f t="shared" si="170"/>
        <v>0</v>
      </c>
      <c r="O2655" t="str">
        <f t="shared" si="171"/>
        <v>Proposta Ok</v>
      </c>
    </row>
    <row r="2656" spans="12:15" x14ac:dyDescent="0.25">
      <c r="L2656">
        <f t="shared" si="168"/>
        <v>0</v>
      </c>
      <c r="M2656">
        <f t="shared" si="169"/>
        <v>1</v>
      </c>
      <c r="N2656">
        <f t="shared" si="170"/>
        <v>0</v>
      </c>
      <c r="O2656" t="str">
        <f t="shared" si="171"/>
        <v>Proposta Ok</v>
      </c>
    </row>
    <row r="2657" spans="12:15" x14ac:dyDescent="0.25">
      <c r="L2657">
        <f t="shared" si="168"/>
        <v>0</v>
      </c>
      <c r="M2657">
        <f t="shared" si="169"/>
        <v>1</v>
      </c>
      <c r="N2657">
        <f t="shared" si="170"/>
        <v>0</v>
      </c>
      <c r="O2657" t="str">
        <f t="shared" si="171"/>
        <v>Proposta Ok</v>
      </c>
    </row>
    <row r="2658" spans="12:15" x14ac:dyDescent="0.25">
      <c r="L2658">
        <f t="shared" si="168"/>
        <v>0</v>
      </c>
      <c r="M2658">
        <f t="shared" si="169"/>
        <v>1</v>
      </c>
      <c r="N2658">
        <f t="shared" si="170"/>
        <v>0</v>
      </c>
      <c r="O2658" t="str">
        <f t="shared" si="171"/>
        <v>Proposta Ok</v>
      </c>
    </row>
    <row r="2659" spans="12:15" x14ac:dyDescent="0.25">
      <c r="L2659">
        <f t="shared" si="168"/>
        <v>0</v>
      </c>
      <c r="M2659">
        <f t="shared" si="169"/>
        <v>1</v>
      </c>
      <c r="N2659">
        <f t="shared" si="170"/>
        <v>0</v>
      </c>
      <c r="O2659" t="str">
        <f t="shared" si="171"/>
        <v>Proposta Ok</v>
      </c>
    </row>
    <row r="2660" spans="12:15" x14ac:dyDescent="0.25">
      <c r="L2660">
        <f t="shared" si="168"/>
        <v>0</v>
      </c>
      <c r="M2660">
        <f t="shared" si="169"/>
        <v>1</v>
      </c>
      <c r="N2660">
        <f t="shared" si="170"/>
        <v>0</v>
      </c>
      <c r="O2660" t="str">
        <f t="shared" si="171"/>
        <v>Proposta Ok</v>
      </c>
    </row>
    <row r="2661" spans="12:15" x14ac:dyDescent="0.25">
      <c r="L2661">
        <f t="shared" si="168"/>
        <v>0</v>
      </c>
      <c r="M2661">
        <f t="shared" si="169"/>
        <v>1</v>
      </c>
      <c r="N2661">
        <f t="shared" si="170"/>
        <v>0</v>
      </c>
      <c r="O2661" t="str">
        <f t="shared" si="171"/>
        <v>Proposta Ok</v>
      </c>
    </row>
    <row r="2662" spans="12:15" x14ac:dyDescent="0.25">
      <c r="L2662">
        <f t="shared" si="168"/>
        <v>0</v>
      </c>
      <c r="M2662">
        <f t="shared" si="169"/>
        <v>1</v>
      </c>
      <c r="N2662">
        <f t="shared" si="170"/>
        <v>0</v>
      </c>
      <c r="O2662" t="str">
        <f t="shared" si="171"/>
        <v>Proposta Ok</v>
      </c>
    </row>
    <row r="2663" spans="12:15" x14ac:dyDescent="0.25">
      <c r="L2663">
        <f t="shared" si="168"/>
        <v>0</v>
      </c>
      <c r="M2663">
        <f t="shared" si="169"/>
        <v>1</v>
      </c>
      <c r="N2663">
        <f t="shared" si="170"/>
        <v>0</v>
      </c>
      <c r="O2663" t="str">
        <f t="shared" si="171"/>
        <v>Proposta Ok</v>
      </c>
    </row>
    <row r="2664" spans="12:15" x14ac:dyDescent="0.25">
      <c r="L2664">
        <f t="shared" si="168"/>
        <v>0</v>
      </c>
      <c r="M2664">
        <f t="shared" si="169"/>
        <v>1</v>
      </c>
      <c r="N2664">
        <f t="shared" si="170"/>
        <v>0</v>
      </c>
      <c r="O2664" t="str">
        <f t="shared" si="171"/>
        <v>Proposta Ok</v>
      </c>
    </row>
    <row r="2665" spans="12:15" x14ac:dyDescent="0.25">
      <c r="L2665">
        <f t="shared" si="168"/>
        <v>0</v>
      </c>
      <c r="M2665">
        <f t="shared" si="169"/>
        <v>1</v>
      </c>
      <c r="N2665">
        <f t="shared" si="170"/>
        <v>0</v>
      </c>
      <c r="O2665" t="str">
        <f t="shared" si="171"/>
        <v>Proposta Ok</v>
      </c>
    </row>
    <row r="2666" spans="12:15" x14ac:dyDescent="0.25">
      <c r="L2666">
        <f t="shared" si="168"/>
        <v>0</v>
      </c>
      <c r="M2666">
        <f t="shared" si="169"/>
        <v>1</v>
      </c>
      <c r="N2666">
        <f t="shared" si="170"/>
        <v>0</v>
      </c>
      <c r="O2666" t="str">
        <f t="shared" si="171"/>
        <v>Proposta Ok</v>
      </c>
    </row>
    <row r="2667" spans="12:15" x14ac:dyDescent="0.25">
      <c r="L2667">
        <f t="shared" si="168"/>
        <v>0</v>
      </c>
      <c r="M2667">
        <f t="shared" si="169"/>
        <v>1</v>
      </c>
      <c r="N2667">
        <f t="shared" si="170"/>
        <v>0</v>
      </c>
      <c r="O2667" t="str">
        <f t="shared" si="171"/>
        <v>Proposta Ok</v>
      </c>
    </row>
    <row r="2668" spans="12:15" x14ac:dyDescent="0.25">
      <c r="L2668">
        <f t="shared" si="168"/>
        <v>0</v>
      </c>
      <c r="M2668">
        <f t="shared" si="169"/>
        <v>1</v>
      </c>
      <c r="N2668">
        <f t="shared" si="170"/>
        <v>0</v>
      </c>
      <c r="O2668" t="str">
        <f t="shared" si="171"/>
        <v>Proposta Ok</v>
      </c>
    </row>
    <row r="2669" spans="12:15" x14ac:dyDescent="0.25">
      <c r="L2669">
        <f t="shared" si="168"/>
        <v>0</v>
      </c>
      <c r="M2669">
        <f t="shared" si="169"/>
        <v>1</v>
      </c>
      <c r="N2669">
        <f t="shared" si="170"/>
        <v>0</v>
      </c>
      <c r="O2669" t="str">
        <f t="shared" si="171"/>
        <v>Proposta Ok</v>
      </c>
    </row>
    <row r="2670" spans="12:15" x14ac:dyDescent="0.25">
      <c r="L2670">
        <f t="shared" si="168"/>
        <v>0</v>
      </c>
      <c r="M2670">
        <f t="shared" si="169"/>
        <v>1</v>
      </c>
      <c r="N2670">
        <f t="shared" si="170"/>
        <v>0</v>
      </c>
      <c r="O2670" t="str">
        <f t="shared" si="171"/>
        <v>Proposta Ok</v>
      </c>
    </row>
    <row r="2671" spans="12:15" x14ac:dyDescent="0.25">
      <c r="L2671">
        <f t="shared" si="168"/>
        <v>0</v>
      </c>
      <c r="M2671">
        <f t="shared" si="169"/>
        <v>1</v>
      </c>
      <c r="N2671">
        <f t="shared" si="170"/>
        <v>0</v>
      </c>
      <c r="O2671" t="str">
        <f t="shared" si="171"/>
        <v>Proposta Ok</v>
      </c>
    </row>
    <row r="2672" spans="12:15" x14ac:dyDescent="0.25">
      <c r="L2672">
        <f t="shared" si="168"/>
        <v>0</v>
      </c>
      <c r="M2672">
        <f t="shared" si="169"/>
        <v>1</v>
      </c>
      <c r="N2672">
        <f t="shared" si="170"/>
        <v>0</v>
      </c>
      <c r="O2672" t="str">
        <f t="shared" si="171"/>
        <v>Proposta Ok</v>
      </c>
    </row>
    <row r="2673" spans="12:15" x14ac:dyDescent="0.25">
      <c r="L2673">
        <f t="shared" si="168"/>
        <v>0</v>
      </c>
      <c r="M2673">
        <f t="shared" si="169"/>
        <v>1</v>
      </c>
      <c r="N2673">
        <f t="shared" si="170"/>
        <v>0</v>
      </c>
      <c r="O2673" t="str">
        <f t="shared" si="171"/>
        <v>Proposta Ok</v>
      </c>
    </row>
    <row r="2674" spans="12:15" x14ac:dyDescent="0.25">
      <c r="L2674">
        <f t="shared" si="168"/>
        <v>0</v>
      </c>
      <c r="M2674">
        <f t="shared" si="169"/>
        <v>1</v>
      </c>
      <c r="N2674">
        <f t="shared" si="170"/>
        <v>0</v>
      </c>
      <c r="O2674" t="str">
        <f t="shared" si="171"/>
        <v>Proposta Ok</v>
      </c>
    </row>
    <row r="2675" spans="12:15" x14ac:dyDescent="0.25">
      <c r="L2675">
        <f t="shared" si="168"/>
        <v>0</v>
      </c>
      <c r="M2675">
        <f t="shared" si="169"/>
        <v>1</v>
      </c>
      <c r="N2675">
        <f t="shared" si="170"/>
        <v>0</v>
      </c>
      <c r="O2675" t="str">
        <f t="shared" si="171"/>
        <v>Proposta Ok</v>
      </c>
    </row>
    <row r="2676" spans="12:15" x14ac:dyDescent="0.25">
      <c r="L2676">
        <f t="shared" si="168"/>
        <v>0</v>
      </c>
      <c r="M2676">
        <f t="shared" si="169"/>
        <v>1</v>
      </c>
      <c r="N2676">
        <f t="shared" si="170"/>
        <v>0</v>
      </c>
      <c r="O2676" t="str">
        <f t="shared" si="171"/>
        <v>Proposta Ok</v>
      </c>
    </row>
    <row r="2677" spans="12:15" x14ac:dyDescent="0.25">
      <c r="L2677">
        <f t="shared" si="168"/>
        <v>0</v>
      </c>
      <c r="M2677">
        <f t="shared" si="169"/>
        <v>1</v>
      </c>
      <c r="N2677">
        <f t="shared" si="170"/>
        <v>0</v>
      </c>
      <c r="O2677" t="str">
        <f t="shared" si="171"/>
        <v>Proposta Ok</v>
      </c>
    </row>
    <row r="2678" spans="12:15" x14ac:dyDescent="0.25">
      <c r="L2678">
        <f t="shared" si="168"/>
        <v>0</v>
      </c>
      <c r="M2678">
        <f t="shared" si="169"/>
        <v>1</v>
      </c>
      <c r="N2678">
        <f t="shared" si="170"/>
        <v>0</v>
      </c>
      <c r="O2678" t="str">
        <f t="shared" si="171"/>
        <v>Proposta Ok</v>
      </c>
    </row>
    <row r="2679" spans="12:15" x14ac:dyDescent="0.25">
      <c r="L2679">
        <f t="shared" si="168"/>
        <v>0</v>
      </c>
      <c r="M2679">
        <f t="shared" si="169"/>
        <v>1</v>
      </c>
      <c r="N2679">
        <f t="shared" si="170"/>
        <v>0</v>
      </c>
      <c r="O2679" t="str">
        <f t="shared" si="171"/>
        <v>Proposta Ok</v>
      </c>
    </row>
    <row r="2680" spans="12:15" x14ac:dyDescent="0.25">
      <c r="L2680">
        <f t="shared" si="168"/>
        <v>0</v>
      </c>
      <c r="M2680">
        <f t="shared" si="169"/>
        <v>1</v>
      </c>
      <c r="N2680">
        <f t="shared" si="170"/>
        <v>0</v>
      </c>
      <c r="O2680" t="str">
        <f t="shared" si="171"/>
        <v>Proposta Ok</v>
      </c>
    </row>
    <row r="2681" spans="12:15" x14ac:dyDescent="0.25">
      <c r="L2681">
        <f t="shared" si="168"/>
        <v>0</v>
      </c>
      <c r="M2681">
        <f t="shared" si="169"/>
        <v>1</v>
      </c>
      <c r="N2681">
        <f t="shared" si="170"/>
        <v>0</v>
      </c>
      <c r="O2681" t="str">
        <f t="shared" si="171"/>
        <v>Proposta Ok</v>
      </c>
    </row>
    <row r="2682" spans="12:15" x14ac:dyDescent="0.25">
      <c r="L2682">
        <f t="shared" si="168"/>
        <v>0</v>
      </c>
      <c r="M2682">
        <f t="shared" si="169"/>
        <v>1</v>
      </c>
      <c r="N2682">
        <f t="shared" si="170"/>
        <v>0</v>
      </c>
      <c r="O2682" t="str">
        <f t="shared" si="171"/>
        <v>Proposta Ok</v>
      </c>
    </row>
    <row r="2683" spans="12:15" x14ac:dyDescent="0.25">
      <c r="L2683">
        <f t="shared" si="168"/>
        <v>0</v>
      </c>
      <c r="M2683">
        <f t="shared" si="169"/>
        <v>1</v>
      </c>
      <c r="N2683">
        <f t="shared" si="170"/>
        <v>0</v>
      </c>
      <c r="O2683" t="str">
        <f t="shared" si="171"/>
        <v>Proposta Ok</v>
      </c>
    </row>
    <row r="2684" spans="12:15" x14ac:dyDescent="0.25">
      <c r="L2684">
        <f t="shared" si="168"/>
        <v>0</v>
      </c>
      <c r="M2684">
        <f t="shared" si="169"/>
        <v>1</v>
      </c>
      <c r="N2684">
        <f t="shared" si="170"/>
        <v>0</v>
      </c>
      <c r="O2684" t="str">
        <f t="shared" si="171"/>
        <v>Proposta Ok</v>
      </c>
    </row>
    <row r="2685" spans="12:15" x14ac:dyDescent="0.25">
      <c r="L2685">
        <f t="shared" si="168"/>
        <v>0</v>
      </c>
      <c r="M2685">
        <f t="shared" si="169"/>
        <v>1</v>
      </c>
      <c r="N2685">
        <f t="shared" si="170"/>
        <v>0</v>
      </c>
      <c r="O2685" t="str">
        <f t="shared" si="171"/>
        <v>Proposta Ok</v>
      </c>
    </row>
    <row r="2686" spans="12:15" x14ac:dyDescent="0.25">
      <c r="L2686">
        <f t="shared" si="168"/>
        <v>0</v>
      </c>
      <c r="M2686">
        <f t="shared" si="169"/>
        <v>1</v>
      </c>
      <c r="N2686">
        <f t="shared" si="170"/>
        <v>0</v>
      </c>
      <c r="O2686" t="str">
        <f t="shared" si="171"/>
        <v>Proposta Ok</v>
      </c>
    </row>
    <row r="2687" spans="12:15" x14ac:dyDescent="0.25">
      <c r="L2687">
        <f t="shared" si="168"/>
        <v>0</v>
      </c>
      <c r="M2687">
        <f t="shared" si="169"/>
        <v>1</v>
      </c>
      <c r="N2687">
        <f t="shared" si="170"/>
        <v>0</v>
      </c>
      <c r="O2687" t="str">
        <f t="shared" si="171"/>
        <v>Proposta Ok</v>
      </c>
    </row>
    <row r="2688" spans="12:15" x14ac:dyDescent="0.25">
      <c r="L2688">
        <f t="shared" si="168"/>
        <v>0</v>
      </c>
      <c r="M2688">
        <f t="shared" si="169"/>
        <v>1</v>
      </c>
      <c r="N2688">
        <f t="shared" si="170"/>
        <v>0</v>
      </c>
      <c r="O2688" t="str">
        <f t="shared" si="171"/>
        <v>Proposta Ok</v>
      </c>
    </row>
    <row r="2689" spans="12:15" x14ac:dyDescent="0.25">
      <c r="L2689">
        <f t="shared" si="168"/>
        <v>0</v>
      </c>
      <c r="M2689">
        <f t="shared" si="169"/>
        <v>1</v>
      </c>
      <c r="N2689">
        <f t="shared" si="170"/>
        <v>0</v>
      </c>
      <c r="O2689" t="str">
        <f t="shared" si="171"/>
        <v>Proposta Ok</v>
      </c>
    </row>
    <row r="2690" spans="12:15" x14ac:dyDescent="0.25">
      <c r="L2690">
        <f t="shared" si="168"/>
        <v>0</v>
      </c>
      <c r="M2690">
        <f t="shared" si="169"/>
        <v>1</v>
      </c>
      <c r="N2690">
        <f t="shared" si="170"/>
        <v>0</v>
      </c>
      <c r="O2690" t="str">
        <f t="shared" si="171"/>
        <v>Proposta Ok</v>
      </c>
    </row>
    <row r="2691" spans="12:15" x14ac:dyDescent="0.25">
      <c r="L2691">
        <f t="shared" si="168"/>
        <v>0</v>
      </c>
      <c r="M2691">
        <f t="shared" si="169"/>
        <v>1</v>
      </c>
      <c r="N2691">
        <f t="shared" si="170"/>
        <v>0</v>
      </c>
      <c r="O2691" t="str">
        <f t="shared" si="171"/>
        <v>Proposta Ok</v>
      </c>
    </row>
    <row r="2692" spans="12:15" x14ac:dyDescent="0.25">
      <c r="L2692">
        <f t="shared" si="168"/>
        <v>0</v>
      </c>
      <c r="M2692">
        <f t="shared" si="169"/>
        <v>1</v>
      </c>
      <c r="N2692">
        <f t="shared" si="170"/>
        <v>0</v>
      </c>
      <c r="O2692" t="str">
        <f t="shared" si="171"/>
        <v>Proposta Ok</v>
      </c>
    </row>
    <row r="2693" spans="12:15" x14ac:dyDescent="0.25">
      <c r="L2693">
        <f t="shared" si="168"/>
        <v>0</v>
      </c>
      <c r="M2693">
        <f t="shared" si="169"/>
        <v>1</v>
      </c>
      <c r="N2693">
        <f t="shared" si="170"/>
        <v>0</v>
      </c>
      <c r="O2693" t="str">
        <f t="shared" si="171"/>
        <v>Proposta Ok</v>
      </c>
    </row>
    <row r="2694" spans="12:15" x14ac:dyDescent="0.25">
      <c r="L2694">
        <f t="shared" si="168"/>
        <v>0</v>
      </c>
      <c r="M2694">
        <f t="shared" si="169"/>
        <v>1</v>
      </c>
      <c r="N2694">
        <f t="shared" si="170"/>
        <v>0</v>
      </c>
      <c r="O2694" t="str">
        <f t="shared" si="171"/>
        <v>Proposta Ok</v>
      </c>
    </row>
    <row r="2695" spans="12:15" x14ac:dyDescent="0.25">
      <c r="L2695">
        <f t="shared" si="168"/>
        <v>0</v>
      </c>
      <c r="M2695">
        <f t="shared" si="169"/>
        <v>1</v>
      </c>
      <c r="N2695">
        <f t="shared" si="170"/>
        <v>0</v>
      </c>
      <c r="O2695" t="str">
        <f t="shared" si="171"/>
        <v>Proposta Ok</v>
      </c>
    </row>
    <row r="2696" spans="12:15" x14ac:dyDescent="0.25">
      <c r="L2696">
        <f t="shared" si="168"/>
        <v>0</v>
      </c>
      <c r="M2696">
        <f t="shared" si="169"/>
        <v>1</v>
      </c>
      <c r="N2696">
        <f t="shared" si="170"/>
        <v>0</v>
      </c>
      <c r="O2696" t="str">
        <f t="shared" si="171"/>
        <v>Proposta Ok</v>
      </c>
    </row>
    <row r="2697" spans="12:15" x14ac:dyDescent="0.25">
      <c r="L2697">
        <f t="shared" si="168"/>
        <v>0</v>
      </c>
      <c r="M2697">
        <f t="shared" si="169"/>
        <v>1</v>
      </c>
      <c r="N2697">
        <f t="shared" si="170"/>
        <v>0</v>
      </c>
      <c r="O2697" t="str">
        <f t="shared" si="171"/>
        <v>Proposta Ok</v>
      </c>
    </row>
    <row r="2698" spans="12:15" x14ac:dyDescent="0.25">
      <c r="L2698">
        <f t="shared" si="168"/>
        <v>0</v>
      </c>
      <c r="M2698">
        <f t="shared" si="169"/>
        <v>1</v>
      </c>
      <c r="N2698">
        <f t="shared" si="170"/>
        <v>0</v>
      </c>
      <c r="O2698" t="str">
        <f t="shared" si="171"/>
        <v>Proposta Ok</v>
      </c>
    </row>
    <row r="2699" spans="12:15" x14ac:dyDescent="0.25">
      <c r="L2699">
        <f t="shared" si="168"/>
        <v>0</v>
      </c>
      <c r="M2699">
        <f t="shared" si="169"/>
        <v>1</v>
      </c>
      <c r="N2699">
        <f t="shared" si="170"/>
        <v>0</v>
      </c>
      <c r="O2699" t="str">
        <f t="shared" si="171"/>
        <v>Proposta Ok</v>
      </c>
    </row>
    <row r="2700" spans="12:15" x14ac:dyDescent="0.25">
      <c r="L2700">
        <f t="shared" si="168"/>
        <v>0</v>
      </c>
      <c r="M2700">
        <f t="shared" si="169"/>
        <v>1</v>
      </c>
      <c r="N2700">
        <f t="shared" si="170"/>
        <v>0</v>
      </c>
      <c r="O2700" t="str">
        <f t="shared" si="171"/>
        <v>Proposta Ok</v>
      </c>
    </row>
    <row r="2701" spans="12:15" x14ac:dyDescent="0.25">
      <c r="L2701">
        <f t="shared" si="168"/>
        <v>0</v>
      </c>
      <c r="M2701">
        <f t="shared" si="169"/>
        <v>1</v>
      </c>
      <c r="N2701">
        <f t="shared" si="170"/>
        <v>0</v>
      </c>
      <c r="O2701" t="str">
        <f t="shared" si="171"/>
        <v>Proposta Ok</v>
      </c>
    </row>
    <row r="2702" spans="12:15" x14ac:dyDescent="0.25">
      <c r="L2702">
        <f t="shared" si="168"/>
        <v>0</v>
      </c>
      <c r="M2702">
        <f t="shared" si="169"/>
        <v>1</v>
      </c>
      <c r="N2702">
        <f t="shared" si="170"/>
        <v>0</v>
      </c>
      <c r="O2702" t="str">
        <f t="shared" si="171"/>
        <v>Proposta Ok</v>
      </c>
    </row>
    <row r="2703" spans="12:15" x14ac:dyDescent="0.25">
      <c r="L2703">
        <f t="shared" si="168"/>
        <v>0</v>
      </c>
      <c r="M2703">
        <f t="shared" si="169"/>
        <v>1</v>
      </c>
      <c r="N2703">
        <f t="shared" si="170"/>
        <v>0</v>
      </c>
      <c r="O2703" t="str">
        <f t="shared" si="171"/>
        <v>Proposta Ok</v>
      </c>
    </row>
    <row r="2704" spans="12:15" x14ac:dyDescent="0.25">
      <c r="L2704">
        <f t="shared" si="168"/>
        <v>0</v>
      </c>
      <c r="M2704">
        <f t="shared" si="169"/>
        <v>1</v>
      </c>
      <c r="N2704">
        <f t="shared" si="170"/>
        <v>0</v>
      </c>
      <c r="O2704" t="str">
        <f t="shared" si="171"/>
        <v>Proposta Ok</v>
      </c>
    </row>
    <row r="2705" spans="12:15" x14ac:dyDescent="0.25">
      <c r="L2705">
        <f t="shared" si="168"/>
        <v>0</v>
      </c>
      <c r="M2705">
        <f t="shared" si="169"/>
        <v>1</v>
      </c>
      <c r="N2705">
        <f t="shared" si="170"/>
        <v>0</v>
      </c>
      <c r="O2705" t="str">
        <f t="shared" si="171"/>
        <v>Proposta Ok</v>
      </c>
    </row>
    <row r="2706" spans="12:15" x14ac:dyDescent="0.25">
      <c r="L2706">
        <f t="shared" si="168"/>
        <v>0</v>
      </c>
      <c r="M2706">
        <f t="shared" si="169"/>
        <v>1</v>
      </c>
      <c r="N2706">
        <f t="shared" si="170"/>
        <v>0</v>
      </c>
      <c r="O2706" t="str">
        <f t="shared" si="171"/>
        <v>Proposta Ok</v>
      </c>
    </row>
    <row r="2707" spans="12:15" x14ac:dyDescent="0.25">
      <c r="L2707">
        <f t="shared" si="168"/>
        <v>0</v>
      </c>
      <c r="M2707">
        <f t="shared" si="169"/>
        <v>1</v>
      </c>
      <c r="N2707">
        <f t="shared" si="170"/>
        <v>0</v>
      </c>
      <c r="O2707" t="str">
        <f t="shared" si="171"/>
        <v>Proposta Ok</v>
      </c>
    </row>
    <row r="2708" spans="12:15" x14ac:dyDescent="0.25">
      <c r="L2708">
        <f t="shared" si="168"/>
        <v>0</v>
      </c>
      <c r="M2708">
        <f t="shared" si="169"/>
        <v>1</v>
      </c>
      <c r="N2708">
        <f t="shared" si="170"/>
        <v>0</v>
      </c>
      <c r="O2708" t="str">
        <f t="shared" si="171"/>
        <v>Proposta Ok</v>
      </c>
    </row>
    <row r="2709" spans="12:15" x14ac:dyDescent="0.25">
      <c r="L2709">
        <f t="shared" si="168"/>
        <v>0</v>
      </c>
      <c r="M2709">
        <f t="shared" si="169"/>
        <v>1</v>
      </c>
      <c r="N2709">
        <f t="shared" si="170"/>
        <v>0</v>
      </c>
      <c r="O2709" t="str">
        <f t="shared" si="171"/>
        <v>Proposta Ok</v>
      </c>
    </row>
    <row r="2710" spans="12:15" x14ac:dyDescent="0.25">
      <c r="L2710">
        <f t="shared" si="168"/>
        <v>0</v>
      </c>
      <c r="M2710">
        <f t="shared" si="169"/>
        <v>1</v>
      </c>
      <c r="N2710">
        <f t="shared" si="170"/>
        <v>0</v>
      </c>
      <c r="O2710" t="str">
        <f t="shared" si="171"/>
        <v>Proposta Ok</v>
      </c>
    </row>
    <row r="2711" spans="12:15" x14ac:dyDescent="0.25">
      <c r="L2711">
        <f t="shared" si="168"/>
        <v>0</v>
      </c>
      <c r="M2711">
        <f t="shared" si="169"/>
        <v>1</v>
      </c>
      <c r="N2711">
        <f t="shared" si="170"/>
        <v>0</v>
      </c>
      <c r="O2711" t="str">
        <f t="shared" si="171"/>
        <v>Proposta Ok</v>
      </c>
    </row>
    <row r="2712" spans="12:15" x14ac:dyDescent="0.25">
      <c r="L2712">
        <f t="shared" si="168"/>
        <v>0</v>
      </c>
      <c r="M2712">
        <f t="shared" si="169"/>
        <v>1</v>
      </c>
      <c r="N2712">
        <f t="shared" si="170"/>
        <v>0</v>
      </c>
      <c r="O2712" t="str">
        <f t="shared" si="171"/>
        <v>Proposta Ok</v>
      </c>
    </row>
    <row r="2713" spans="12:15" x14ac:dyDescent="0.25">
      <c r="L2713">
        <f t="shared" si="168"/>
        <v>0</v>
      </c>
      <c r="M2713">
        <f t="shared" si="169"/>
        <v>1</v>
      </c>
      <c r="N2713">
        <f t="shared" si="170"/>
        <v>0</v>
      </c>
      <c r="O2713" t="str">
        <f t="shared" si="171"/>
        <v>Proposta Ok</v>
      </c>
    </row>
    <row r="2714" spans="12:15" x14ac:dyDescent="0.25">
      <c r="L2714">
        <f t="shared" si="168"/>
        <v>0</v>
      </c>
      <c r="M2714">
        <f t="shared" si="169"/>
        <v>1</v>
      </c>
      <c r="N2714">
        <f t="shared" si="170"/>
        <v>0</v>
      </c>
      <c r="O2714" t="str">
        <f t="shared" si="171"/>
        <v>Proposta Ok</v>
      </c>
    </row>
    <row r="2715" spans="12:15" x14ac:dyDescent="0.25">
      <c r="L2715">
        <f t="shared" ref="L2715:L2778" si="172">IF(OR(I2715="Termo OK (Exceção)",I2715="Termo OK"),1,0)</f>
        <v>0</v>
      </c>
      <c r="M2715">
        <f t="shared" ref="M2715:M2778" si="173">IF(OR(I2715="Termo OK (Exceção)",I2715="Termo OK"),0,1)</f>
        <v>1</v>
      </c>
      <c r="N2715">
        <f t="shared" ref="N2715:N2778" si="174">IF(J2715="SIM",1,0)</f>
        <v>0</v>
      </c>
      <c r="O2715" t="str">
        <f t="shared" ref="O2715:O2778" si="175">IF(SUMIFS(M:M,A:A,A2715)&gt;0,"Proposta não Ok","Proposta Ok")</f>
        <v>Proposta Ok</v>
      </c>
    </row>
    <row r="2716" spans="12:15" x14ac:dyDescent="0.25">
      <c r="L2716">
        <f t="shared" si="172"/>
        <v>0</v>
      </c>
      <c r="M2716">
        <f t="shared" si="173"/>
        <v>1</v>
      </c>
      <c r="N2716">
        <f t="shared" si="174"/>
        <v>0</v>
      </c>
      <c r="O2716" t="str">
        <f t="shared" si="175"/>
        <v>Proposta Ok</v>
      </c>
    </row>
    <row r="2717" spans="12:15" x14ac:dyDescent="0.25">
      <c r="L2717">
        <f t="shared" si="172"/>
        <v>0</v>
      </c>
      <c r="M2717">
        <f t="shared" si="173"/>
        <v>1</v>
      </c>
      <c r="N2717">
        <f t="shared" si="174"/>
        <v>0</v>
      </c>
      <c r="O2717" t="str">
        <f t="shared" si="175"/>
        <v>Proposta Ok</v>
      </c>
    </row>
    <row r="2718" spans="12:15" x14ac:dyDescent="0.25">
      <c r="L2718">
        <f t="shared" si="172"/>
        <v>0</v>
      </c>
      <c r="M2718">
        <f t="shared" si="173"/>
        <v>1</v>
      </c>
      <c r="N2718">
        <f t="shared" si="174"/>
        <v>0</v>
      </c>
      <c r="O2718" t="str">
        <f t="shared" si="175"/>
        <v>Proposta Ok</v>
      </c>
    </row>
    <row r="2719" spans="12:15" x14ac:dyDescent="0.25">
      <c r="L2719">
        <f t="shared" si="172"/>
        <v>0</v>
      </c>
      <c r="M2719">
        <f t="shared" si="173"/>
        <v>1</v>
      </c>
      <c r="N2719">
        <f t="shared" si="174"/>
        <v>0</v>
      </c>
      <c r="O2719" t="str">
        <f t="shared" si="175"/>
        <v>Proposta Ok</v>
      </c>
    </row>
    <row r="2720" spans="12:15" x14ac:dyDescent="0.25">
      <c r="L2720">
        <f t="shared" si="172"/>
        <v>0</v>
      </c>
      <c r="M2720">
        <f t="shared" si="173"/>
        <v>1</v>
      </c>
      <c r="N2720">
        <f t="shared" si="174"/>
        <v>0</v>
      </c>
      <c r="O2720" t="str">
        <f t="shared" si="175"/>
        <v>Proposta Ok</v>
      </c>
    </row>
    <row r="2721" spans="12:15" x14ac:dyDescent="0.25">
      <c r="L2721">
        <f t="shared" si="172"/>
        <v>0</v>
      </c>
      <c r="M2721">
        <f t="shared" si="173"/>
        <v>1</v>
      </c>
      <c r="N2721">
        <f t="shared" si="174"/>
        <v>0</v>
      </c>
      <c r="O2721" t="str">
        <f t="shared" si="175"/>
        <v>Proposta Ok</v>
      </c>
    </row>
    <row r="2722" spans="12:15" x14ac:dyDescent="0.25">
      <c r="L2722">
        <f t="shared" si="172"/>
        <v>0</v>
      </c>
      <c r="M2722">
        <f t="shared" si="173"/>
        <v>1</v>
      </c>
      <c r="N2722">
        <f t="shared" si="174"/>
        <v>0</v>
      </c>
      <c r="O2722" t="str">
        <f t="shared" si="175"/>
        <v>Proposta Ok</v>
      </c>
    </row>
    <row r="2723" spans="12:15" x14ac:dyDescent="0.25">
      <c r="L2723">
        <f t="shared" si="172"/>
        <v>0</v>
      </c>
      <c r="M2723">
        <f t="shared" si="173"/>
        <v>1</v>
      </c>
      <c r="N2723">
        <f t="shared" si="174"/>
        <v>0</v>
      </c>
      <c r="O2723" t="str">
        <f t="shared" si="175"/>
        <v>Proposta Ok</v>
      </c>
    </row>
    <row r="2724" spans="12:15" x14ac:dyDescent="0.25">
      <c r="L2724">
        <f t="shared" si="172"/>
        <v>0</v>
      </c>
      <c r="M2724">
        <f t="shared" si="173"/>
        <v>1</v>
      </c>
      <c r="N2724">
        <f t="shared" si="174"/>
        <v>0</v>
      </c>
      <c r="O2724" t="str">
        <f t="shared" si="175"/>
        <v>Proposta Ok</v>
      </c>
    </row>
    <row r="2725" spans="12:15" x14ac:dyDescent="0.25">
      <c r="L2725">
        <f t="shared" si="172"/>
        <v>0</v>
      </c>
      <c r="M2725">
        <f t="shared" si="173"/>
        <v>1</v>
      </c>
      <c r="N2725">
        <f t="shared" si="174"/>
        <v>0</v>
      </c>
      <c r="O2725" t="str">
        <f t="shared" si="175"/>
        <v>Proposta Ok</v>
      </c>
    </row>
    <row r="2726" spans="12:15" x14ac:dyDescent="0.25">
      <c r="L2726">
        <f t="shared" si="172"/>
        <v>0</v>
      </c>
      <c r="M2726">
        <f t="shared" si="173"/>
        <v>1</v>
      </c>
      <c r="N2726">
        <f t="shared" si="174"/>
        <v>0</v>
      </c>
      <c r="O2726" t="str">
        <f t="shared" si="175"/>
        <v>Proposta Ok</v>
      </c>
    </row>
    <row r="2727" spans="12:15" x14ac:dyDescent="0.25">
      <c r="L2727">
        <f t="shared" si="172"/>
        <v>0</v>
      </c>
      <c r="M2727">
        <f t="shared" si="173"/>
        <v>1</v>
      </c>
      <c r="N2727">
        <f t="shared" si="174"/>
        <v>0</v>
      </c>
      <c r="O2727" t="str">
        <f t="shared" si="175"/>
        <v>Proposta Ok</v>
      </c>
    </row>
    <row r="2728" spans="12:15" x14ac:dyDescent="0.25">
      <c r="L2728">
        <f t="shared" si="172"/>
        <v>0</v>
      </c>
      <c r="M2728">
        <f t="shared" si="173"/>
        <v>1</v>
      </c>
      <c r="N2728">
        <f t="shared" si="174"/>
        <v>0</v>
      </c>
      <c r="O2728" t="str">
        <f t="shared" si="175"/>
        <v>Proposta Ok</v>
      </c>
    </row>
    <row r="2729" spans="12:15" x14ac:dyDescent="0.25">
      <c r="L2729">
        <f t="shared" si="172"/>
        <v>0</v>
      </c>
      <c r="M2729">
        <f t="shared" si="173"/>
        <v>1</v>
      </c>
      <c r="N2729">
        <f t="shared" si="174"/>
        <v>0</v>
      </c>
      <c r="O2729" t="str">
        <f t="shared" si="175"/>
        <v>Proposta Ok</v>
      </c>
    </row>
    <row r="2730" spans="12:15" x14ac:dyDescent="0.25">
      <c r="L2730">
        <f t="shared" si="172"/>
        <v>0</v>
      </c>
      <c r="M2730">
        <f t="shared" si="173"/>
        <v>1</v>
      </c>
      <c r="N2730">
        <f t="shared" si="174"/>
        <v>0</v>
      </c>
      <c r="O2730" t="str">
        <f t="shared" si="175"/>
        <v>Proposta Ok</v>
      </c>
    </row>
    <row r="2731" spans="12:15" x14ac:dyDescent="0.25">
      <c r="L2731">
        <f t="shared" si="172"/>
        <v>0</v>
      </c>
      <c r="M2731">
        <f t="shared" si="173"/>
        <v>1</v>
      </c>
      <c r="N2731">
        <f t="shared" si="174"/>
        <v>0</v>
      </c>
      <c r="O2731" t="str">
        <f t="shared" si="175"/>
        <v>Proposta Ok</v>
      </c>
    </row>
    <row r="2732" spans="12:15" x14ac:dyDescent="0.25">
      <c r="L2732">
        <f t="shared" si="172"/>
        <v>0</v>
      </c>
      <c r="M2732">
        <f t="shared" si="173"/>
        <v>1</v>
      </c>
      <c r="N2732">
        <f t="shared" si="174"/>
        <v>0</v>
      </c>
      <c r="O2732" t="str">
        <f t="shared" si="175"/>
        <v>Proposta Ok</v>
      </c>
    </row>
    <row r="2733" spans="12:15" x14ac:dyDescent="0.25">
      <c r="L2733">
        <f t="shared" si="172"/>
        <v>0</v>
      </c>
      <c r="M2733">
        <f t="shared" si="173"/>
        <v>1</v>
      </c>
      <c r="N2733">
        <f t="shared" si="174"/>
        <v>0</v>
      </c>
      <c r="O2733" t="str">
        <f t="shared" si="175"/>
        <v>Proposta Ok</v>
      </c>
    </row>
    <row r="2734" spans="12:15" x14ac:dyDescent="0.25">
      <c r="L2734">
        <f t="shared" si="172"/>
        <v>0</v>
      </c>
      <c r="M2734">
        <f t="shared" si="173"/>
        <v>1</v>
      </c>
      <c r="N2734">
        <f t="shared" si="174"/>
        <v>0</v>
      </c>
      <c r="O2734" t="str">
        <f t="shared" si="175"/>
        <v>Proposta Ok</v>
      </c>
    </row>
    <row r="2735" spans="12:15" x14ac:dyDescent="0.25">
      <c r="L2735">
        <f t="shared" si="172"/>
        <v>0</v>
      </c>
      <c r="M2735">
        <f t="shared" si="173"/>
        <v>1</v>
      </c>
      <c r="N2735">
        <f t="shared" si="174"/>
        <v>0</v>
      </c>
      <c r="O2735" t="str">
        <f t="shared" si="175"/>
        <v>Proposta Ok</v>
      </c>
    </row>
    <row r="2736" spans="12:15" x14ac:dyDescent="0.25">
      <c r="L2736">
        <f t="shared" si="172"/>
        <v>0</v>
      </c>
      <c r="M2736">
        <f t="shared" si="173"/>
        <v>1</v>
      </c>
      <c r="N2736">
        <f t="shared" si="174"/>
        <v>0</v>
      </c>
      <c r="O2736" t="str">
        <f t="shared" si="175"/>
        <v>Proposta Ok</v>
      </c>
    </row>
    <row r="2737" spans="12:15" x14ac:dyDescent="0.25">
      <c r="L2737">
        <f t="shared" si="172"/>
        <v>0</v>
      </c>
      <c r="M2737">
        <f t="shared" si="173"/>
        <v>1</v>
      </c>
      <c r="N2737">
        <f t="shared" si="174"/>
        <v>0</v>
      </c>
      <c r="O2737" t="str">
        <f t="shared" si="175"/>
        <v>Proposta Ok</v>
      </c>
    </row>
    <row r="2738" spans="12:15" x14ac:dyDescent="0.25">
      <c r="L2738">
        <f t="shared" si="172"/>
        <v>0</v>
      </c>
      <c r="M2738">
        <f t="shared" si="173"/>
        <v>1</v>
      </c>
      <c r="N2738">
        <f t="shared" si="174"/>
        <v>0</v>
      </c>
      <c r="O2738" t="str">
        <f t="shared" si="175"/>
        <v>Proposta Ok</v>
      </c>
    </row>
    <row r="2739" spans="12:15" x14ac:dyDescent="0.25">
      <c r="L2739">
        <f t="shared" si="172"/>
        <v>0</v>
      </c>
      <c r="M2739">
        <f t="shared" si="173"/>
        <v>1</v>
      </c>
      <c r="N2739">
        <f t="shared" si="174"/>
        <v>0</v>
      </c>
      <c r="O2739" t="str">
        <f t="shared" si="175"/>
        <v>Proposta Ok</v>
      </c>
    </row>
    <row r="2740" spans="12:15" x14ac:dyDescent="0.25">
      <c r="L2740">
        <f t="shared" si="172"/>
        <v>0</v>
      </c>
      <c r="M2740">
        <f t="shared" si="173"/>
        <v>1</v>
      </c>
      <c r="N2740">
        <f t="shared" si="174"/>
        <v>0</v>
      </c>
      <c r="O2740" t="str">
        <f t="shared" si="175"/>
        <v>Proposta Ok</v>
      </c>
    </row>
    <row r="2741" spans="12:15" x14ac:dyDescent="0.25">
      <c r="L2741">
        <f t="shared" si="172"/>
        <v>0</v>
      </c>
      <c r="M2741">
        <f t="shared" si="173"/>
        <v>1</v>
      </c>
      <c r="N2741">
        <f t="shared" si="174"/>
        <v>0</v>
      </c>
      <c r="O2741" t="str">
        <f t="shared" si="175"/>
        <v>Proposta Ok</v>
      </c>
    </row>
    <row r="2742" spans="12:15" x14ac:dyDescent="0.25">
      <c r="L2742">
        <f t="shared" si="172"/>
        <v>0</v>
      </c>
      <c r="M2742">
        <f t="shared" si="173"/>
        <v>1</v>
      </c>
      <c r="N2742">
        <f t="shared" si="174"/>
        <v>0</v>
      </c>
      <c r="O2742" t="str">
        <f t="shared" si="175"/>
        <v>Proposta Ok</v>
      </c>
    </row>
    <row r="2743" spans="12:15" x14ac:dyDescent="0.25">
      <c r="L2743">
        <f t="shared" si="172"/>
        <v>0</v>
      </c>
      <c r="M2743">
        <f t="shared" si="173"/>
        <v>1</v>
      </c>
      <c r="N2743">
        <f t="shared" si="174"/>
        <v>0</v>
      </c>
      <c r="O2743" t="str">
        <f t="shared" si="175"/>
        <v>Proposta Ok</v>
      </c>
    </row>
    <row r="2744" spans="12:15" x14ac:dyDescent="0.25">
      <c r="L2744">
        <f t="shared" si="172"/>
        <v>0</v>
      </c>
      <c r="M2744">
        <f t="shared" si="173"/>
        <v>1</v>
      </c>
      <c r="N2744">
        <f t="shared" si="174"/>
        <v>0</v>
      </c>
      <c r="O2744" t="str">
        <f t="shared" si="175"/>
        <v>Proposta Ok</v>
      </c>
    </row>
    <row r="2745" spans="12:15" x14ac:dyDescent="0.25">
      <c r="L2745">
        <f t="shared" si="172"/>
        <v>0</v>
      </c>
      <c r="M2745">
        <f t="shared" si="173"/>
        <v>1</v>
      </c>
      <c r="N2745">
        <f t="shared" si="174"/>
        <v>0</v>
      </c>
      <c r="O2745" t="str">
        <f t="shared" si="175"/>
        <v>Proposta Ok</v>
      </c>
    </row>
    <row r="2746" spans="12:15" x14ac:dyDescent="0.25">
      <c r="L2746">
        <f t="shared" si="172"/>
        <v>0</v>
      </c>
      <c r="M2746">
        <f t="shared" si="173"/>
        <v>1</v>
      </c>
      <c r="N2746">
        <f t="shared" si="174"/>
        <v>0</v>
      </c>
      <c r="O2746" t="str">
        <f t="shared" si="175"/>
        <v>Proposta Ok</v>
      </c>
    </row>
    <row r="2747" spans="12:15" x14ac:dyDescent="0.25">
      <c r="L2747">
        <f t="shared" si="172"/>
        <v>0</v>
      </c>
      <c r="M2747">
        <f t="shared" si="173"/>
        <v>1</v>
      </c>
      <c r="N2747">
        <f t="shared" si="174"/>
        <v>0</v>
      </c>
      <c r="O2747" t="str">
        <f t="shared" si="175"/>
        <v>Proposta Ok</v>
      </c>
    </row>
    <row r="2748" spans="12:15" x14ac:dyDescent="0.25">
      <c r="L2748">
        <f t="shared" si="172"/>
        <v>0</v>
      </c>
      <c r="M2748">
        <f t="shared" si="173"/>
        <v>1</v>
      </c>
      <c r="N2748">
        <f t="shared" si="174"/>
        <v>0</v>
      </c>
      <c r="O2748" t="str">
        <f t="shared" si="175"/>
        <v>Proposta Ok</v>
      </c>
    </row>
    <row r="2749" spans="12:15" x14ac:dyDescent="0.25">
      <c r="L2749">
        <f t="shared" si="172"/>
        <v>0</v>
      </c>
      <c r="M2749">
        <f t="shared" si="173"/>
        <v>1</v>
      </c>
      <c r="N2749">
        <f t="shared" si="174"/>
        <v>0</v>
      </c>
      <c r="O2749" t="str">
        <f t="shared" si="175"/>
        <v>Proposta Ok</v>
      </c>
    </row>
    <row r="2750" spans="12:15" x14ac:dyDescent="0.25">
      <c r="L2750">
        <f t="shared" si="172"/>
        <v>0</v>
      </c>
      <c r="M2750">
        <f t="shared" si="173"/>
        <v>1</v>
      </c>
      <c r="N2750">
        <f t="shared" si="174"/>
        <v>0</v>
      </c>
      <c r="O2750" t="str">
        <f t="shared" si="175"/>
        <v>Proposta Ok</v>
      </c>
    </row>
    <row r="2751" spans="12:15" x14ac:dyDescent="0.25">
      <c r="L2751">
        <f t="shared" si="172"/>
        <v>0</v>
      </c>
      <c r="M2751">
        <f t="shared" si="173"/>
        <v>1</v>
      </c>
      <c r="N2751">
        <f t="shared" si="174"/>
        <v>0</v>
      </c>
      <c r="O2751" t="str">
        <f t="shared" si="175"/>
        <v>Proposta Ok</v>
      </c>
    </row>
    <row r="2752" spans="12:15" x14ac:dyDescent="0.25">
      <c r="L2752">
        <f t="shared" si="172"/>
        <v>0</v>
      </c>
      <c r="M2752">
        <f t="shared" si="173"/>
        <v>1</v>
      </c>
      <c r="N2752">
        <f t="shared" si="174"/>
        <v>0</v>
      </c>
      <c r="O2752" t="str">
        <f t="shared" si="175"/>
        <v>Proposta Ok</v>
      </c>
    </row>
    <row r="2753" spans="12:15" x14ac:dyDescent="0.25">
      <c r="L2753">
        <f t="shared" si="172"/>
        <v>0</v>
      </c>
      <c r="M2753">
        <f t="shared" si="173"/>
        <v>1</v>
      </c>
      <c r="N2753">
        <f t="shared" si="174"/>
        <v>0</v>
      </c>
      <c r="O2753" t="str">
        <f t="shared" si="175"/>
        <v>Proposta Ok</v>
      </c>
    </row>
    <row r="2754" spans="12:15" x14ac:dyDescent="0.25">
      <c r="L2754">
        <f t="shared" si="172"/>
        <v>0</v>
      </c>
      <c r="M2754">
        <f t="shared" si="173"/>
        <v>1</v>
      </c>
      <c r="N2754">
        <f t="shared" si="174"/>
        <v>0</v>
      </c>
      <c r="O2754" t="str">
        <f t="shared" si="175"/>
        <v>Proposta Ok</v>
      </c>
    </row>
    <row r="2755" spans="12:15" x14ac:dyDescent="0.25">
      <c r="L2755">
        <f t="shared" si="172"/>
        <v>0</v>
      </c>
      <c r="M2755">
        <f t="shared" si="173"/>
        <v>1</v>
      </c>
      <c r="N2755">
        <f t="shared" si="174"/>
        <v>0</v>
      </c>
      <c r="O2755" t="str">
        <f t="shared" si="175"/>
        <v>Proposta Ok</v>
      </c>
    </row>
    <row r="2756" spans="12:15" x14ac:dyDescent="0.25">
      <c r="L2756">
        <f t="shared" si="172"/>
        <v>0</v>
      </c>
      <c r="M2756">
        <f t="shared" si="173"/>
        <v>1</v>
      </c>
      <c r="N2756">
        <f t="shared" si="174"/>
        <v>0</v>
      </c>
      <c r="O2756" t="str">
        <f t="shared" si="175"/>
        <v>Proposta Ok</v>
      </c>
    </row>
    <row r="2757" spans="12:15" x14ac:dyDescent="0.25">
      <c r="L2757">
        <f t="shared" si="172"/>
        <v>0</v>
      </c>
      <c r="M2757">
        <f t="shared" si="173"/>
        <v>1</v>
      </c>
      <c r="N2757">
        <f t="shared" si="174"/>
        <v>0</v>
      </c>
      <c r="O2757" t="str">
        <f t="shared" si="175"/>
        <v>Proposta Ok</v>
      </c>
    </row>
    <row r="2758" spans="12:15" x14ac:dyDescent="0.25">
      <c r="L2758">
        <f t="shared" si="172"/>
        <v>0</v>
      </c>
      <c r="M2758">
        <f t="shared" si="173"/>
        <v>1</v>
      </c>
      <c r="N2758">
        <f t="shared" si="174"/>
        <v>0</v>
      </c>
      <c r="O2758" t="str">
        <f t="shared" si="175"/>
        <v>Proposta Ok</v>
      </c>
    </row>
    <row r="2759" spans="12:15" x14ac:dyDescent="0.25">
      <c r="L2759">
        <f t="shared" si="172"/>
        <v>0</v>
      </c>
      <c r="M2759">
        <f t="shared" si="173"/>
        <v>1</v>
      </c>
      <c r="N2759">
        <f t="shared" si="174"/>
        <v>0</v>
      </c>
      <c r="O2759" t="str">
        <f t="shared" si="175"/>
        <v>Proposta Ok</v>
      </c>
    </row>
    <row r="2760" spans="12:15" x14ac:dyDescent="0.25">
      <c r="L2760">
        <f t="shared" si="172"/>
        <v>0</v>
      </c>
      <c r="M2760">
        <f t="shared" si="173"/>
        <v>1</v>
      </c>
      <c r="N2760">
        <f t="shared" si="174"/>
        <v>0</v>
      </c>
      <c r="O2760" t="str">
        <f t="shared" si="175"/>
        <v>Proposta Ok</v>
      </c>
    </row>
    <row r="2761" spans="12:15" x14ac:dyDescent="0.25">
      <c r="L2761">
        <f t="shared" si="172"/>
        <v>0</v>
      </c>
      <c r="M2761">
        <f t="shared" si="173"/>
        <v>1</v>
      </c>
      <c r="N2761">
        <f t="shared" si="174"/>
        <v>0</v>
      </c>
      <c r="O2761" t="str">
        <f t="shared" si="175"/>
        <v>Proposta Ok</v>
      </c>
    </row>
    <row r="2762" spans="12:15" x14ac:dyDescent="0.25">
      <c r="L2762">
        <f t="shared" si="172"/>
        <v>0</v>
      </c>
      <c r="M2762">
        <f t="shared" si="173"/>
        <v>1</v>
      </c>
      <c r="N2762">
        <f t="shared" si="174"/>
        <v>0</v>
      </c>
      <c r="O2762" t="str">
        <f t="shared" si="175"/>
        <v>Proposta Ok</v>
      </c>
    </row>
    <row r="2763" spans="12:15" x14ac:dyDescent="0.25">
      <c r="L2763">
        <f t="shared" si="172"/>
        <v>0</v>
      </c>
      <c r="M2763">
        <f t="shared" si="173"/>
        <v>1</v>
      </c>
      <c r="N2763">
        <f t="shared" si="174"/>
        <v>0</v>
      </c>
      <c r="O2763" t="str">
        <f t="shared" si="175"/>
        <v>Proposta Ok</v>
      </c>
    </row>
    <row r="2764" spans="12:15" x14ac:dyDescent="0.25">
      <c r="L2764">
        <f t="shared" si="172"/>
        <v>0</v>
      </c>
      <c r="M2764">
        <f t="shared" si="173"/>
        <v>1</v>
      </c>
      <c r="N2764">
        <f t="shared" si="174"/>
        <v>0</v>
      </c>
      <c r="O2764" t="str">
        <f t="shared" si="175"/>
        <v>Proposta Ok</v>
      </c>
    </row>
    <row r="2765" spans="12:15" x14ac:dyDescent="0.25">
      <c r="L2765">
        <f t="shared" si="172"/>
        <v>0</v>
      </c>
      <c r="M2765">
        <f t="shared" si="173"/>
        <v>1</v>
      </c>
      <c r="N2765">
        <f t="shared" si="174"/>
        <v>0</v>
      </c>
      <c r="O2765" t="str">
        <f t="shared" si="175"/>
        <v>Proposta Ok</v>
      </c>
    </row>
    <row r="2766" spans="12:15" x14ac:dyDescent="0.25">
      <c r="L2766">
        <f t="shared" si="172"/>
        <v>0</v>
      </c>
      <c r="M2766">
        <f t="shared" si="173"/>
        <v>1</v>
      </c>
      <c r="N2766">
        <f t="shared" si="174"/>
        <v>0</v>
      </c>
      <c r="O2766" t="str">
        <f t="shared" si="175"/>
        <v>Proposta Ok</v>
      </c>
    </row>
    <row r="2767" spans="12:15" x14ac:dyDescent="0.25">
      <c r="L2767">
        <f t="shared" si="172"/>
        <v>0</v>
      </c>
      <c r="M2767">
        <f t="shared" si="173"/>
        <v>1</v>
      </c>
      <c r="N2767">
        <f t="shared" si="174"/>
        <v>0</v>
      </c>
      <c r="O2767" t="str">
        <f t="shared" si="175"/>
        <v>Proposta Ok</v>
      </c>
    </row>
    <row r="2768" spans="12:15" x14ac:dyDescent="0.25">
      <c r="L2768">
        <f t="shared" si="172"/>
        <v>0</v>
      </c>
      <c r="M2768">
        <f t="shared" si="173"/>
        <v>1</v>
      </c>
      <c r="N2768">
        <f t="shared" si="174"/>
        <v>0</v>
      </c>
      <c r="O2768" t="str">
        <f t="shared" si="175"/>
        <v>Proposta Ok</v>
      </c>
    </row>
    <row r="2769" spans="12:15" x14ac:dyDescent="0.25">
      <c r="L2769">
        <f t="shared" si="172"/>
        <v>0</v>
      </c>
      <c r="M2769">
        <f t="shared" si="173"/>
        <v>1</v>
      </c>
      <c r="N2769">
        <f t="shared" si="174"/>
        <v>0</v>
      </c>
      <c r="O2769" t="str">
        <f t="shared" si="175"/>
        <v>Proposta Ok</v>
      </c>
    </row>
    <row r="2770" spans="12:15" x14ac:dyDescent="0.25">
      <c r="L2770">
        <f t="shared" si="172"/>
        <v>0</v>
      </c>
      <c r="M2770">
        <f t="shared" si="173"/>
        <v>1</v>
      </c>
      <c r="N2770">
        <f t="shared" si="174"/>
        <v>0</v>
      </c>
      <c r="O2770" t="str">
        <f t="shared" si="175"/>
        <v>Proposta Ok</v>
      </c>
    </row>
    <row r="2771" spans="12:15" x14ac:dyDescent="0.25">
      <c r="L2771">
        <f t="shared" si="172"/>
        <v>0</v>
      </c>
      <c r="M2771">
        <f t="shared" si="173"/>
        <v>1</v>
      </c>
      <c r="N2771">
        <f t="shared" si="174"/>
        <v>0</v>
      </c>
      <c r="O2771" t="str">
        <f t="shared" si="175"/>
        <v>Proposta Ok</v>
      </c>
    </row>
    <row r="2772" spans="12:15" x14ac:dyDescent="0.25">
      <c r="L2772">
        <f t="shared" si="172"/>
        <v>0</v>
      </c>
      <c r="M2772">
        <f t="shared" si="173"/>
        <v>1</v>
      </c>
      <c r="N2772">
        <f t="shared" si="174"/>
        <v>0</v>
      </c>
      <c r="O2772" t="str">
        <f t="shared" si="175"/>
        <v>Proposta Ok</v>
      </c>
    </row>
    <row r="2773" spans="12:15" x14ac:dyDescent="0.25">
      <c r="L2773">
        <f t="shared" si="172"/>
        <v>0</v>
      </c>
      <c r="M2773">
        <f t="shared" si="173"/>
        <v>1</v>
      </c>
      <c r="N2773">
        <f t="shared" si="174"/>
        <v>0</v>
      </c>
      <c r="O2773" t="str">
        <f t="shared" si="175"/>
        <v>Proposta Ok</v>
      </c>
    </row>
    <row r="2774" spans="12:15" x14ac:dyDescent="0.25">
      <c r="L2774">
        <f t="shared" si="172"/>
        <v>0</v>
      </c>
      <c r="M2774">
        <f t="shared" si="173"/>
        <v>1</v>
      </c>
      <c r="N2774">
        <f t="shared" si="174"/>
        <v>0</v>
      </c>
      <c r="O2774" t="str">
        <f t="shared" si="175"/>
        <v>Proposta Ok</v>
      </c>
    </row>
    <row r="2775" spans="12:15" x14ac:dyDescent="0.25">
      <c r="L2775">
        <f t="shared" si="172"/>
        <v>0</v>
      </c>
      <c r="M2775">
        <f t="shared" si="173"/>
        <v>1</v>
      </c>
      <c r="N2775">
        <f t="shared" si="174"/>
        <v>0</v>
      </c>
      <c r="O2775" t="str">
        <f t="shared" si="175"/>
        <v>Proposta Ok</v>
      </c>
    </row>
    <row r="2776" spans="12:15" x14ac:dyDescent="0.25">
      <c r="L2776">
        <f t="shared" si="172"/>
        <v>0</v>
      </c>
      <c r="M2776">
        <f t="shared" si="173"/>
        <v>1</v>
      </c>
      <c r="N2776">
        <f t="shared" si="174"/>
        <v>0</v>
      </c>
      <c r="O2776" t="str">
        <f t="shared" si="175"/>
        <v>Proposta Ok</v>
      </c>
    </row>
    <row r="2777" spans="12:15" x14ac:dyDescent="0.25">
      <c r="L2777">
        <f t="shared" si="172"/>
        <v>0</v>
      </c>
      <c r="M2777">
        <f t="shared" si="173"/>
        <v>1</v>
      </c>
      <c r="N2777">
        <f t="shared" si="174"/>
        <v>0</v>
      </c>
      <c r="O2777" t="str">
        <f t="shared" si="175"/>
        <v>Proposta Ok</v>
      </c>
    </row>
    <row r="2778" spans="12:15" x14ac:dyDescent="0.25">
      <c r="L2778">
        <f t="shared" si="172"/>
        <v>0</v>
      </c>
      <c r="M2778">
        <f t="shared" si="173"/>
        <v>1</v>
      </c>
      <c r="N2778">
        <f t="shared" si="174"/>
        <v>0</v>
      </c>
      <c r="O2778" t="str">
        <f t="shared" si="175"/>
        <v>Proposta Ok</v>
      </c>
    </row>
    <row r="2779" spans="12:15" x14ac:dyDescent="0.25">
      <c r="L2779">
        <f t="shared" ref="L2779:L2842" si="176">IF(OR(I2779="Termo OK (Exceção)",I2779="Termo OK"),1,0)</f>
        <v>0</v>
      </c>
      <c r="M2779">
        <f t="shared" ref="M2779:M2842" si="177">IF(OR(I2779="Termo OK (Exceção)",I2779="Termo OK"),0,1)</f>
        <v>1</v>
      </c>
      <c r="N2779">
        <f t="shared" ref="N2779:N2842" si="178">IF(J2779="SIM",1,0)</f>
        <v>0</v>
      </c>
      <c r="O2779" t="str">
        <f t="shared" ref="O2779:O2842" si="179">IF(SUMIFS(M:M,A:A,A2779)&gt;0,"Proposta não Ok","Proposta Ok")</f>
        <v>Proposta Ok</v>
      </c>
    </row>
    <row r="2780" spans="12:15" x14ac:dyDescent="0.25">
      <c r="L2780">
        <f t="shared" si="176"/>
        <v>0</v>
      </c>
      <c r="M2780">
        <f t="shared" si="177"/>
        <v>1</v>
      </c>
      <c r="N2780">
        <f t="shared" si="178"/>
        <v>0</v>
      </c>
      <c r="O2780" t="str">
        <f t="shared" si="179"/>
        <v>Proposta Ok</v>
      </c>
    </row>
    <row r="2781" spans="12:15" x14ac:dyDescent="0.25">
      <c r="L2781">
        <f t="shared" si="176"/>
        <v>0</v>
      </c>
      <c r="M2781">
        <f t="shared" si="177"/>
        <v>1</v>
      </c>
      <c r="N2781">
        <f t="shared" si="178"/>
        <v>0</v>
      </c>
      <c r="O2781" t="str">
        <f t="shared" si="179"/>
        <v>Proposta Ok</v>
      </c>
    </row>
    <row r="2782" spans="12:15" x14ac:dyDescent="0.25">
      <c r="L2782">
        <f t="shared" si="176"/>
        <v>0</v>
      </c>
      <c r="M2782">
        <f t="shared" si="177"/>
        <v>1</v>
      </c>
      <c r="N2782">
        <f t="shared" si="178"/>
        <v>0</v>
      </c>
      <c r="O2782" t="str">
        <f t="shared" si="179"/>
        <v>Proposta Ok</v>
      </c>
    </row>
    <row r="2783" spans="12:15" x14ac:dyDescent="0.25">
      <c r="L2783">
        <f t="shared" si="176"/>
        <v>0</v>
      </c>
      <c r="M2783">
        <f t="shared" si="177"/>
        <v>1</v>
      </c>
      <c r="N2783">
        <f t="shared" si="178"/>
        <v>0</v>
      </c>
      <c r="O2783" t="str">
        <f t="shared" si="179"/>
        <v>Proposta Ok</v>
      </c>
    </row>
    <row r="2784" spans="12:15" x14ac:dyDescent="0.25">
      <c r="L2784">
        <f t="shared" si="176"/>
        <v>0</v>
      </c>
      <c r="M2784">
        <f t="shared" si="177"/>
        <v>1</v>
      </c>
      <c r="N2784">
        <f t="shared" si="178"/>
        <v>0</v>
      </c>
      <c r="O2784" t="str">
        <f t="shared" si="179"/>
        <v>Proposta Ok</v>
      </c>
    </row>
    <row r="2785" spans="12:15" x14ac:dyDescent="0.25">
      <c r="L2785">
        <f t="shared" si="176"/>
        <v>0</v>
      </c>
      <c r="M2785">
        <f t="shared" si="177"/>
        <v>1</v>
      </c>
      <c r="N2785">
        <f t="shared" si="178"/>
        <v>0</v>
      </c>
      <c r="O2785" t="str">
        <f t="shared" si="179"/>
        <v>Proposta Ok</v>
      </c>
    </row>
    <row r="2786" spans="12:15" x14ac:dyDescent="0.25">
      <c r="L2786">
        <f t="shared" si="176"/>
        <v>0</v>
      </c>
      <c r="M2786">
        <f t="shared" si="177"/>
        <v>1</v>
      </c>
      <c r="N2786">
        <f t="shared" si="178"/>
        <v>0</v>
      </c>
      <c r="O2786" t="str">
        <f t="shared" si="179"/>
        <v>Proposta Ok</v>
      </c>
    </row>
    <row r="2787" spans="12:15" x14ac:dyDescent="0.25">
      <c r="L2787">
        <f t="shared" si="176"/>
        <v>0</v>
      </c>
      <c r="M2787">
        <f t="shared" si="177"/>
        <v>1</v>
      </c>
      <c r="N2787">
        <f t="shared" si="178"/>
        <v>0</v>
      </c>
      <c r="O2787" t="str">
        <f t="shared" si="179"/>
        <v>Proposta Ok</v>
      </c>
    </row>
    <row r="2788" spans="12:15" x14ac:dyDescent="0.25">
      <c r="L2788">
        <f t="shared" si="176"/>
        <v>0</v>
      </c>
      <c r="M2788">
        <f t="shared" si="177"/>
        <v>1</v>
      </c>
      <c r="N2788">
        <f t="shared" si="178"/>
        <v>0</v>
      </c>
      <c r="O2788" t="str">
        <f t="shared" si="179"/>
        <v>Proposta Ok</v>
      </c>
    </row>
    <row r="2789" spans="12:15" x14ac:dyDescent="0.25">
      <c r="L2789">
        <f t="shared" si="176"/>
        <v>0</v>
      </c>
      <c r="M2789">
        <f t="shared" si="177"/>
        <v>1</v>
      </c>
      <c r="N2789">
        <f t="shared" si="178"/>
        <v>0</v>
      </c>
      <c r="O2789" t="str">
        <f t="shared" si="179"/>
        <v>Proposta Ok</v>
      </c>
    </row>
    <row r="2790" spans="12:15" x14ac:dyDescent="0.25">
      <c r="L2790">
        <f t="shared" si="176"/>
        <v>0</v>
      </c>
      <c r="M2790">
        <f t="shared" si="177"/>
        <v>1</v>
      </c>
      <c r="N2790">
        <f t="shared" si="178"/>
        <v>0</v>
      </c>
      <c r="O2790" t="str">
        <f t="shared" si="179"/>
        <v>Proposta Ok</v>
      </c>
    </row>
    <row r="2791" spans="12:15" x14ac:dyDescent="0.25">
      <c r="L2791">
        <f t="shared" si="176"/>
        <v>0</v>
      </c>
      <c r="M2791">
        <f t="shared" si="177"/>
        <v>1</v>
      </c>
      <c r="N2791">
        <f t="shared" si="178"/>
        <v>0</v>
      </c>
      <c r="O2791" t="str">
        <f t="shared" si="179"/>
        <v>Proposta Ok</v>
      </c>
    </row>
    <row r="2792" spans="12:15" x14ac:dyDescent="0.25">
      <c r="L2792">
        <f t="shared" si="176"/>
        <v>0</v>
      </c>
      <c r="M2792">
        <f t="shared" si="177"/>
        <v>1</v>
      </c>
      <c r="N2792">
        <f t="shared" si="178"/>
        <v>0</v>
      </c>
      <c r="O2792" t="str">
        <f t="shared" si="179"/>
        <v>Proposta Ok</v>
      </c>
    </row>
    <row r="2793" spans="12:15" x14ac:dyDescent="0.25">
      <c r="L2793">
        <f t="shared" si="176"/>
        <v>0</v>
      </c>
      <c r="M2793">
        <f t="shared" si="177"/>
        <v>1</v>
      </c>
      <c r="N2793">
        <f t="shared" si="178"/>
        <v>0</v>
      </c>
      <c r="O2793" t="str">
        <f t="shared" si="179"/>
        <v>Proposta Ok</v>
      </c>
    </row>
    <row r="2794" spans="12:15" x14ac:dyDescent="0.25">
      <c r="L2794">
        <f t="shared" si="176"/>
        <v>0</v>
      </c>
      <c r="M2794">
        <f t="shared" si="177"/>
        <v>1</v>
      </c>
      <c r="N2794">
        <f t="shared" si="178"/>
        <v>0</v>
      </c>
      <c r="O2794" t="str">
        <f t="shared" si="179"/>
        <v>Proposta Ok</v>
      </c>
    </row>
    <row r="2795" spans="12:15" x14ac:dyDescent="0.25">
      <c r="L2795">
        <f t="shared" si="176"/>
        <v>0</v>
      </c>
      <c r="M2795">
        <f t="shared" si="177"/>
        <v>1</v>
      </c>
      <c r="N2795">
        <f t="shared" si="178"/>
        <v>0</v>
      </c>
      <c r="O2795" t="str">
        <f t="shared" si="179"/>
        <v>Proposta Ok</v>
      </c>
    </row>
    <row r="2796" spans="12:15" x14ac:dyDescent="0.25">
      <c r="L2796">
        <f t="shared" si="176"/>
        <v>0</v>
      </c>
      <c r="M2796">
        <f t="shared" si="177"/>
        <v>1</v>
      </c>
      <c r="N2796">
        <f t="shared" si="178"/>
        <v>0</v>
      </c>
      <c r="O2796" t="str">
        <f t="shared" si="179"/>
        <v>Proposta Ok</v>
      </c>
    </row>
    <row r="2797" spans="12:15" x14ac:dyDescent="0.25">
      <c r="L2797">
        <f t="shared" si="176"/>
        <v>0</v>
      </c>
      <c r="M2797">
        <f t="shared" si="177"/>
        <v>1</v>
      </c>
      <c r="N2797">
        <f t="shared" si="178"/>
        <v>0</v>
      </c>
      <c r="O2797" t="str">
        <f t="shared" si="179"/>
        <v>Proposta Ok</v>
      </c>
    </row>
    <row r="2798" spans="12:15" x14ac:dyDescent="0.25">
      <c r="L2798">
        <f t="shared" si="176"/>
        <v>0</v>
      </c>
      <c r="M2798">
        <f t="shared" si="177"/>
        <v>1</v>
      </c>
      <c r="N2798">
        <f t="shared" si="178"/>
        <v>0</v>
      </c>
      <c r="O2798" t="str">
        <f t="shared" si="179"/>
        <v>Proposta Ok</v>
      </c>
    </row>
    <row r="2799" spans="12:15" x14ac:dyDescent="0.25">
      <c r="L2799">
        <f t="shared" si="176"/>
        <v>0</v>
      </c>
      <c r="M2799">
        <f t="shared" si="177"/>
        <v>1</v>
      </c>
      <c r="N2799">
        <f t="shared" si="178"/>
        <v>0</v>
      </c>
      <c r="O2799" t="str">
        <f t="shared" si="179"/>
        <v>Proposta Ok</v>
      </c>
    </row>
    <row r="2800" spans="12:15" x14ac:dyDescent="0.25">
      <c r="L2800">
        <f t="shared" si="176"/>
        <v>0</v>
      </c>
      <c r="M2800">
        <f t="shared" si="177"/>
        <v>1</v>
      </c>
      <c r="N2800">
        <f t="shared" si="178"/>
        <v>0</v>
      </c>
      <c r="O2800" t="str">
        <f t="shared" si="179"/>
        <v>Proposta Ok</v>
      </c>
    </row>
    <row r="2801" spans="12:15" x14ac:dyDescent="0.25">
      <c r="L2801">
        <f t="shared" si="176"/>
        <v>0</v>
      </c>
      <c r="M2801">
        <f t="shared" si="177"/>
        <v>1</v>
      </c>
      <c r="N2801">
        <f t="shared" si="178"/>
        <v>0</v>
      </c>
      <c r="O2801" t="str">
        <f t="shared" si="179"/>
        <v>Proposta Ok</v>
      </c>
    </row>
    <row r="2802" spans="12:15" x14ac:dyDescent="0.25">
      <c r="L2802">
        <f t="shared" si="176"/>
        <v>0</v>
      </c>
      <c r="M2802">
        <f t="shared" si="177"/>
        <v>1</v>
      </c>
      <c r="N2802">
        <f t="shared" si="178"/>
        <v>0</v>
      </c>
      <c r="O2802" t="str">
        <f t="shared" si="179"/>
        <v>Proposta Ok</v>
      </c>
    </row>
    <row r="2803" spans="12:15" x14ac:dyDescent="0.25">
      <c r="L2803">
        <f t="shared" si="176"/>
        <v>0</v>
      </c>
      <c r="M2803">
        <f t="shared" si="177"/>
        <v>1</v>
      </c>
      <c r="N2803">
        <f t="shared" si="178"/>
        <v>0</v>
      </c>
      <c r="O2803" t="str">
        <f t="shared" si="179"/>
        <v>Proposta Ok</v>
      </c>
    </row>
    <row r="2804" spans="12:15" x14ac:dyDescent="0.25">
      <c r="L2804">
        <f t="shared" si="176"/>
        <v>0</v>
      </c>
      <c r="M2804">
        <f t="shared" si="177"/>
        <v>1</v>
      </c>
      <c r="N2804">
        <f t="shared" si="178"/>
        <v>0</v>
      </c>
      <c r="O2804" t="str">
        <f t="shared" si="179"/>
        <v>Proposta Ok</v>
      </c>
    </row>
    <row r="2805" spans="12:15" x14ac:dyDescent="0.25">
      <c r="L2805">
        <f t="shared" si="176"/>
        <v>0</v>
      </c>
      <c r="M2805">
        <f t="shared" si="177"/>
        <v>1</v>
      </c>
      <c r="N2805">
        <f t="shared" si="178"/>
        <v>0</v>
      </c>
      <c r="O2805" t="str">
        <f t="shared" si="179"/>
        <v>Proposta Ok</v>
      </c>
    </row>
    <row r="2806" spans="12:15" x14ac:dyDescent="0.25">
      <c r="L2806">
        <f t="shared" si="176"/>
        <v>0</v>
      </c>
      <c r="M2806">
        <f t="shared" si="177"/>
        <v>1</v>
      </c>
      <c r="N2806">
        <f t="shared" si="178"/>
        <v>0</v>
      </c>
      <c r="O2806" t="str">
        <f t="shared" si="179"/>
        <v>Proposta Ok</v>
      </c>
    </row>
    <row r="2807" spans="12:15" x14ac:dyDescent="0.25">
      <c r="L2807">
        <f t="shared" si="176"/>
        <v>0</v>
      </c>
      <c r="M2807">
        <f t="shared" si="177"/>
        <v>1</v>
      </c>
      <c r="N2807">
        <f t="shared" si="178"/>
        <v>0</v>
      </c>
      <c r="O2807" t="str">
        <f t="shared" si="179"/>
        <v>Proposta Ok</v>
      </c>
    </row>
    <row r="2808" spans="12:15" x14ac:dyDescent="0.25">
      <c r="L2808">
        <f t="shared" si="176"/>
        <v>0</v>
      </c>
      <c r="M2808">
        <f t="shared" si="177"/>
        <v>1</v>
      </c>
      <c r="N2808">
        <f t="shared" si="178"/>
        <v>0</v>
      </c>
      <c r="O2808" t="str">
        <f t="shared" si="179"/>
        <v>Proposta Ok</v>
      </c>
    </row>
    <row r="2809" spans="12:15" x14ac:dyDescent="0.25">
      <c r="L2809">
        <f t="shared" si="176"/>
        <v>0</v>
      </c>
      <c r="M2809">
        <f t="shared" si="177"/>
        <v>1</v>
      </c>
      <c r="N2809">
        <f t="shared" si="178"/>
        <v>0</v>
      </c>
      <c r="O2809" t="str">
        <f t="shared" si="179"/>
        <v>Proposta Ok</v>
      </c>
    </row>
    <row r="2810" spans="12:15" x14ac:dyDescent="0.25">
      <c r="L2810">
        <f t="shared" si="176"/>
        <v>0</v>
      </c>
      <c r="M2810">
        <f t="shared" si="177"/>
        <v>1</v>
      </c>
      <c r="N2810">
        <f t="shared" si="178"/>
        <v>0</v>
      </c>
      <c r="O2810" t="str">
        <f t="shared" si="179"/>
        <v>Proposta Ok</v>
      </c>
    </row>
    <row r="2811" spans="12:15" x14ac:dyDescent="0.25">
      <c r="L2811">
        <f t="shared" si="176"/>
        <v>0</v>
      </c>
      <c r="M2811">
        <f t="shared" si="177"/>
        <v>1</v>
      </c>
      <c r="N2811">
        <f t="shared" si="178"/>
        <v>0</v>
      </c>
      <c r="O2811" t="str">
        <f t="shared" si="179"/>
        <v>Proposta Ok</v>
      </c>
    </row>
    <row r="2812" spans="12:15" x14ac:dyDescent="0.25">
      <c r="L2812">
        <f t="shared" si="176"/>
        <v>0</v>
      </c>
      <c r="M2812">
        <f t="shared" si="177"/>
        <v>1</v>
      </c>
      <c r="N2812">
        <f t="shared" si="178"/>
        <v>0</v>
      </c>
      <c r="O2812" t="str">
        <f t="shared" si="179"/>
        <v>Proposta Ok</v>
      </c>
    </row>
    <row r="2813" spans="12:15" x14ac:dyDescent="0.25">
      <c r="L2813">
        <f t="shared" si="176"/>
        <v>0</v>
      </c>
      <c r="M2813">
        <f t="shared" si="177"/>
        <v>1</v>
      </c>
      <c r="N2813">
        <f t="shared" si="178"/>
        <v>0</v>
      </c>
      <c r="O2813" t="str">
        <f t="shared" si="179"/>
        <v>Proposta Ok</v>
      </c>
    </row>
    <row r="2814" spans="12:15" x14ac:dyDescent="0.25">
      <c r="L2814">
        <f t="shared" si="176"/>
        <v>0</v>
      </c>
      <c r="M2814">
        <f t="shared" si="177"/>
        <v>1</v>
      </c>
      <c r="N2814">
        <f t="shared" si="178"/>
        <v>0</v>
      </c>
      <c r="O2814" t="str">
        <f t="shared" si="179"/>
        <v>Proposta Ok</v>
      </c>
    </row>
    <row r="2815" spans="12:15" x14ac:dyDescent="0.25">
      <c r="L2815">
        <f t="shared" si="176"/>
        <v>0</v>
      </c>
      <c r="M2815">
        <f t="shared" si="177"/>
        <v>1</v>
      </c>
      <c r="N2815">
        <f t="shared" si="178"/>
        <v>0</v>
      </c>
      <c r="O2815" t="str">
        <f t="shared" si="179"/>
        <v>Proposta Ok</v>
      </c>
    </row>
    <row r="2816" spans="12:15" x14ac:dyDescent="0.25">
      <c r="L2816">
        <f t="shared" si="176"/>
        <v>0</v>
      </c>
      <c r="M2816">
        <f t="shared" si="177"/>
        <v>1</v>
      </c>
      <c r="N2816">
        <f t="shared" si="178"/>
        <v>0</v>
      </c>
      <c r="O2816" t="str">
        <f t="shared" si="179"/>
        <v>Proposta Ok</v>
      </c>
    </row>
    <row r="2817" spans="12:15" x14ac:dyDescent="0.25">
      <c r="L2817">
        <f t="shared" si="176"/>
        <v>0</v>
      </c>
      <c r="M2817">
        <f t="shared" si="177"/>
        <v>1</v>
      </c>
      <c r="N2817">
        <f t="shared" si="178"/>
        <v>0</v>
      </c>
      <c r="O2817" t="str">
        <f t="shared" si="179"/>
        <v>Proposta Ok</v>
      </c>
    </row>
    <row r="2818" spans="12:15" x14ac:dyDescent="0.25">
      <c r="L2818">
        <f t="shared" si="176"/>
        <v>0</v>
      </c>
      <c r="M2818">
        <f t="shared" si="177"/>
        <v>1</v>
      </c>
      <c r="N2818">
        <f t="shared" si="178"/>
        <v>0</v>
      </c>
      <c r="O2818" t="str">
        <f t="shared" si="179"/>
        <v>Proposta Ok</v>
      </c>
    </row>
    <row r="2819" spans="12:15" x14ac:dyDescent="0.25">
      <c r="L2819">
        <f t="shared" si="176"/>
        <v>0</v>
      </c>
      <c r="M2819">
        <f t="shared" si="177"/>
        <v>1</v>
      </c>
      <c r="N2819">
        <f t="shared" si="178"/>
        <v>0</v>
      </c>
      <c r="O2819" t="str">
        <f t="shared" si="179"/>
        <v>Proposta Ok</v>
      </c>
    </row>
    <row r="2820" spans="12:15" x14ac:dyDescent="0.25">
      <c r="L2820">
        <f t="shared" si="176"/>
        <v>0</v>
      </c>
      <c r="M2820">
        <f t="shared" si="177"/>
        <v>1</v>
      </c>
      <c r="N2820">
        <f t="shared" si="178"/>
        <v>0</v>
      </c>
      <c r="O2820" t="str">
        <f t="shared" si="179"/>
        <v>Proposta Ok</v>
      </c>
    </row>
    <row r="2821" spans="12:15" x14ac:dyDescent="0.25">
      <c r="L2821">
        <f t="shared" si="176"/>
        <v>0</v>
      </c>
      <c r="M2821">
        <f t="shared" si="177"/>
        <v>1</v>
      </c>
      <c r="N2821">
        <f t="shared" si="178"/>
        <v>0</v>
      </c>
      <c r="O2821" t="str">
        <f t="shared" si="179"/>
        <v>Proposta Ok</v>
      </c>
    </row>
    <row r="2822" spans="12:15" x14ac:dyDescent="0.25">
      <c r="L2822">
        <f t="shared" si="176"/>
        <v>0</v>
      </c>
      <c r="M2822">
        <f t="shared" si="177"/>
        <v>1</v>
      </c>
      <c r="N2822">
        <f t="shared" si="178"/>
        <v>0</v>
      </c>
      <c r="O2822" t="str">
        <f t="shared" si="179"/>
        <v>Proposta Ok</v>
      </c>
    </row>
    <row r="2823" spans="12:15" x14ac:dyDescent="0.25">
      <c r="L2823">
        <f t="shared" si="176"/>
        <v>0</v>
      </c>
      <c r="M2823">
        <f t="shared" si="177"/>
        <v>1</v>
      </c>
      <c r="N2823">
        <f t="shared" si="178"/>
        <v>0</v>
      </c>
      <c r="O2823" t="str">
        <f t="shared" si="179"/>
        <v>Proposta Ok</v>
      </c>
    </row>
    <row r="2824" spans="12:15" x14ac:dyDescent="0.25">
      <c r="L2824">
        <f t="shared" si="176"/>
        <v>0</v>
      </c>
      <c r="M2824">
        <f t="shared" si="177"/>
        <v>1</v>
      </c>
      <c r="N2824">
        <f t="shared" si="178"/>
        <v>0</v>
      </c>
      <c r="O2824" t="str">
        <f t="shared" si="179"/>
        <v>Proposta Ok</v>
      </c>
    </row>
    <row r="2825" spans="12:15" x14ac:dyDescent="0.25">
      <c r="L2825">
        <f t="shared" si="176"/>
        <v>0</v>
      </c>
      <c r="M2825">
        <f t="shared" si="177"/>
        <v>1</v>
      </c>
      <c r="N2825">
        <f t="shared" si="178"/>
        <v>0</v>
      </c>
      <c r="O2825" t="str">
        <f t="shared" si="179"/>
        <v>Proposta Ok</v>
      </c>
    </row>
    <row r="2826" spans="12:15" x14ac:dyDescent="0.25">
      <c r="L2826">
        <f t="shared" si="176"/>
        <v>0</v>
      </c>
      <c r="M2826">
        <f t="shared" si="177"/>
        <v>1</v>
      </c>
      <c r="N2826">
        <f t="shared" si="178"/>
        <v>0</v>
      </c>
      <c r="O2826" t="str">
        <f t="shared" si="179"/>
        <v>Proposta Ok</v>
      </c>
    </row>
    <row r="2827" spans="12:15" x14ac:dyDescent="0.25">
      <c r="L2827">
        <f t="shared" si="176"/>
        <v>0</v>
      </c>
      <c r="M2827">
        <f t="shared" si="177"/>
        <v>1</v>
      </c>
      <c r="N2827">
        <f t="shared" si="178"/>
        <v>0</v>
      </c>
      <c r="O2827" t="str">
        <f t="shared" si="179"/>
        <v>Proposta Ok</v>
      </c>
    </row>
    <row r="2828" spans="12:15" x14ac:dyDescent="0.25">
      <c r="L2828">
        <f t="shared" si="176"/>
        <v>0</v>
      </c>
      <c r="M2828">
        <f t="shared" si="177"/>
        <v>1</v>
      </c>
      <c r="N2828">
        <f t="shared" si="178"/>
        <v>0</v>
      </c>
      <c r="O2828" t="str">
        <f t="shared" si="179"/>
        <v>Proposta Ok</v>
      </c>
    </row>
    <row r="2829" spans="12:15" x14ac:dyDescent="0.25">
      <c r="L2829">
        <f t="shared" si="176"/>
        <v>0</v>
      </c>
      <c r="M2829">
        <f t="shared" si="177"/>
        <v>1</v>
      </c>
      <c r="N2829">
        <f t="shared" si="178"/>
        <v>0</v>
      </c>
      <c r="O2829" t="str">
        <f t="shared" si="179"/>
        <v>Proposta Ok</v>
      </c>
    </row>
    <row r="2830" spans="12:15" x14ac:dyDescent="0.25">
      <c r="L2830">
        <f t="shared" si="176"/>
        <v>0</v>
      </c>
      <c r="M2830">
        <f t="shared" si="177"/>
        <v>1</v>
      </c>
      <c r="N2830">
        <f t="shared" si="178"/>
        <v>0</v>
      </c>
      <c r="O2830" t="str">
        <f t="shared" si="179"/>
        <v>Proposta Ok</v>
      </c>
    </row>
    <row r="2831" spans="12:15" x14ac:dyDescent="0.25">
      <c r="L2831">
        <f t="shared" si="176"/>
        <v>0</v>
      </c>
      <c r="M2831">
        <f t="shared" si="177"/>
        <v>1</v>
      </c>
      <c r="N2831">
        <f t="shared" si="178"/>
        <v>0</v>
      </c>
      <c r="O2831" t="str">
        <f t="shared" si="179"/>
        <v>Proposta Ok</v>
      </c>
    </row>
    <row r="2832" spans="12:15" x14ac:dyDescent="0.25">
      <c r="L2832">
        <f t="shared" si="176"/>
        <v>0</v>
      </c>
      <c r="M2832">
        <f t="shared" si="177"/>
        <v>1</v>
      </c>
      <c r="N2832">
        <f t="shared" si="178"/>
        <v>0</v>
      </c>
      <c r="O2832" t="str">
        <f t="shared" si="179"/>
        <v>Proposta Ok</v>
      </c>
    </row>
    <row r="2833" spans="12:15" x14ac:dyDescent="0.25">
      <c r="L2833">
        <f t="shared" si="176"/>
        <v>0</v>
      </c>
      <c r="M2833">
        <f t="shared" si="177"/>
        <v>1</v>
      </c>
      <c r="N2833">
        <f t="shared" si="178"/>
        <v>0</v>
      </c>
      <c r="O2833" t="str">
        <f t="shared" si="179"/>
        <v>Proposta Ok</v>
      </c>
    </row>
    <row r="2834" spans="12:15" x14ac:dyDescent="0.25">
      <c r="L2834">
        <f t="shared" si="176"/>
        <v>0</v>
      </c>
      <c r="M2834">
        <f t="shared" si="177"/>
        <v>1</v>
      </c>
      <c r="N2834">
        <f t="shared" si="178"/>
        <v>0</v>
      </c>
      <c r="O2834" t="str">
        <f t="shared" si="179"/>
        <v>Proposta Ok</v>
      </c>
    </row>
    <row r="2835" spans="12:15" x14ac:dyDescent="0.25">
      <c r="L2835">
        <f t="shared" si="176"/>
        <v>0</v>
      </c>
      <c r="M2835">
        <f t="shared" si="177"/>
        <v>1</v>
      </c>
      <c r="N2835">
        <f t="shared" si="178"/>
        <v>0</v>
      </c>
      <c r="O2835" t="str">
        <f t="shared" si="179"/>
        <v>Proposta Ok</v>
      </c>
    </row>
    <row r="2836" spans="12:15" x14ac:dyDescent="0.25">
      <c r="L2836">
        <f t="shared" si="176"/>
        <v>0</v>
      </c>
      <c r="M2836">
        <f t="shared" si="177"/>
        <v>1</v>
      </c>
      <c r="N2836">
        <f t="shared" si="178"/>
        <v>0</v>
      </c>
      <c r="O2836" t="str">
        <f t="shared" si="179"/>
        <v>Proposta Ok</v>
      </c>
    </row>
    <row r="2837" spans="12:15" x14ac:dyDescent="0.25">
      <c r="L2837">
        <f t="shared" si="176"/>
        <v>0</v>
      </c>
      <c r="M2837">
        <f t="shared" si="177"/>
        <v>1</v>
      </c>
      <c r="N2837">
        <f t="shared" si="178"/>
        <v>0</v>
      </c>
      <c r="O2837" t="str">
        <f t="shared" si="179"/>
        <v>Proposta Ok</v>
      </c>
    </row>
    <row r="2838" spans="12:15" x14ac:dyDescent="0.25">
      <c r="L2838">
        <f t="shared" si="176"/>
        <v>0</v>
      </c>
      <c r="M2838">
        <f t="shared" si="177"/>
        <v>1</v>
      </c>
      <c r="N2838">
        <f t="shared" si="178"/>
        <v>0</v>
      </c>
      <c r="O2838" t="str">
        <f t="shared" si="179"/>
        <v>Proposta Ok</v>
      </c>
    </row>
    <row r="2839" spans="12:15" x14ac:dyDescent="0.25">
      <c r="L2839">
        <f t="shared" si="176"/>
        <v>0</v>
      </c>
      <c r="M2839">
        <f t="shared" si="177"/>
        <v>1</v>
      </c>
      <c r="N2839">
        <f t="shared" si="178"/>
        <v>0</v>
      </c>
      <c r="O2839" t="str">
        <f t="shared" si="179"/>
        <v>Proposta Ok</v>
      </c>
    </row>
    <row r="2840" spans="12:15" x14ac:dyDescent="0.25">
      <c r="L2840">
        <f t="shared" si="176"/>
        <v>0</v>
      </c>
      <c r="M2840">
        <f t="shared" si="177"/>
        <v>1</v>
      </c>
      <c r="N2840">
        <f t="shared" si="178"/>
        <v>0</v>
      </c>
      <c r="O2840" t="str">
        <f t="shared" si="179"/>
        <v>Proposta Ok</v>
      </c>
    </row>
    <row r="2841" spans="12:15" x14ac:dyDescent="0.25">
      <c r="L2841">
        <f t="shared" si="176"/>
        <v>0</v>
      </c>
      <c r="M2841">
        <f t="shared" si="177"/>
        <v>1</v>
      </c>
      <c r="N2841">
        <f t="shared" si="178"/>
        <v>0</v>
      </c>
      <c r="O2841" t="str">
        <f t="shared" si="179"/>
        <v>Proposta Ok</v>
      </c>
    </row>
    <row r="2842" spans="12:15" x14ac:dyDescent="0.25">
      <c r="L2842">
        <f t="shared" si="176"/>
        <v>0</v>
      </c>
      <c r="M2842">
        <f t="shared" si="177"/>
        <v>1</v>
      </c>
      <c r="N2842">
        <f t="shared" si="178"/>
        <v>0</v>
      </c>
      <c r="O2842" t="str">
        <f t="shared" si="179"/>
        <v>Proposta Ok</v>
      </c>
    </row>
    <row r="2843" spans="12:15" x14ac:dyDescent="0.25">
      <c r="L2843">
        <f t="shared" ref="L2843:L2906" si="180">IF(OR(I2843="Termo OK (Exceção)",I2843="Termo OK"),1,0)</f>
        <v>0</v>
      </c>
      <c r="M2843">
        <f t="shared" ref="M2843:M2906" si="181">IF(OR(I2843="Termo OK (Exceção)",I2843="Termo OK"),0,1)</f>
        <v>1</v>
      </c>
      <c r="N2843">
        <f t="shared" ref="N2843:N2906" si="182">IF(J2843="SIM",1,0)</f>
        <v>0</v>
      </c>
      <c r="O2843" t="str">
        <f t="shared" ref="O2843:O2906" si="183">IF(SUMIFS(M:M,A:A,A2843)&gt;0,"Proposta não Ok","Proposta Ok")</f>
        <v>Proposta Ok</v>
      </c>
    </row>
    <row r="2844" spans="12:15" x14ac:dyDescent="0.25">
      <c r="L2844">
        <f t="shared" si="180"/>
        <v>0</v>
      </c>
      <c r="M2844">
        <f t="shared" si="181"/>
        <v>1</v>
      </c>
      <c r="N2844">
        <f t="shared" si="182"/>
        <v>0</v>
      </c>
      <c r="O2844" t="str">
        <f t="shared" si="183"/>
        <v>Proposta Ok</v>
      </c>
    </row>
    <row r="2845" spans="12:15" x14ac:dyDescent="0.25">
      <c r="L2845">
        <f t="shared" si="180"/>
        <v>0</v>
      </c>
      <c r="M2845">
        <f t="shared" si="181"/>
        <v>1</v>
      </c>
      <c r="N2845">
        <f t="shared" si="182"/>
        <v>0</v>
      </c>
      <c r="O2845" t="str">
        <f t="shared" si="183"/>
        <v>Proposta Ok</v>
      </c>
    </row>
    <row r="2846" spans="12:15" x14ac:dyDescent="0.25">
      <c r="L2846">
        <f t="shared" si="180"/>
        <v>0</v>
      </c>
      <c r="M2846">
        <f t="shared" si="181"/>
        <v>1</v>
      </c>
      <c r="N2846">
        <f t="shared" si="182"/>
        <v>0</v>
      </c>
      <c r="O2846" t="str">
        <f t="shared" si="183"/>
        <v>Proposta Ok</v>
      </c>
    </row>
    <row r="2847" spans="12:15" x14ac:dyDescent="0.25">
      <c r="L2847">
        <f t="shared" si="180"/>
        <v>0</v>
      </c>
      <c r="M2847">
        <f t="shared" si="181"/>
        <v>1</v>
      </c>
      <c r="N2847">
        <f t="shared" si="182"/>
        <v>0</v>
      </c>
      <c r="O2847" t="str">
        <f t="shared" si="183"/>
        <v>Proposta Ok</v>
      </c>
    </row>
    <row r="2848" spans="12:15" x14ac:dyDescent="0.25">
      <c r="L2848">
        <f t="shared" si="180"/>
        <v>0</v>
      </c>
      <c r="M2848">
        <f t="shared" si="181"/>
        <v>1</v>
      </c>
      <c r="N2848">
        <f t="shared" si="182"/>
        <v>0</v>
      </c>
      <c r="O2848" t="str">
        <f t="shared" si="183"/>
        <v>Proposta Ok</v>
      </c>
    </row>
    <row r="2849" spans="12:15" x14ac:dyDescent="0.25">
      <c r="L2849">
        <f t="shared" si="180"/>
        <v>0</v>
      </c>
      <c r="M2849">
        <f t="shared" si="181"/>
        <v>1</v>
      </c>
      <c r="N2849">
        <f t="shared" si="182"/>
        <v>0</v>
      </c>
      <c r="O2849" t="str">
        <f t="shared" si="183"/>
        <v>Proposta Ok</v>
      </c>
    </row>
    <row r="2850" spans="12:15" x14ac:dyDescent="0.25">
      <c r="L2850">
        <f t="shared" si="180"/>
        <v>0</v>
      </c>
      <c r="M2850">
        <f t="shared" si="181"/>
        <v>1</v>
      </c>
      <c r="N2850">
        <f t="shared" si="182"/>
        <v>0</v>
      </c>
      <c r="O2850" t="str">
        <f t="shared" si="183"/>
        <v>Proposta Ok</v>
      </c>
    </row>
    <row r="2851" spans="12:15" x14ac:dyDescent="0.25">
      <c r="L2851">
        <f t="shared" si="180"/>
        <v>0</v>
      </c>
      <c r="M2851">
        <f t="shared" si="181"/>
        <v>1</v>
      </c>
      <c r="N2851">
        <f t="shared" si="182"/>
        <v>0</v>
      </c>
      <c r="O2851" t="str">
        <f t="shared" si="183"/>
        <v>Proposta Ok</v>
      </c>
    </row>
    <row r="2852" spans="12:15" x14ac:dyDescent="0.25">
      <c r="L2852">
        <f t="shared" si="180"/>
        <v>0</v>
      </c>
      <c r="M2852">
        <f t="shared" si="181"/>
        <v>1</v>
      </c>
      <c r="N2852">
        <f t="shared" si="182"/>
        <v>0</v>
      </c>
      <c r="O2852" t="str">
        <f t="shared" si="183"/>
        <v>Proposta Ok</v>
      </c>
    </row>
    <row r="2853" spans="12:15" x14ac:dyDescent="0.25">
      <c r="L2853">
        <f t="shared" si="180"/>
        <v>0</v>
      </c>
      <c r="M2853">
        <f t="shared" si="181"/>
        <v>1</v>
      </c>
      <c r="N2853">
        <f t="shared" si="182"/>
        <v>0</v>
      </c>
      <c r="O2853" t="str">
        <f t="shared" si="183"/>
        <v>Proposta Ok</v>
      </c>
    </row>
    <row r="2854" spans="12:15" x14ac:dyDescent="0.25">
      <c r="L2854">
        <f t="shared" si="180"/>
        <v>0</v>
      </c>
      <c r="M2854">
        <f t="shared" si="181"/>
        <v>1</v>
      </c>
      <c r="N2854">
        <f t="shared" si="182"/>
        <v>0</v>
      </c>
      <c r="O2854" t="str">
        <f t="shared" si="183"/>
        <v>Proposta Ok</v>
      </c>
    </row>
    <row r="2855" spans="12:15" x14ac:dyDescent="0.25">
      <c r="L2855">
        <f t="shared" si="180"/>
        <v>0</v>
      </c>
      <c r="M2855">
        <f t="shared" si="181"/>
        <v>1</v>
      </c>
      <c r="N2855">
        <f t="shared" si="182"/>
        <v>0</v>
      </c>
      <c r="O2855" t="str">
        <f t="shared" si="183"/>
        <v>Proposta Ok</v>
      </c>
    </row>
    <row r="2856" spans="12:15" x14ac:dyDescent="0.25">
      <c r="L2856">
        <f t="shared" si="180"/>
        <v>0</v>
      </c>
      <c r="M2856">
        <f t="shared" si="181"/>
        <v>1</v>
      </c>
      <c r="N2856">
        <f t="shared" si="182"/>
        <v>0</v>
      </c>
      <c r="O2856" t="str">
        <f t="shared" si="183"/>
        <v>Proposta Ok</v>
      </c>
    </row>
    <row r="2857" spans="12:15" x14ac:dyDescent="0.25">
      <c r="L2857">
        <f t="shared" si="180"/>
        <v>0</v>
      </c>
      <c r="M2857">
        <f t="shared" si="181"/>
        <v>1</v>
      </c>
      <c r="N2857">
        <f t="shared" si="182"/>
        <v>0</v>
      </c>
      <c r="O2857" t="str">
        <f t="shared" si="183"/>
        <v>Proposta Ok</v>
      </c>
    </row>
    <row r="2858" spans="12:15" x14ac:dyDescent="0.25">
      <c r="L2858">
        <f t="shared" si="180"/>
        <v>0</v>
      </c>
      <c r="M2858">
        <f t="shared" si="181"/>
        <v>1</v>
      </c>
      <c r="N2858">
        <f t="shared" si="182"/>
        <v>0</v>
      </c>
      <c r="O2858" t="str">
        <f t="shared" si="183"/>
        <v>Proposta Ok</v>
      </c>
    </row>
    <row r="2859" spans="12:15" x14ac:dyDescent="0.25">
      <c r="L2859">
        <f t="shared" si="180"/>
        <v>0</v>
      </c>
      <c r="M2859">
        <f t="shared" si="181"/>
        <v>1</v>
      </c>
      <c r="N2859">
        <f t="shared" si="182"/>
        <v>0</v>
      </c>
      <c r="O2859" t="str">
        <f t="shared" si="183"/>
        <v>Proposta Ok</v>
      </c>
    </row>
    <row r="2860" spans="12:15" x14ac:dyDescent="0.25">
      <c r="L2860">
        <f t="shared" si="180"/>
        <v>0</v>
      </c>
      <c r="M2860">
        <f t="shared" si="181"/>
        <v>1</v>
      </c>
      <c r="N2860">
        <f t="shared" si="182"/>
        <v>0</v>
      </c>
      <c r="O2860" t="str">
        <f t="shared" si="183"/>
        <v>Proposta Ok</v>
      </c>
    </row>
    <row r="2861" spans="12:15" x14ac:dyDescent="0.25">
      <c r="L2861">
        <f t="shared" si="180"/>
        <v>0</v>
      </c>
      <c r="M2861">
        <f t="shared" si="181"/>
        <v>1</v>
      </c>
      <c r="N2861">
        <f t="shared" si="182"/>
        <v>0</v>
      </c>
      <c r="O2861" t="str">
        <f t="shared" si="183"/>
        <v>Proposta Ok</v>
      </c>
    </row>
    <row r="2862" spans="12:15" x14ac:dyDescent="0.25">
      <c r="L2862">
        <f t="shared" si="180"/>
        <v>0</v>
      </c>
      <c r="M2862">
        <f t="shared" si="181"/>
        <v>1</v>
      </c>
      <c r="N2862">
        <f t="shared" si="182"/>
        <v>0</v>
      </c>
      <c r="O2862" t="str">
        <f t="shared" si="183"/>
        <v>Proposta Ok</v>
      </c>
    </row>
    <row r="2863" spans="12:15" x14ac:dyDescent="0.25">
      <c r="L2863">
        <f t="shared" si="180"/>
        <v>0</v>
      </c>
      <c r="M2863">
        <f t="shared" si="181"/>
        <v>1</v>
      </c>
      <c r="N2863">
        <f t="shared" si="182"/>
        <v>0</v>
      </c>
      <c r="O2863" t="str">
        <f t="shared" si="183"/>
        <v>Proposta Ok</v>
      </c>
    </row>
    <row r="2864" spans="12:15" x14ac:dyDescent="0.25">
      <c r="L2864">
        <f t="shared" si="180"/>
        <v>0</v>
      </c>
      <c r="M2864">
        <f t="shared" si="181"/>
        <v>1</v>
      </c>
      <c r="N2864">
        <f t="shared" si="182"/>
        <v>0</v>
      </c>
      <c r="O2864" t="str">
        <f t="shared" si="183"/>
        <v>Proposta Ok</v>
      </c>
    </row>
    <row r="2865" spans="12:15" x14ac:dyDescent="0.25">
      <c r="L2865">
        <f t="shared" si="180"/>
        <v>0</v>
      </c>
      <c r="M2865">
        <f t="shared" si="181"/>
        <v>1</v>
      </c>
      <c r="N2865">
        <f t="shared" si="182"/>
        <v>0</v>
      </c>
      <c r="O2865" t="str">
        <f t="shared" si="183"/>
        <v>Proposta Ok</v>
      </c>
    </row>
    <row r="2866" spans="12:15" x14ac:dyDescent="0.25">
      <c r="L2866">
        <f t="shared" si="180"/>
        <v>0</v>
      </c>
      <c r="M2866">
        <f t="shared" si="181"/>
        <v>1</v>
      </c>
      <c r="N2866">
        <f t="shared" si="182"/>
        <v>0</v>
      </c>
      <c r="O2866" t="str">
        <f t="shared" si="183"/>
        <v>Proposta Ok</v>
      </c>
    </row>
    <row r="2867" spans="12:15" x14ac:dyDescent="0.25">
      <c r="L2867">
        <f t="shared" si="180"/>
        <v>0</v>
      </c>
      <c r="M2867">
        <f t="shared" si="181"/>
        <v>1</v>
      </c>
      <c r="N2867">
        <f t="shared" si="182"/>
        <v>0</v>
      </c>
      <c r="O2867" t="str">
        <f t="shared" si="183"/>
        <v>Proposta Ok</v>
      </c>
    </row>
    <row r="2868" spans="12:15" x14ac:dyDescent="0.25">
      <c r="L2868">
        <f t="shared" si="180"/>
        <v>0</v>
      </c>
      <c r="M2868">
        <f t="shared" si="181"/>
        <v>1</v>
      </c>
      <c r="N2868">
        <f t="shared" si="182"/>
        <v>0</v>
      </c>
      <c r="O2868" t="str">
        <f t="shared" si="183"/>
        <v>Proposta Ok</v>
      </c>
    </row>
    <row r="2869" spans="12:15" x14ac:dyDescent="0.25">
      <c r="L2869">
        <f t="shared" si="180"/>
        <v>0</v>
      </c>
      <c r="M2869">
        <f t="shared" si="181"/>
        <v>1</v>
      </c>
      <c r="N2869">
        <f t="shared" si="182"/>
        <v>0</v>
      </c>
      <c r="O2869" t="str">
        <f t="shared" si="183"/>
        <v>Proposta Ok</v>
      </c>
    </row>
    <row r="2870" spans="12:15" x14ac:dyDescent="0.25">
      <c r="L2870">
        <f t="shared" si="180"/>
        <v>0</v>
      </c>
      <c r="M2870">
        <f t="shared" si="181"/>
        <v>1</v>
      </c>
      <c r="N2870">
        <f t="shared" si="182"/>
        <v>0</v>
      </c>
      <c r="O2870" t="str">
        <f t="shared" si="183"/>
        <v>Proposta Ok</v>
      </c>
    </row>
    <row r="2871" spans="12:15" x14ac:dyDescent="0.25">
      <c r="L2871">
        <f t="shared" si="180"/>
        <v>0</v>
      </c>
      <c r="M2871">
        <f t="shared" si="181"/>
        <v>1</v>
      </c>
      <c r="N2871">
        <f t="shared" si="182"/>
        <v>0</v>
      </c>
      <c r="O2871" t="str">
        <f t="shared" si="183"/>
        <v>Proposta Ok</v>
      </c>
    </row>
    <row r="2872" spans="12:15" x14ac:dyDescent="0.25">
      <c r="L2872">
        <f t="shared" si="180"/>
        <v>0</v>
      </c>
      <c r="M2872">
        <f t="shared" si="181"/>
        <v>1</v>
      </c>
      <c r="N2872">
        <f t="shared" si="182"/>
        <v>0</v>
      </c>
      <c r="O2872" t="str">
        <f t="shared" si="183"/>
        <v>Proposta Ok</v>
      </c>
    </row>
    <row r="2873" spans="12:15" x14ac:dyDescent="0.25">
      <c r="L2873">
        <f t="shared" si="180"/>
        <v>0</v>
      </c>
      <c r="M2873">
        <f t="shared" si="181"/>
        <v>1</v>
      </c>
      <c r="N2873">
        <f t="shared" si="182"/>
        <v>0</v>
      </c>
      <c r="O2873" t="str">
        <f t="shared" si="183"/>
        <v>Proposta Ok</v>
      </c>
    </row>
    <row r="2874" spans="12:15" x14ac:dyDescent="0.25">
      <c r="L2874">
        <f t="shared" si="180"/>
        <v>0</v>
      </c>
      <c r="M2874">
        <f t="shared" si="181"/>
        <v>1</v>
      </c>
      <c r="N2874">
        <f t="shared" si="182"/>
        <v>0</v>
      </c>
      <c r="O2874" t="str">
        <f t="shared" si="183"/>
        <v>Proposta Ok</v>
      </c>
    </row>
    <row r="2875" spans="12:15" x14ac:dyDescent="0.25">
      <c r="L2875">
        <f t="shared" si="180"/>
        <v>0</v>
      </c>
      <c r="M2875">
        <f t="shared" si="181"/>
        <v>1</v>
      </c>
      <c r="N2875">
        <f t="shared" si="182"/>
        <v>0</v>
      </c>
      <c r="O2875" t="str">
        <f t="shared" si="183"/>
        <v>Proposta Ok</v>
      </c>
    </row>
    <row r="2876" spans="12:15" x14ac:dyDescent="0.25">
      <c r="L2876">
        <f t="shared" si="180"/>
        <v>0</v>
      </c>
      <c r="M2876">
        <f t="shared" si="181"/>
        <v>1</v>
      </c>
      <c r="N2876">
        <f t="shared" si="182"/>
        <v>0</v>
      </c>
      <c r="O2876" t="str">
        <f t="shared" si="183"/>
        <v>Proposta Ok</v>
      </c>
    </row>
    <row r="2877" spans="12:15" x14ac:dyDescent="0.25">
      <c r="L2877">
        <f t="shared" si="180"/>
        <v>0</v>
      </c>
      <c r="M2877">
        <f t="shared" si="181"/>
        <v>1</v>
      </c>
      <c r="N2877">
        <f t="shared" si="182"/>
        <v>0</v>
      </c>
      <c r="O2877" t="str">
        <f t="shared" si="183"/>
        <v>Proposta Ok</v>
      </c>
    </row>
    <row r="2878" spans="12:15" x14ac:dyDescent="0.25">
      <c r="L2878">
        <f t="shared" si="180"/>
        <v>0</v>
      </c>
      <c r="M2878">
        <f t="shared" si="181"/>
        <v>1</v>
      </c>
      <c r="N2878">
        <f t="shared" si="182"/>
        <v>0</v>
      </c>
      <c r="O2878" t="str">
        <f t="shared" si="183"/>
        <v>Proposta Ok</v>
      </c>
    </row>
    <row r="2879" spans="12:15" x14ac:dyDescent="0.25">
      <c r="L2879">
        <f t="shared" si="180"/>
        <v>0</v>
      </c>
      <c r="M2879">
        <f t="shared" si="181"/>
        <v>1</v>
      </c>
      <c r="N2879">
        <f t="shared" si="182"/>
        <v>0</v>
      </c>
      <c r="O2879" t="str">
        <f t="shared" si="183"/>
        <v>Proposta Ok</v>
      </c>
    </row>
    <row r="2880" spans="12:15" x14ac:dyDescent="0.25">
      <c r="L2880">
        <f t="shared" si="180"/>
        <v>0</v>
      </c>
      <c r="M2880">
        <f t="shared" si="181"/>
        <v>1</v>
      </c>
      <c r="N2880">
        <f t="shared" si="182"/>
        <v>0</v>
      </c>
      <c r="O2880" t="str">
        <f t="shared" si="183"/>
        <v>Proposta Ok</v>
      </c>
    </row>
    <row r="2881" spans="12:15" x14ac:dyDescent="0.25">
      <c r="L2881">
        <f t="shared" si="180"/>
        <v>0</v>
      </c>
      <c r="M2881">
        <f t="shared" si="181"/>
        <v>1</v>
      </c>
      <c r="N2881">
        <f t="shared" si="182"/>
        <v>0</v>
      </c>
      <c r="O2881" t="str">
        <f t="shared" si="183"/>
        <v>Proposta Ok</v>
      </c>
    </row>
    <row r="2882" spans="12:15" x14ac:dyDescent="0.25">
      <c r="L2882">
        <f t="shared" si="180"/>
        <v>0</v>
      </c>
      <c r="M2882">
        <f t="shared" si="181"/>
        <v>1</v>
      </c>
      <c r="N2882">
        <f t="shared" si="182"/>
        <v>0</v>
      </c>
      <c r="O2882" t="str">
        <f t="shared" si="183"/>
        <v>Proposta Ok</v>
      </c>
    </row>
    <row r="2883" spans="12:15" x14ac:dyDescent="0.25">
      <c r="L2883">
        <f t="shared" si="180"/>
        <v>0</v>
      </c>
      <c r="M2883">
        <f t="shared" si="181"/>
        <v>1</v>
      </c>
      <c r="N2883">
        <f t="shared" si="182"/>
        <v>0</v>
      </c>
      <c r="O2883" t="str">
        <f t="shared" si="183"/>
        <v>Proposta Ok</v>
      </c>
    </row>
    <row r="2884" spans="12:15" x14ac:dyDescent="0.25">
      <c r="L2884">
        <f t="shared" si="180"/>
        <v>0</v>
      </c>
      <c r="M2884">
        <f t="shared" si="181"/>
        <v>1</v>
      </c>
      <c r="N2884">
        <f t="shared" si="182"/>
        <v>0</v>
      </c>
      <c r="O2884" t="str">
        <f t="shared" si="183"/>
        <v>Proposta Ok</v>
      </c>
    </row>
    <row r="2885" spans="12:15" x14ac:dyDescent="0.25">
      <c r="L2885">
        <f t="shared" si="180"/>
        <v>0</v>
      </c>
      <c r="M2885">
        <f t="shared" si="181"/>
        <v>1</v>
      </c>
      <c r="N2885">
        <f t="shared" si="182"/>
        <v>0</v>
      </c>
      <c r="O2885" t="str">
        <f t="shared" si="183"/>
        <v>Proposta Ok</v>
      </c>
    </row>
    <row r="2886" spans="12:15" x14ac:dyDescent="0.25">
      <c r="L2886">
        <f t="shared" si="180"/>
        <v>0</v>
      </c>
      <c r="M2886">
        <f t="shared" si="181"/>
        <v>1</v>
      </c>
      <c r="N2886">
        <f t="shared" si="182"/>
        <v>0</v>
      </c>
      <c r="O2886" t="str">
        <f t="shared" si="183"/>
        <v>Proposta Ok</v>
      </c>
    </row>
    <row r="2887" spans="12:15" x14ac:dyDescent="0.25">
      <c r="L2887">
        <f t="shared" si="180"/>
        <v>0</v>
      </c>
      <c r="M2887">
        <f t="shared" si="181"/>
        <v>1</v>
      </c>
      <c r="N2887">
        <f t="shared" si="182"/>
        <v>0</v>
      </c>
      <c r="O2887" t="str">
        <f t="shared" si="183"/>
        <v>Proposta Ok</v>
      </c>
    </row>
    <row r="2888" spans="12:15" x14ac:dyDescent="0.25">
      <c r="L2888">
        <f t="shared" si="180"/>
        <v>0</v>
      </c>
      <c r="M2888">
        <f t="shared" si="181"/>
        <v>1</v>
      </c>
      <c r="N2888">
        <f t="shared" si="182"/>
        <v>0</v>
      </c>
      <c r="O2888" t="str">
        <f t="shared" si="183"/>
        <v>Proposta Ok</v>
      </c>
    </row>
    <row r="2889" spans="12:15" x14ac:dyDescent="0.25">
      <c r="L2889">
        <f t="shared" si="180"/>
        <v>0</v>
      </c>
      <c r="M2889">
        <f t="shared" si="181"/>
        <v>1</v>
      </c>
      <c r="N2889">
        <f t="shared" si="182"/>
        <v>0</v>
      </c>
      <c r="O2889" t="str">
        <f t="shared" si="183"/>
        <v>Proposta Ok</v>
      </c>
    </row>
    <row r="2890" spans="12:15" x14ac:dyDescent="0.25">
      <c r="L2890">
        <f t="shared" si="180"/>
        <v>0</v>
      </c>
      <c r="M2890">
        <f t="shared" si="181"/>
        <v>1</v>
      </c>
      <c r="N2890">
        <f t="shared" si="182"/>
        <v>0</v>
      </c>
      <c r="O2890" t="str">
        <f t="shared" si="183"/>
        <v>Proposta Ok</v>
      </c>
    </row>
    <row r="2891" spans="12:15" x14ac:dyDescent="0.25">
      <c r="L2891">
        <f t="shared" si="180"/>
        <v>0</v>
      </c>
      <c r="M2891">
        <f t="shared" si="181"/>
        <v>1</v>
      </c>
      <c r="N2891">
        <f t="shared" si="182"/>
        <v>0</v>
      </c>
      <c r="O2891" t="str">
        <f t="shared" si="183"/>
        <v>Proposta Ok</v>
      </c>
    </row>
    <row r="2892" spans="12:15" x14ac:dyDescent="0.25">
      <c r="L2892">
        <f t="shared" si="180"/>
        <v>0</v>
      </c>
      <c r="M2892">
        <f t="shared" si="181"/>
        <v>1</v>
      </c>
      <c r="N2892">
        <f t="shared" si="182"/>
        <v>0</v>
      </c>
      <c r="O2892" t="str">
        <f t="shared" si="183"/>
        <v>Proposta Ok</v>
      </c>
    </row>
    <row r="2893" spans="12:15" x14ac:dyDescent="0.25">
      <c r="L2893">
        <f t="shared" si="180"/>
        <v>0</v>
      </c>
      <c r="M2893">
        <f t="shared" si="181"/>
        <v>1</v>
      </c>
      <c r="N2893">
        <f t="shared" si="182"/>
        <v>0</v>
      </c>
      <c r="O2893" t="str">
        <f t="shared" si="183"/>
        <v>Proposta Ok</v>
      </c>
    </row>
    <row r="2894" spans="12:15" x14ac:dyDescent="0.25">
      <c r="L2894">
        <f t="shared" si="180"/>
        <v>0</v>
      </c>
      <c r="M2894">
        <f t="shared" si="181"/>
        <v>1</v>
      </c>
      <c r="N2894">
        <f t="shared" si="182"/>
        <v>0</v>
      </c>
      <c r="O2894" t="str">
        <f t="shared" si="183"/>
        <v>Proposta Ok</v>
      </c>
    </row>
    <row r="2895" spans="12:15" x14ac:dyDescent="0.25">
      <c r="L2895">
        <f t="shared" si="180"/>
        <v>0</v>
      </c>
      <c r="M2895">
        <f t="shared" si="181"/>
        <v>1</v>
      </c>
      <c r="N2895">
        <f t="shared" si="182"/>
        <v>0</v>
      </c>
      <c r="O2895" t="str">
        <f t="shared" si="183"/>
        <v>Proposta Ok</v>
      </c>
    </row>
    <row r="2896" spans="12:15" x14ac:dyDescent="0.25">
      <c r="L2896">
        <f t="shared" si="180"/>
        <v>0</v>
      </c>
      <c r="M2896">
        <f t="shared" si="181"/>
        <v>1</v>
      </c>
      <c r="N2896">
        <f t="shared" si="182"/>
        <v>0</v>
      </c>
      <c r="O2896" t="str">
        <f t="shared" si="183"/>
        <v>Proposta Ok</v>
      </c>
    </row>
    <row r="2897" spans="12:15" x14ac:dyDescent="0.25">
      <c r="L2897">
        <f t="shared" si="180"/>
        <v>0</v>
      </c>
      <c r="M2897">
        <f t="shared" si="181"/>
        <v>1</v>
      </c>
      <c r="N2897">
        <f t="shared" si="182"/>
        <v>0</v>
      </c>
      <c r="O2897" t="str">
        <f t="shared" si="183"/>
        <v>Proposta Ok</v>
      </c>
    </row>
    <row r="2898" spans="12:15" x14ac:dyDescent="0.25">
      <c r="L2898">
        <f t="shared" si="180"/>
        <v>0</v>
      </c>
      <c r="M2898">
        <f t="shared" si="181"/>
        <v>1</v>
      </c>
      <c r="N2898">
        <f t="shared" si="182"/>
        <v>0</v>
      </c>
      <c r="O2898" t="str">
        <f t="shared" si="183"/>
        <v>Proposta Ok</v>
      </c>
    </row>
    <row r="2899" spans="12:15" x14ac:dyDescent="0.25">
      <c r="L2899">
        <f t="shared" si="180"/>
        <v>0</v>
      </c>
      <c r="M2899">
        <f t="shared" si="181"/>
        <v>1</v>
      </c>
      <c r="N2899">
        <f t="shared" si="182"/>
        <v>0</v>
      </c>
      <c r="O2899" t="str">
        <f t="shared" si="183"/>
        <v>Proposta Ok</v>
      </c>
    </row>
    <row r="2900" spans="12:15" x14ac:dyDescent="0.25">
      <c r="L2900">
        <f t="shared" si="180"/>
        <v>0</v>
      </c>
      <c r="M2900">
        <f t="shared" si="181"/>
        <v>1</v>
      </c>
      <c r="N2900">
        <f t="shared" si="182"/>
        <v>0</v>
      </c>
      <c r="O2900" t="str">
        <f t="shared" si="183"/>
        <v>Proposta Ok</v>
      </c>
    </row>
    <row r="2901" spans="12:15" x14ac:dyDescent="0.25">
      <c r="L2901">
        <f t="shared" si="180"/>
        <v>0</v>
      </c>
      <c r="M2901">
        <f t="shared" si="181"/>
        <v>1</v>
      </c>
      <c r="N2901">
        <f t="shared" si="182"/>
        <v>0</v>
      </c>
      <c r="O2901" t="str">
        <f t="shared" si="183"/>
        <v>Proposta Ok</v>
      </c>
    </row>
    <row r="2902" spans="12:15" x14ac:dyDescent="0.25">
      <c r="L2902">
        <f t="shared" si="180"/>
        <v>0</v>
      </c>
      <c r="M2902">
        <f t="shared" si="181"/>
        <v>1</v>
      </c>
      <c r="N2902">
        <f t="shared" si="182"/>
        <v>0</v>
      </c>
      <c r="O2902" t="str">
        <f t="shared" si="183"/>
        <v>Proposta Ok</v>
      </c>
    </row>
    <row r="2903" spans="12:15" x14ac:dyDescent="0.25">
      <c r="L2903">
        <f t="shared" si="180"/>
        <v>0</v>
      </c>
      <c r="M2903">
        <f t="shared" si="181"/>
        <v>1</v>
      </c>
      <c r="N2903">
        <f t="shared" si="182"/>
        <v>0</v>
      </c>
      <c r="O2903" t="str">
        <f t="shared" si="183"/>
        <v>Proposta Ok</v>
      </c>
    </row>
    <row r="2904" spans="12:15" x14ac:dyDescent="0.25">
      <c r="L2904">
        <f t="shared" si="180"/>
        <v>0</v>
      </c>
      <c r="M2904">
        <f t="shared" si="181"/>
        <v>1</v>
      </c>
      <c r="N2904">
        <f t="shared" si="182"/>
        <v>0</v>
      </c>
      <c r="O2904" t="str">
        <f t="shared" si="183"/>
        <v>Proposta Ok</v>
      </c>
    </row>
    <row r="2905" spans="12:15" x14ac:dyDescent="0.25">
      <c r="L2905">
        <f t="shared" si="180"/>
        <v>0</v>
      </c>
      <c r="M2905">
        <f t="shared" si="181"/>
        <v>1</v>
      </c>
      <c r="N2905">
        <f t="shared" si="182"/>
        <v>0</v>
      </c>
      <c r="O2905" t="str">
        <f t="shared" si="183"/>
        <v>Proposta Ok</v>
      </c>
    </row>
    <row r="2906" spans="12:15" x14ac:dyDescent="0.25">
      <c r="L2906">
        <f t="shared" si="180"/>
        <v>0</v>
      </c>
      <c r="M2906">
        <f t="shared" si="181"/>
        <v>1</v>
      </c>
      <c r="N2906">
        <f t="shared" si="182"/>
        <v>0</v>
      </c>
      <c r="O2906" t="str">
        <f t="shared" si="183"/>
        <v>Proposta Ok</v>
      </c>
    </row>
    <row r="2907" spans="12:15" x14ac:dyDescent="0.25">
      <c r="L2907">
        <f t="shared" ref="L2907:L2970" si="184">IF(OR(I2907="Termo OK (Exceção)",I2907="Termo OK"),1,0)</f>
        <v>0</v>
      </c>
      <c r="M2907">
        <f t="shared" ref="M2907:M2970" si="185">IF(OR(I2907="Termo OK (Exceção)",I2907="Termo OK"),0,1)</f>
        <v>1</v>
      </c>
      <c r="N2907">
        <f t="shared" ref="N2907:N2970" si="186">IF(J2907="SIM",1,0)</f>
        <v>0</v>
      </c>
      <c r="O2907" t="str">
        <f t="shared" ref="O2907:O2970" si="187">IF(SUMIFS(M:M,A:A,A2907)&gt;0,"Proposta não Ok","Proposta Ok")</f>
        <v>Proposta Ok</v>
      </c>
    </row>
    <row r="2908" spans="12:15" x14ac:dyDescent="0.25">
      <c r="L2908">
        <f t="shared" si="184"/>
        <v>0</v>
      </c>
      <c r="M2908">
        <f t="shared" si="185"/>
        <v>1</v>
      </c>
      <c r="N2908">
        <f t="shared" si="186"/>
        <v>0</v>
      </c>
      <c r="O2908" t="str">
        <f t="shared" si="187"/>
        <v>Proposta Ok</v>
      </c>
    </row>
    <row r="2909" spans="12:15" x14ac:dyDescent="0.25">
      <c r="L2909">
        <f t="shared" si="184"/>
        <v>0</v>
      </c>
      <c r="M2909">
        <f t="shared" si="185"/>
        <v>1</v>
      </c>
      <c r="N2909">
        <f t="shared" si="186"/>
        <v>0</v>
      </c>
      <c r="O2909" t="str">
        <f t="shared" si="187"/>
        <v>Proposta Ok</v>
      </c>
    </row>
    <row r="2910" spans="12:15" x14ac:dyDescent="0.25">
      <c r="L2910">
        <f t="shared" si="184"/>
        <v>0</v>
      </c>
      <c r="M2910">
        <f t="shared" si="185"/>
        <v>1</v>
      </c>
      <c r="N2910">
        <f t="shared" si="186"/>
        <v>0</v>
      </c>
      <c r="O2910" t="str">
        <f t="shared" si="187"/>
        <v>Proposta Ok</v>
      </c>
    </row>
    <row r="2911" spans="12:15" x14ac:dyDescent="0.25">
      <c r="L2911">
        <f t="shared" si="184"/>
        <v>0</v>
      </c>
      <c r="M2911">
        <f t="shared" si="185"/>
        <v>1</v>
      </c>
      <c r="N2911">
        <f t="shared" si="186"/>
        <v>0</v>
      </c>
      <c r="O2911" t="str">
        <f t="shared" si="187"/>
        <v>Proposta Ok</v>
      </c>
    </row>
    <row r="2912" spans="12:15" x14ac:dyDescent="0.25">
      <c r="L2912">
        <f t="shared" si="184"/>
        <v>0</v>
      </c>
      <c r="M2912">
        <f t="shared" si="185"/>
        <v>1</v>
      </c>
      <c r="N2912">
        <f t="shared" si="186"/>
        <v>0</v>
      </c>
      <c r="O2912" t="str">
        <f t="shared" si="187"/>
        <v>Proposta Ok</v>
      </c>
    </row>
    <row r="2913" spans="12:15" x14ac:dyDescent="0.25">
      <c r="L2913">
        <f t="shared" si="184"/>
        <v>0</v>
      </c>
      <c r="M2913">
        <f t="shared" si="185"/>
        <v>1</v>
      </c>
      <c r="N2913">
        <f t="shared" si="186"/>
        <v>0</v>
      </c>
      <c r="O2913" t="str">
        <f t="shared" si="187"/>
        <v>Proposta Ok</v>
      </c>
    </row>
    <row r="2914" spans="12:15" x14ac:dyDescent="0.25">
      <c r="L2914">
        <f t="shared" si="184"/>
        <v>0</v>
      </c>
      <c r="M2914">
        <f t="shared" si="185"/>
        <v>1</v>
      </c>
      <c r="N2914">
        <f t="shared" si="186"/>
        <v>0</v>
      </c>
      <c r="O2914" t="str">
        <f t="shared" si="187"/>
        <v>Proposta Ok</v>
      </c>
    </row>
    <row r="2915" spans="12:15" x14ac:dyDescent="0.25">
      <c r="L2915">
        <f t="shared" si="184"/>
        <v>0</v>
      </c>
      <c r="M2915">
        <f t="shared" si="185"/>
        <v>1</v>
      </c>
      <c r="N2915">
        <f t="shared" si="186"/>
        <v>0</v>
      </c>
      <c r="O2915" t="str">
        <f t="shared" si="187"/>
        <v>Proposta Ok</v>
      </c>
    </row>
    <row r="2916" spans="12:15" x14ac:dyDescent="0.25">
      <c r="L2916">
        <f t="shared" si="184"/>
        <v>0</v>
      </c>
      <c r="M2916">
        <f t="shared" si="185"/>
        <v>1</v>
      </c>
      <c r="N2916">
        <f t="shared" si="186"/>
        <v>0</v>
      </c>
      <c r="O2916" t="str">
        <f t="shared" si="187"/>
        <v>Proposta Ok</v>
      </c>
    </row>
    <row r="2917" spans="12:15" x14ac:dyDescent="0.25">
      <c r="L2917">
        <f t="shared" si="184"/>
        <v>0</v>
      </c>
      <c r="M2917">
        <f t="shared" si="185"/>
        <v>1</v>
      </c>
      <c r="N2917">
        <f t="shared" si="186"/>
        <v>0</v>
      </c>
      <c r="O2917" t="str">
        <f t="shared" si="187"/>
        <v>Proposta Ok</v>
      </c>
    </row>
    <row r="2918" spans="12:15" x14ac:dyDescent="0.25">
      <c r="L2918">
        <f t="shared" si="184"/>
        <v>0</v>
      </c>
      <c r="M2918">
        <f t="shared" si="185"/>
        <v>1</v>
      </c>
      <c r="N2918">
        <f t="shared" si="186"/>
        <v>0</v>
      </c>
      <c r="O2918" t="str">
        <f t="shared" si="187"/>
        <v>Proposta Ok</v>
      </c>
    </row>
    <row r="2919" spans="12:15" x14ac:dyDescent="0.25">
      <c r="L2919">
        <f t="shared" si="184"/>
        <v>0</v>
      </c>
      <c r="M2919">
        <f t="shared" si="185"/>
        <v>1</v>
      </c>
      <c r="N2919">
        <f t="shared" si="186"/>
        <v>0</v>
      </c>
      <c r="O2919" t="str">
        <f t="shared" si="187"/>
        <v>Proposta Ok</v>
      </c>
    </row>
    <row r="2920" spans="12:15" x14ac:dyDescent="0.25">
      <c r="L2920">
        <f t="shared" si="184"/>
        <v>0</v>
      </c>
      <c r="M2920">
        <f t="shared" si="185"/>
        <v>1</v>
      </c>
      <c r="N2920">
        <f t="shared" si="186"/>
        <v>0</v>
      </c>
      <c r="O2920" t="str">
        <f t="shared" si="187"/>
        <v>Proposta Ok</v>
      </c>
    </row>
    <row r="2921" spans="12:15" x14ac:dyDescent="0.25">
      <c r="L2921">
        <f t="shared" si="184"/>
        <v>0</v>
      </c>
      <c r="M2921">
        <f t="shared" si="185"/>
        <v>1</v>
      </c>
      <c r="N2921">
        <f t="shared" si="186"/>
        <v>0</v>
      </c>
      <c r="O2921" t="str">
        <f t="shared" si="187"/>
        <v>Proposta Ok</v>
      </c>
    </row>
    <row r="2922" spans="12:15" x14ac:dyDescent="0.25">
      <c r="L2922">
        <f t="shared" si="184"/>
        <v>0</v>
      </c>
      <c r="M2922">
        <f t="shared" si="185"/>
        <v>1</v>
      </c>
      <c r="N2922">
        <f t="shared" si="186"/>
        <v>0</v>
      </c>
      <c r="O2922" t="str">
        <f t="shared" si="187"/>
        <v>Proposta Ok</v>
      </c>
    </row>
    <row r="2923" spans="12:15" x14ac:dyDescent="0.25">
      <c r="L2923">
        <f t="shared" si="184"/>
        <v>0</v>
      </c>
      <c r="M2923">
        <f t="shared" si="185"/>
        <v>1</v>
      </c>
      <c r="N2923">
        <f t="shared" si="186"/>
        <v>0</v>
      </c>
      <c r="O2923" t="str">
        <f t="shared" si="187"/>
        <v>Proposta Ok</v>
      </c>
    </row>
    <row r="2924" spans="12:15" x14ac:dyDescent="0.25">
      <c r="L2924">
        <f t="shared" si="184"/>
        <v>0</v>
      </c>
      <c r="M2924">
        <f t="shared" si="185"/>
        <v>1</v>
      </c>
      <c r="N2924">
        <f t="shared" si="186"/>
        <v>0</v>
      </c>
      <c r="O2924" t="str">
        <f t="shared" si="187"/>
        <v>Proposta Ok</v>
      </c>
    </row>
    <row r="2925" spans="12:15" x14ac:dyDescent="0.25">
      <c r="L2925">
        <f t="shared" si="184"/>
        <v>0</v>
      </c>
      <c r="M2925">
        <f t="shared" si="185"/>
        <v>1</v>
      </c>
      <c r="N2925">
        <f t="shared" si="186"/>
        <v>0</v>
      </c>
      <c r="O2925" t="str">
        <f t="shared" si="187"/>
        <v>Proposta Ok</v>
      </c>
    </row>
    <row r="2926" spans="12:15" x14ac:dyDescent="0.25">
      <c r="L2926">
        <f t="shared" si="184"/>
        <v>0</v>
      </c>
      <c r="M2926">
        <f t="shared" si="185"/>
        <v>1</v>
      </c>
      <c r="N2926">
        <f t="shared" si="186"/>
        <v>0</v>
      </c>
      <c r="O2926" t="str">
        <f t="shared" si="187"/>
        <v>Proposta Ok</v>
      </c>
    </row>
    <row r="2927" spans="12:15" x14ac:dyDescent="0.25">
      <c r="L2927">
        <f t="shared" si="184"/>
        <v>0</v>
      </c>
      <c r="M2927">
        <f t="shared" si="185"/>
        <v>1</v>
      </c>
      <c r="N2927">
        <f t="shared" si="186"/>
        <v>0</v>
      </c>
      <c r="O2927" t="str">
        <f t="shared" si="187"/>
        <v>Proposta Ok</v>
      </c>
    </row>
    <row r="2928" spans="12:15" x14ac:dyDescent="0.25">
      <c r="L2928">
        <f t="shared" si="184"/>
        <v>0</v>
      </c>
      <c r="M2928">
        <f t="shared" si="185"/>
        <v>1</v>
      </c>
      <c r="N2928">
        <f t="shared" si="186"/>
        <v>0</v>
      </c>
      <c r="O2928" t="str">
        <f t="shared" si="187"/>
        <v>Proposta Ok</v>
      </c>
    </row>
    <row r="2929" spans="12:15" x14ac:dyDescent="0.25">
      <c r="L2929">
        <f t="shared" si="184"/>
        <v>0</v>
      </c>
      <c r="M2929">
        <f t="shared" si="185"/>
        <v>1</v>
      </c>
      <c r="N2929">
        <f t="shared" si="186"/>
        <v>0</v>
      </c>
      <c r="O2929" t="str">
        <f t="shared" si="187"/>
        <v>Proposta Ok</v>
      </c>
    </row>
    <row r="2930" spans="12:15" x14ac:dyDescent="0.25">
      <c r="L2930">
        <f t="shared" si="184"/>
        <v>0</v>
      </c>
      <c r="M2930">
        <f t="shared" si="185"/>
        <v>1</v>
      </c>
      <c r="N2930">
        <f t="shared" si="186"/>
        <v>0</v>
      </c>
      <c r="O2930" t="str">
        <f t="shared" si="187"/>
        <v>Proposta Ok</v>
      </c>
    </row>
    <row r="2931" spans="12:15" x14ac:dyDescent="0.25">
      <c r="L2931">
        <f t="shared" si="184"/>
        <v>0</v>
      </c>
      <c r="M2931">
        <f t="shared" si="185"/>
        <v>1</v>
      </c>
      <c r="N2931">
        <f t="shared" si="186"/>
        <v>0</v>
      </c>
      <c r="O2931" t="str">
        <f t="shared" si="187"/>
        <v>Proposta Ok</v>
      </c>
    </row>
    <row r="2932" spans="12:15" x14ac:dyDescent="0.25">
      <c r="L2932">
        <f t="shared" si="184"/>
        <v>0</v>
      </c>
      <c r="M2932">
        <f t="shared" si="185"/>
        <v>1</v>
      </c>
      <c r="N2932">
        <f t="shared" si="186"/>
        <v>0</v>
      </c>
      <c r="O2932" t="str">
        <f t="shared" si="187"/>
        <v>Proposta Ok</v>
      </c>
    </row>
    <row r="2933" spans="12:15" x14ac:dyDescent="0.25">
      <c r="L2933">
        <f t="shared" si="184"/>
        <v>0</v>
      </c>
      <c r="M2933">
        <f t="shared" si="185"/>
        <v>1</v>
      </c>
      <c r="N2933">
        <f t="shared" si="186"/>
        <v>0</v>
      </c>
      <c r="O2933" t="str">
        <f t="shared" si="187"/>
        <v>Proposta Ok</v>
      </c>
    </row>
    <row r="2934" spans="12:15" x14ac:dyDescent="0.25">
      <c r="L2934">
        <f t="shared" si="184"/>
        <v>0</v>
      </c>
      <c r="M2934">
        <f t="shared" si="185"/>
        <v>1</v>
      </c>
      <c r="N2934">
        <f t="shared" si="186"/>
        <v>0</v>
      </c>
      <c r="O2934" t="str">
        <f t="shared" si="187"/>
        <v>Proposta Ok</v>
      </c>
    </row>
    <row r="2935" spans="12:15" x14ac:dyDescent="0.25">
      <c r="L2935">
        <f t="shared" si="184"/>
        <v>0</v>
      </c>
      <c r="M2935">
        <f t="shared" si="185"/>
        <v>1</v>
      </c>
      <c r="N2935">
        <f t="shared" si="186"/>
        <v>0</v>
      </c>
      <c r="O2935" t="str">
        <f t="shared" si="187"/>
        <v>Proposta Ok</v>
      </c>
    </row>
    <row r="2936" spans="12:15" x14ac:dyDescent="0.25">
      <c r="L2936">
        <f t="shared" si="184"/>
        <v>0</v>
      </c>
      <c r="M2936">
        <f t="shared" si="185"/>
        <v>1</v>
      </c>
      <c r="N2936">
        <f t="shared" si="186"/>
        <v>0</v>
      </c>
      <c r="O2936" t="str">
        <f t="shared" si="187"/>
        <v>Proposta Ok</v>
      </c>
    </row>
    <row r="2937" spans="12:15" x14ac:dyDescent="0.25">
      <c r="L2937">
        <f t="shared" si="184"/>
        <v>0</v>
      </c>
      <c r="M2937">
        <f t="shared" si="185"/>
        <v>1</v>
      </c>
      <c r="N2937">
        <f t="shared" si="186"/>
        <v>0</v>
      </c>
      <c r="O2937" t="str">
        <f t="shared" si="187"/>
        <v>Proposta Ok</v>
      </c>
    </row>
    <row r="2938" spans="12:15" x14ac:dyDescent="0.25">
      <c r="L2938">
        <f t="shared" si="184"/>
        <v>0</v>
      </c>
      <c r="M2938">
        <f t="shared" si="185"/>
        <v>1</v>
      </c>
      <c r="N2938">
        <f t="shared" si="186"/>
        <v>0</v>
      </c>
      <c r="O2938" t="str">
        <f t="shared" si="187"/>
        <v>Proposta Ok</v>
      </c>
    </row>
    <row r="2939" spans="12:15" x14ac:dyDescent="0.25">
      <c r="L2939">
        <f t="shared" si="184"/>
        <v>0</v>
      </c>
      <c r="M2939">
        <f t="shared" si="185"/>
        <v>1</v>
      </c>
      <c r="N2939">
        <f t="shared" si="186"/>
        <v>0</v>
      </c>
      <c r="O2939" t="str">
        <f t="shared" si="187"/>
        <v>Proposta Ok</v>
      </c>
    </row>
    <row r="2940" spans="12:15" x14ac:dyDescent="0.25">
      <c r="L2940">
        <f t="shared" si="184"/>
        <v>0</v>
      </c>
      <c r="M2940">
        <f t="shared" si="185"/>
        <v>1</v>
      </c>
      <c r="N2940">
        <f t="shared" si="186"/>
        <v>0</v>
      </c>
      <c r="O2940" t="str">
        <f t="shared" si="187"/>
        <v>Proposta Ok</v>
      </c>
    </row>
    <row r="2941" spans="12:15" x14ac:dyDescent="0.25">
      <c r="L2941">
        <f t="shared" si="184"/>
        <v>0</v>
      </c>
      <c r="M2941">
        <f t="shared" si="185"/>
        <v>1</v>
      </c>
      <c r="N2941">
        <f t="shared" si="186"/>
        <v>0</v>
      </c>
      <c r="O2941" t="str">
        <f t="shared" si="187"/>
        <v>Proposta Ok</v>
      </c>
    </row>
    <row r="2942" spans="12:15" x14ac:dyDescent="0.25">
      <c r="L2942">
        <f t="shared" si="184"/>
        <v>0</v>
      </c>
      <c r="M2942">
        <f t="shared" si="185"/>
        <v>1</v>
      </c>
      <c r="N2942">
        <f t="shared" si="186"/>
        <v>0</v>
      </c>
      <c r="O2942" t="str">
        <f t="shared" si="187"/>
        <v>Proposta Ok</v>
      </c>
    </row>
    <row r="2943" spans="12:15" x14ac:dyDescent="0.25">
      <c r="L2943">
        <f t="shared" si="184"/>
        <v>0</v>
      </c>
      <c r="M2943">
        <f t="shared" si="185"/>
        <v>1</v>
      </c>
      <c r="N2943">
        <f t="shared" si="186"/>
        <v>0</v>
      </c>
      <c r="O2943" t="str">
        <f t="shared" si="187"/>
        <v>Proposta Ok</v>
      </c>
    </row>
    <row r="2944" spans="12:15" x14ac:dyDescent="0.25">
      <c r="L2944">
        <f t="shared" si="184"/>
        <v>0</v>
      </c>
      <c r="M2944">
        <f t="shared" si="185"/>
        <v>1</v>
      </c>
      <c r="N2944">
        <f t="shared" si="186"/>
        <v>0</v>
      </c>
      <c r="O2944" t="str">
        <f t="shared" si="187"/>
        <v>Proposta Ok</v>
      </c>
    </row>
    <row r="2945" spans="12:15" x14ac:dyDescent="0.25">
      <c r="L2945">
        <f t="shared" si="184"/>
        <v>0</v>
      </c>
      <c r="M2945">
        <f t="shared" si="185"/>
        <v>1</v>
      </c>
      <c r="N2945">
        <f t="shared" si="186"/>
        <v>0</v>
      </c>
      <c r="O2945" t="str">
        <f t="shared" si="187"/>
        <v>Proposta Ok</v>
      </c>
    </row>
    <row r="2946" spans="12:15" x14ac:dyDescent="0.25">
      <c r="L2946">
        <f t="shared" si="184"/>
        <v>0</v>
      </c>
      <c r="M2946">
        <f t="shared" si="185"/>
        <v>1</v>
      </c>
      <c r="N2946">
        <f t="shared" si="186"/>
        <v>0</v>
      </c>
      <c r="O2946" t="str">
        <f t="shared" si="187"/>
        <v>Proposta Ok</v>
      </c>
    </row>
    <row r="2947" spans="12:15" x14ac:dyDescent="0.25">
      <c r="L2947">
        <f t="shared" si="184"/>
        <v>0</v>
      </c>
      <c r="M2947">
        <f t="shared" si="185"/>
        <v>1</v>
      </c>
      <c r="N2947">
        <f t="shared" si="186"/>
        <v>0</v>
      </c>
      <c r="O2947" t="str">
        <f t="shared" si="187"/>
        <v>Proposta Ok</v>
      </c>
    </row>
    <row r="2948" spans="12:15" x14ac:dyDescent="0.25">
      <c r="L2948">
        <f t="shared" si="184"/>
        <v>0</v>
      </c>
      <c r="M2948">
        <f t="shared" si="185"/>
        <v>1</v>
      </c>
      <c r="N2948">
        <f t="shared" si="186"/>
        <v>0</v>
      </c>
      <c r="O2948" t="str">
        <f t="shared" si="187"/>
        <v>Proposta Ok</v>
      </c>
    </row>
    <row r="2949" spans="12:15" x14ac:dyDescent="0.25">
      <c r="L2949">
        <f t="shared" si="184"/>
        <v>0</v>
      </c>
      <c r="M2949">
        <f t="shared" si="185"/>
        <v>1</v>
      </c>
      <c r="N2949">
        <f t="shared" si="186"/>
        <v>0</v>
      </c>
      <c r="O2949" t="str">
        <f t="shared" si="187"/>
        <v>Proposta Ok</v>
      </c>
    </row>
    <row r="2950" spans="12:15" x14ac:dyDescent="0.25">
      <c r="L2950">
        <f t="shared" si="184"/>
        <v>0</v>
      </c>
      <c r="M2950">
        <f t="shared" si="185"/>
        <v>1</v>
      </c>
      <c r="N2950">
        <f t="shared" si="186"/>
        <v>0</v>
      </c>
      <c r="O2950" t="str">
        <f t="shared" si="187"/>
        <v>Proposta Ok</v>
      </c>
    </row>
    <row r="2951" spans="12:15" x14ac:dyDescent="0.25">
      <c r="L2951">
        <f t="shared" si="184"/>
        <v>0</v>
      </c>
      <c r="M2951">
        <f t="shared" si="185"/>
        <v>1</v>
      </c>
      <c r="N2951">
        <f t="shared" si="186"/>
        <v>0</v>
      </c>
      <c r="O2951" t="str">
        <f t="shared" si="187"/>
        <v>Proposta Ok</v>
      </c>
    </row>
    <row r="2952" spans="12:15" x14ac:dyDescent="0.25">
      <c r="L2952">
        <f t="shared" si="184"/>
        <v>0</v>
      </c>
      <c r="M2952">
        <f t="shared" si="185"/>
        <v>1</v>
      </c>
      <c r="N2952">
        <f t="shared" si="186"/>
        <v>0</v>
      </c>
      <c r="O2952" t="str">
        <f t="shared" si="187"/>
        <v>Proposta Ok</v>
      </c>
    </row>
    <row r="2953" spans="12:15" x14ac:dyDescent="0.25">
      <c r="L2953">
        <f t="shared" si="184"/>
        <v>0</v>
      </c>
      <c r="M2953">
        <f t="shared" si="185"/>
        <v>1</v>
      </c>
      <c r="N2953">
        <f t="shared" si="186"/>
        <v>0</v>
      </c>
      <c r="O2953" t="str">
        <f t="shared" si="187"/>
        <v>Proposta Ok</v>
      </c>
    </row>
    <row r="2954" spans="12:15" x14ac:dyDescent="0.25">
      <c r="L2954">
        <f t="shared" si="184"/>
        <v>0</v>
      </c>
      <c r="M2954">
        <f t="shared" si="185"/>
        <v>1</v>
      </c>
      <c r="N2954">
        <f t="shared" si="186"/>
        <v>0</v>
      </c>
      <c r="O2954" t="str">
        <f t="shared" si="187"/>
        <v>Proposta Ok</v>
      </c>
    </row>
    <row r="2955" spans="12:15" x14ac:dyDescent="0.25">
      <c r="L2955">
        <f t="shared" si="184"/>
        <v>0</v>
      </c>
      <c r="M2955">
        <f t="shared" si="185"/>
        <v>1</v>
      </c>
      <c r="N2955">
        <f t="shared" si="186"/>
        <v>0</v>
      </c>
      <c r="O2955" t="str">
        <f t="shared" si="187"/>
        <v>Proposta Ok</v>
      </c>
    </row>
    <row r="2956" spans="12:15" x14ac:dyDescent="0.25">
      <c r="L2956">
        <f t="shared" si="184"/>
        <v>0</v>
      </c>
      <c r="M2956">
        <f t="shared" si="185"/>
        <v>1</v>
      </c>
      <c r="N2956">
        <f t="shared" si="186"/>
        <v>0</v>
      </c>
      <c r="O2956" t="str">
        <f t="shared" si="187"/>
        <v>Proposta Ok</v>
      </c>
    </row>
    <row r="2957" spans="12:15" x14ac:dyDescent="0.25">
      <c r="L2957">
        <f t="shared" si="184"/>
        <v>0</v>
      </c>
      <c r="M2957">
        <f t="shared" si="185"/>
        <v>1</v>
      </c>
      <c r="N2957">
        <f t="shared" si="186"/>
        <v>0</v>
      </c>
      <c r="O2957" t="str">
        <f t="shared" si="187"/>
        <v>Proposta Ok</v>
      </c>
    </row>
    <row r="2958" spans="12:15" x14ac:dyDescent="0.25">
      <c r="L2958">
        <f t="shared" si="184"/>
        <v>0</v>
      </c>
      <c r="M2958">
        <f t="shared" si="185"/>
        <v>1</v>
      </c>
      <c r="N2958">
        <f t="shared" si="186"/>
        <v>0</v>
      </c>
      <c r="O2958" t="str">
        <f t="shared" si="187"/>
        <v>Proposta Ok</v>
      </c>
    </row>
    <row r="2959" spans="12:15" x14ac:dyDescent="0.25">
      <c r="L2959">
        <f t="shared" si="184"/>
        <v>0</v>
      </c>
      <c r="M2959">
        <f t="shared" si="185"/>
        <v>1</v>
      </c>
      <c r="N2959">
        <f t="shared" si="186"/>
        <v>0</v>
      </c>
      <c r="O2959" t="str">
        <f t="shared" si="187"/>
        <v>Proposta Ok</v>
      </c>
    </row>
    <row r="2960" spans="12:15" x14ac:dyDescent="0.25">
      <c r="L2960">
        <f t="shared" si="184"/>
        <v>0</v>
      </c>
      <c r="M2960">
        <f t="shared" si="185"/>
        <v>1</v>
      </c>
      <c r="N2960">
        <f t="shared" si="186"/>
        <v>0</v>
      </c>
      <c r="O2960" t="str">
        <f t="shared" si="187"/>
        <v>Proposta Ok</v>
      </c>
    </row>
    <row r="2961" spans="12:15" x14ac:dyDescent="0.25">
      <c r="L2961">
        <f t="shared" si="184"/>
        <v>0</v>
      </c>
      <c r="M2961">
        <f t="shared" si="185"/>
        <v>1</v>
      </c>
      <c r="N2961">
        <f t="shared" si="186"/>
        <v>0</v>
      </c>
      <c r="O2961" t="str">
        <f t="shared" si="187"/>
        <v>Proposta Ok</v>
      </c>
    </row>
    <row r="2962" spans="12:15" x14ac:dyDescent="0.25">
      <c r="L2962">
        <f t="shared" si="184"/>
        <v>0</v>
      </c>
      <c r="M2962">
        <f t="shared" si="185"/>
        <v>1</v>
      </c>
      <c r="N2962">
        <f t="shared" si="186"/>
        <v>0</v>
      </c>
      <c r="O2962" t="str">
        <f t="shared" si="187"/>
        <v>Proposta Ok</v>
      </c>
    </row>
    <row r="2963" spans="12:15" x14ac:dyDescent="0.25">
      <c r="L2963">
        <f t="shared" si="184"/>
        <v>0</v>
      </c>
      <c r="M2963">
        <f t="shared" si="185"/>
        <v>1</v>
      </c>
      <c r="N2963">
        <f t="shared" si="186"/>
        <v>0</v>
      </c>
      <c r="O2963" t="str">
        <f t="shared" si="187"/>
        <v>Proposta Ok</v>
      </c>
    </row>
    <row r="2964" spans="12:15" x14ac:dyDescent="0.25">
      <c r="L2964">
        <f t="shared" si="184"/>
        <v>0</v>
      </c>
      <c r="M2964">
        <f t="shared" si="185"/>
        <v>1</v>
      </c>
      <c r="N2964">
        <f t="shared" si="186"/>
        <v>0</v>
      </c>
      <c r="O2964" t="str">
        <f t="shared" si="187"/>
        <v>Proposta Ok</v>
      </c>
    </row>
    <row r="2965" spans="12:15" x14ac:dyDescent="0.25">
      <c r="L2965">
        <f t="shared" si="184"/>
        <v>0</v>
      </c>
      <c r="M2965">
        <f t="shared" si="185"/>
        <v>1</v>
      </c>
      <c r="N2965">
        <f t="shared" si="186"/>
        <v>0</v>
      </c>
      <c r="O2965" t="str">
        <f t="shared" si="187"/>
        <v>Proposta Ok</v>
      </c>
    </row>
    <row r="2966" spans="12:15" x14ac:dyDescent="0.25">
      <c r="L2966">
        <f t="shared" si="184"/>
        <v>0</v>
      </c>
      <c r="M2966">
        <f t="shared" si="185"/>
        <v>1</v>
      </c>
      <c r="N2966">
        <f t="shared" si="186"/>
        <v>0</v>
      </c>
      <c r="O2966" t="str">
        <f t="shared" si="187"/>
        <v>Proposta Ok</v>
      </c>
    </row>
    <row r="2967" spans="12:15" x14ac:dyDescent="0.25">
      <c r="L2967">
        <f t="shared" si="184"/>
        <v>0</v>
      </c>
      <c r="M2967">
        <f t="shared" si="185"/>
        <v>1</v>
      </c>
      <c r="N2967">
        <f t="shared" si="186"/>
        <v>0</v>
      </c>
      <c r="O2967" t="str">
        <f t="shared" si="187"/>
        <v>Proposta Ok</v>
      </c>
    </row>
    <row r="2968" spans="12:15" x14ac:dyDescent="0.25">
      <c r="L2968">
        <f t="shared" si="184"/>
        <v>0</v>
      </c>
      <c r="M2968">
        <f t="shared" si="185"/>
        <v>1</v>
      </c>
      <c r="N2968">
        <f t="shared" si="186"/>
        <v>0</v>
      </c>
      <c r="O2968" t="str">
        <f t="shared" si="187"/>
        <v>Proposta Ok</v>
      </c>
    </row>
    <row r="2969" spans="12:15" x14ac:dyDescent="0.25">
      <c r="L2969">
        <f t="shared" si="184"/>
        <v>0</v>
      </c>
      <c r="M2969">
        <f t="shared" si="185"/>
        <v>1</v>
      </c>
      <c r="N2969">
        <f t="shared" si="186"/>
        <v>0</v>
      </c>
      <c r="O2969" t="str">
        <f t="shared" si="187"/>
        <v>Proposta Ok</v>
      </c>
    </row>
    <row r="2970" spans="12:15" x14ac:dyDescent="0.25">
      <c r="L2970">
        <f t="shared" si="184"/>
        <v>0</v>
      </c>
      <c r="M2970">
        <f t="shared" si="185"/>
        <v>1</v>
      </c>
      <c r="N2970">
        <f t="shared" si="186"/>
        <v>0</v>
      </c>
      <c r="O2970" t="str">
        <f t="shared" si="187"/>
        <v>Proposta Ok</v>
      </c>
    </row>
    <row r="2971" spans="12:15" x14ac:dyDescent="0.25">
      <c r="L2971">
        <f t="shared" ref="L2971:L3034" si="188">IF(OR(I2971="Termo OK (Exceção)",I2971="Termo OK"),1,0)</f>
        <v>0</v>
      </c>
      <c r="M2971">
        <f t="shared" ref="M2971:M3034" si="189">IF(OR(I2971="Termo OK (Exceção)",I2971="Termo OK"),0,1)</f>
        <v>1</v>
      </c>
      <c r="N2971">
        <f t="shared" ref="N2971:N3034" si="190">IF(J2971="SIM",1,0)</f>
        <v>0</v>
      </c>
      <c r="O2971" t="str">
        <f t="shared" ref="O2971:O3034" si="191">IF(SUMIFS(M:M,A:A,A2971)&gt;0,"Proposta não Ok","Proposta Ok")</f>
        <v>Proposta Ok</v>
      </c>
    </row>
    <row r="2972" spans="12:15" x14ac:dyDescent="0.25">
      <c r="L2972">
        <f t="shared" si="188"/>
        <v>0</v>
      </c>
      <c r="M2972">
        <f t="shared" si="189"/>
        <v>1</v>
      </c>
      <c r="N2972">
        <f t="shared" si="190"/>
        <v>0</v>
      </c>
      <c r="O2972" t="str">
        <f t="shared" si="191"/>
        <v>Proposta Ok</v>
      </c>
    </row>
    <row r="2973" spans="12:15" x14ac:dyDescent="0.25">
      <c r="L2973">
        <f t="shared" si="188"/>
        <v>0</v>
      </c>
      <c r="M2973">
        <f t="shared" si="189"/>
        <v>1</v>
      </c>
      <c r="N2973">
        <f t="shared" si="190"/>
        <v>0</v>
      </c>
      <c r="O2973" t="str">
        <f t="shared" si="191"/>
        <v>Proposta Ok</v>
      </c>
    </row>
    <row r="2974" spans="12:15" x14ac:dyDescent="0.25">
      <c r="L2974">
        <f t="shared" si="188"/>
        <v>0</v>
      </c>
      <c r="M2974">
        <f t="shared" si="189"/>
        <v>1</v>
      </c>
      <c r="N2974">
        <f t="shared" si="190"/>
        <v>0</v>
      </c>
      <c r="O2974" t="str">
        <f t="shared" si="191"/>
        <v>Proposta Ok</v>
      </c>
    </row>
    <row r="2975" spans="12:15" x14ac:dyDescent="0.25">
      <c r="L2975">
        <f t="shared" si="188"/>
        <v>0</v>
      </c>
      <c r="M2975">
        <f t="shared" si="189"/>
        <v>1</v>
      </c>
      <c r="N2975">
        <f t="shared" si="190"/>
        <v>0</v>
      </c>
      <c r="O2975" t="str">
        <f t="shared" si="191"/>
        <v>Proposta Ok</v>
      </c>
    </row>
    <row r="2976" spans="12:15" x14ac:dyDescent="0.25">
      <c r="L2976">
        <f t="shared" si="188"/>
        <v>0</v>
      </c>
      <c r="M2976">
        <f t="shared" si="189"/>
        <v>1</v>
      </c>
      <c r="N2976">
        <f t="shared" si="190"/>
        <v>0</v>
      </c>
      <c r="O2976" t="str">
        <f t="shared" si="191"/>
        <v>Proposta Ok</v>
      </c>
    </row>
    <row r="2977" spans="12:15" x14ac:dyDescent="0.25">
      <c r="L2977">
        <f t="shared" si="188"/>
        <v>0</v>
      </c>
      <c r="M2977">
        <f t="shared" si="189"/>
        <v>1</v>
      </c>
      <c r="N2977">
        <f t="shared" si="190"/>
        <v>0</v>
      </c>
      <c r="O2977" t="str">
        <f t="shared" si="191"/>
        <v>Proposta Ok</v>
      </c>
    </row>
    <row r="2978" spans="12:15" x14ac:dyDescent="0.25">
      <c r="L2978">
        <f t="shared" si="188"/>
        <v>0</v>
      </c>
      <c r="M2978">
        <f t="shared" si="189"/>
        <v>1</v>
      </c>
      <c r="N2978">
        <f t="shared" si="190"/>
        <v>0</v>
      </c>
      <c r="O2978" t="str">
        <f t="shared" si="191"/>
        <v>Proposta Ok</v>
      </c>
    </row>
    <row r="2979" spans="12:15" x14ac:dyDescent="0.25">
      <c r="L2979">
        <f t="shared" si="188"/>
        <v>0</v>
      </c>
      <c r="M2979">
        <f t="shared" si="189"/>
        <v>1</v>
      </c>
      <c r="N2979">
        <f t="shared" si="190"/>
        <v>0</v>
      </c>
      <c r="O2979" t="str">
        <f t="shared" si="191"/>
        <v>Proposta Ok</v>
      </c>
    </row>
    <row r="2980" spans="12:15" x14ac:dyDescent="0.25">
      <c r="L2980">
        <f t="shared" si="188"/>
        <v>0</v>
      </c>
      <c r="M2980">
        <f t="shared" si="189"/>
        <v>1</v>
      </c>
      <c r="N2980">
        <f t="shared" si="190"/>
        <v>0</v>
      </c>
      <c r="O2980" t="str">
        <f t="shared" si="191"/>
        <v>Proposta Ok</v>
      </c>
    </row>
    <row r="2981" spans="12:15" x14ac:dyDescent="0.25">
      <c r="L2981">
        <f t="shared" si="188"/>
        <v>0</v>
      </c>
      <c r="M2981">
        <f t="shared" si="189"/>
        <v>1</v>
      </c>
      <c r="N2981">
        <f t="shared" si="190"/>
        <v>0</v>
      </c>
      <c r="O2981" t="str">
        <f t="shared" si="191"/>
        <v>Proposta Ok</v>
      </c>
    </row>
    <row r="2982" spans="12:15" x14ac:dyDescent="0.25">
      <c r="L2982">
        <f t="shared" si="188"/>
        <v>0</v>
      </c>
      <c r="M2982">
        <f t="shared" si="189"/>
        <v>1</v>
      </c>
      <c r="N2982">
        <f t="shared" si="190"/>
        <v>0</v>
      </c>
      <c r="O2982" t="str">
        <f t="shared" si="191"/>
        <v>Proposta Ok</v>
      </c>
    </row>
    <row r="2983" spans="12:15" x14ac:dyDescent="0.25">
      <c r="L2983">
        <f t="shared" si="188"/>
        <v>0</v>
      </c>
      <c r="M2983">
        <f t="shared" si="189"/>
        <v>1</v>
      </c>
      <c r="N2983">
        <f t="shared" si="190"/>
        <v>0</v>
      </c>
      <c r="O2983" t="str">
        <f t="shared" si="191"/>
        <v>Proposta Ok</v>
      </c>
    </row>
    <row r="2984" spans="12:15" x14ac:dyDescent="0.25">
      <c r="L2984">
        <f t="shared" si="188"/>
        <v>0</v>
      </c>
      <c r="M2984">
        <f t="shared" si="189"/>
        <v>1</v>
      </c>
      <c r="N2984">
        <f t="shared" si="190"/>
        <v>0</v>
      </c>
      <c r="O2984" t="str">
        <f t="shared" si="191"/>
        <v>Proposta Ok</v>
      </c>
    </row>
    <row r="2985" spans="12:15" x14ac:dyDescent="0.25">
      <c r="L2985">
        <f t="shared" si="188"/>
        <v>0</v>
      </c>
      <c r="M2985">
        <f t="shared" si="189"/>
        <v>1</v>
      </c>
      <c r="N2985">
        <f t="shared" si="190"/>
        <v>0</v>
      </c>
      <c r="O2985" t="str">
        <f t="shared" si="191"/>
        <v>Proposta Ok</v>
      </c>
    </row>
    <row r="2986" spans="12:15" x14ac:dyDescent="0.25">
      <c r="L2986">
        <f t="shared" si="188"/>
        <v>0</v>
      </c>
      <c r="M2986">
        <f t="shared" si="189"/>
        <v>1</v>
      </c>
      <c r="N2986">
        <f t="shared" si="190"/>
        <v>0</v>
      </c>
      <c r="O2986" t="str">
        <f t="shared" si="191"/>
        <v>Proposta Ok</v>
      </c>
    </row>
    <row r="2987" spans="12:15" x14ac:dyDescent="0.25">
      <c r="L2987">
        <f t="shared" si="188"/>
        <v>0</v>
      </c>
      <c r="M2987">
        <f t="shared" si="189"/>
        <v>1</v>
      </c>
      <c r="N2987">
        <f t="shared" si="190"/>
        <v>0</v>
      </c>
      <c r="O2987" t="str">
        <f t="shared" si="191"/>
        <v>Proposta Ok</v>
      </c>
    </row>
    <row r="2988" spans="12:15" x14ac:dyDescent="0.25">
      <c r="L2988">
        <f t="shared" si="188"/>
        <v>0</v>
      </c>
      <c r="M2988">
        <f t="shared" si="189"/>
        <v>1</v>
      </c>
      <c r="N2988">
        <f t="shared" si="190"/>
        <v>0</v>
      </c>
      <c r="O2988" t="str">
        <f t="shared" si="191"/>
        <v>Proposta Ok</v>
      </c>
    </row>
    <row r="2989" spans="12:15" x14ac:dyDescent="0.25">
      <c r="L2989">
        <f t="shared" si="188"/>
        <v>0</v>
      </c>
      <c r="M2989">
        <f t="shared" si="189"/>
        <v>1</v>
      </c>
      <c r="N2989">
        <f t="shared" si="190"/>
        <v>0</v>
      </c>
      <c r="O2989" t="str">
        <f t="shared" si="191"/>
        <v>Proposta Ok</v>
      </c>
    </row>
    <row r="2990" spans="12:15" x14ac:dyDescent="0.25">
      <c r="L2990">
        <f t="shared" si="188"/>
        <v>0</v>
      </c>
      <c r="M2990">
        <f t="shared" si="189"/>
        <v>1</v>
      </c>
      <c r="N2990">
        <f t="shared" si="190"/>
        <v>0</v>
      </c>
      <c r="O2990" t="str">
        <f t="shared" si="191"/>
        <v>Proposta Ok</v>
      </c>
    </row>
    <row r="2991" spans="12:15" x14ac:dyDescent="0.25">
      <c r="L2991">
        <f t="shared" si="188"/>
        <v>0</v>
      </c>
      <c r="M2991">
        <f t="shared" si="189"/>
        <v>1</v>
      </c>
      <c r="N2991">
        <f t="shared" si="190"/>
        <v>0</v>
      </c>
      <c r="O2991" t="str">
        <f t="shared" si="191"/>
        <v>Proposta Ok</v>
      </c>
    </row>
    <row r="2992" spans="12:15" x14ac:dyDescent="0.25">
      <c r="L2992">
        <f t="shared" si="188"/>
        <v>0</v>
      </c>
      <c r="M2992">
        <f t="shared" si="189"/>
        <v>1</v>
      </c>
      <c r="N2992">
        <f t="shared" si="190"/>
        <v>0</v>
      </c>
      <c r="O2992" t="str">
        <f t="shared" si="191"/>
        <v>Proposta Ok</v>
      </c>
    </row>
    <row r="2993" spans="12:15" x14ac:dyDescent="0.25">
      <c r="L2993">
        <f t="shared" si="188"/>
        <v>0</v>
      </c>
      <c r="M2993">
        <f t="shared" si="189"/>
        <v>1</v>
      </c>
      <c r="N2993">
        <f t="shared" si="190"/>
        <v>0</v>
      </c>
      <c r="O2993" t="str">
        <f t="shared" si="191"/>
        <v>Proposta Ok</v>
      </c>
    </row>
    <row r="2994" spans="12:15" x14ac:dyDescent="0.25">
      <c r="L2994">
        <f t="shared" si="188"/>
        <v>0</v>
      </c>
      <c r="M2994">
        <f t="shared" si="189"/>
        <v>1</v>
      </c>
      <c r="N2994">
        <f t="shared" si="190"/>
        <v>0</v>
      </c>
      <c r="O2994" t="str">
        <f t="shared" si="191"/>
        <v>Proposta Ok</v>
      </c>
    </row>
    <row r="2995" spans="12:15" x14ac:dyDescent="0.25">
      <c r="L2995">
        <f t="shared" si="188"/>
        <v>0</v>
      </c>
      <c r="M2995">
        <f t="shared" si="189"/>
        <v>1</v>
      </c>
      <c r="N2995">
        <f t="shared" si="190"/>
        <v>0</v>
      </c>
      <c r="O2995" t="str">
        <f t="shared" si="191"/>
        <v>Proposta Ok</v>
      </c>
    </row>
    <row r="2996" spans="12:15" x14ac:dyDescent="0.25">
      <c r="L2996">
        <f t="shared" si="188"/>
        <v>0</v>
      </c>
      <c r="M2996">
        <f t="shared" si="189"/>
        <v>1</v>
      </c>
      <c r="N2996">
        <f t="shared" si="190"/>
        <v>0</v>
      </c>
      <c r="O2996" t="str">
        <f t="shared" si="191"/>
        <v>Proposta Ok</v>
      </c>
    </row>
    <row r="2997" spans="12:15" x14ac:dyDescent="0.25">
      <c r="L2997">
        <f t="shared" si="188"/>
        <v>0</v>
      </c>
      <c r="M2997">
        <f t="shared" si="189"/>
        <v>1</v>
      </c>
      <c r="N2997">
        <f t="shared" si="190"/>
        <v>0</v>
      </c>
      <c r="O2997" t="str">
        <f t="shared" si="191"/>
        <v>Proposta Ok</v>
      </c>
    </row>
    <row r="2998" spans="12:15" x14ac:dyDescent="0.25">
      <c r="L2998">
        <f t="shared" si="188"/>
        <v>0</v>
      </c>
      <c r="M2998">
        <f t="shared" si="189"/>
        <v>1</v>
      </c>
      <c r="N2998">
        <f t="shared" si="190"/>
        <v>0</v>
      </c>
      <c r="O2998" t="str">
        <f t="shared" si="191"/>
        <v>Proposta Ok</v>
      </c>
    </row>
    <row r="2999" spans="12:15" x14ac:dyDescent="0.25">
      <c r="L2999">
        <f t="shared" si="188"/>
        <v>0</v>
      </c>
      <c r="M2999">
        <f t="shared" si="189"/>
        <v>1</v>
      </c>
      <c r="N2999">
        <f t="shared" si="190"/>
        <v>0</v>
      </c>
      <c r="O2999" t="str">
        <f t="shared" si="191"/>
        <v>Proposta Ok</v>
      </c>
    </row>
    <row r="3000" spans="12:15" x14ac:dyDescent="0.25">
      <c r="L3000">
        <f t="shared" si="188"/>
        <v>0</v>
      </c>
      <c r="M3000">
        <f t="shared" si="189"/>
        <v>1</v>
      </c>
      <c r="N3000">
        <f t="shared" si="190"/>
        <v>0</v>
      </c>
      <c r="O3000" t="str">
        <f t="shared" si="191"/>
        <v>Proposta Ok</v>
      </c>
    </row>
    <row r="3001" spans="12:15" x14ac:dyDescent="0.25">
      <c r="L3001">
        <f t="shared" si="188"/>
        <v>0</v>
      </c>
      <c r="M3001">
        <f t="shared" si="189"/>
        <v>1</v>
      </c>
      <c r="N3001">
        <f t="shared" si="190"/>
        <v>0</v>
      </c>
      <c r="O3001" t="str">
        <f t="shared" si="191"/>
        <v>Proposta Ok</v>
      </c>
    </row>
    <row r="3002" spans="12:15" x14ac:dyDescent="0.25">
      <c r="L3002">
        <f t="shared" si="188"/>
        <v>0</v>
      </c>
      <c r="M3002">
        <f t="shared" si="189"/>
        <v>1</v>
      </c>
      <c r="N3002">
        <f t="shared" si="190"/>
        <v>0</v>
      </c>
      <c r="O3002" t="str">
        <f t="shared" si="191"/>
        <v>Proposta Ok</v>
      </c>
    </row>
    <row r="3003" spans="12:15" x14ac:dyDescent="0.25">
      <c r="L3003">
        <f t="shared" si="188"/>
        <v>0</v>
      </c>
      <c r="M3003">
        <f t="shared" si="189"/>
        <v>1</v>
      </c>
      <c r="N3003">
        <f t="shared" si="190"/>
        <v>0</v>
      </c>
      <c r="O3003" t="str">
        <f t="shared" si="191"/>
        <v>Proposta Ok</v>
      </c>
    </row>
    <row r="3004" spans="12:15" x14ac:dyDescent="0.25">
      <c r="L3004">
        <f t="shared" si="188"/>
        <v>0</v>
      </c>
      <c r="M3004">
        <f t="shared" si="189"/>
        <v>1</v>
      </c>
      <c r="N3004">
        <f t="shared" si="190"/>
        <v>0</v>
      </c>
      <c r="O3004" t="str">
        <f t="shared" si="191"/>
        <v>Proposta Ok</v>
      </c>
    </row>
    <row r="3005" spans="12:15" x14ac:dyDescent="0.25">
      <c r="L3005">
        <f t="shared" si="188"/>
        <v>0</v>
      </c>
      <c r="M3005">
        <f t="shared" si="189"/>
        <v>1</v>
      </c>
      <c r="N3005">
        <f t="shared" si="190"/>
        <v>0</v>
      </c>
      <c r="O3005" t="str">
        <f t="shared" si="191"/>
        <v>Proposta Ok</v>
      </c>
    </row>
    <row r="3006" spans="12:15" x14ac:dyDescent="0.25">
      <c r="L3006">
        <f t="shared" si="188"/>
        <v>0</v>
      </c>
      <c r="M3006">
        <f t="shared" si="189"/>
        <v>1</v>
      </c>
      <c r="N3006">
        <f t="shared" si="190"/>
        <v>0</v>
      </c>
      <c r="O3006" t="str">
        <f t="shared" si="191"/>
        <v>Proposta Ok</v>
      </c>
    </row>
    <row r="3007" spans="12:15" x14ac:dyDescent="0.25">
      <c r="L3007">
        <f t="shared" si="188"/>
        <v>0</v>
      </c>
      <c r="M3007">
        <f t="shared" si="189"/>
        <v>1</v>
      </c>
      <c r="N3007">
        <f t="shared" si="190"/>
        <v>0</v>
      </c>
      <c r="O3007" t="str">
        <f t="shared" si="191"/>
        <v>Proposta Ok</v>
      </c>
    </row>
    <row r="3008" spans="12:15" x14ac:dyDescent="0.25">
      <c r="L3008">
        <f t="shared" si="188"/>
        <v>0</v>
      </c>
      <c r="M3008">
        <f t="shared" si="189"/>
        <v>1</v>
      </c>
      <c r="N3008">
        <f t="shared" si="190"/>
        <v>0</v>
      </c>
      <c r="O3008" t="str">
        <f t="shared" si="191"/>
        <v>Proposta Ok</v>
      </c>
    </row>
    <row r="3009" spans="12:15" x14ac:dyDescent="0.25">
      <c r="L3009">
        <f t="shared" si="188"/>
        <v>0</v>
      </c>
      <c r="M3009">
        <f t="shared" si="189"/>
        <v>1</v>
      </c>
      <c r="N3009">
        <f t="shared" si="190"/>
        <v>0</v>
      </c>
      <c r="O3009" t="str">
        <f t="shared" si="191"/>
        <v>Proposta Ok</v>
      </c>
    </row>
    <row r="3010" spans="12:15" x14ac:dyDescent="0.25">
      <c r="L3010">
        <f t="shared" si="188"/>
        <v>0</v>
      </c>
      <c r="M3010">
        <f t="shared" si="189"/>
        <v>1</v>
      </c>
      <c r="N3010">
        <f t="shared" si="190"/>
        <v>0</v>
      </c>
      <c r="O3010" t="str">
        <f t="shared" si="191"/>
        <v>Proposta Ok</v>
      </c>
    </row>
    <row r="3011" spans="12:15" x14ac:dyDescent="0.25">
      <c r="L3011">
        <f t="shared" si="188"/>
        <v>0</v>
      </c>
      <c r="M3011">
        <f t="shared" si="189"/>
        <v>1</v>
      </c>
      <c r="N3011">
        <f t="shared" si="190"/>
        <v>0</v>
      </c>
      <c r="O3011" t="str">
        <f t="shared" si="191"/>
        <v>Proposta Ok</v>
      </c>
    </row>
    <row r="3012" spans="12:15" x14ac:dyDescent="0.25">
      <c r="L3012">
        <f t="shared" si="188"/>
        <v>0</v>
      </c>
      <c r="M3012">
        <f t="shared" si="189"/>
        <v>1</v>
      </c>
      <c r="N3012">
        <f t="shared" si="190"/>
        <v>0</v>
      </c>
      <c r="O3012" t="str">
        <f t="shared" si="191"/>
        <v>Proposta Ok</v>
      </c>
    </row>
    <row r="3013" spans="12:15" x14ac:dyDescent="0.25">
      <c r="L3013">
        <f t="shared" si="188"/>
        <v>0</v>
      </c>
      <c r="M3013">
        <f t="shared" si="189"/>
        <v>1</v>
      </c>
      <c r="N3013">
        <f t="shared" si="190"/>
        <v>0</v>
      </c>
      <c r="O3013" t="str">
        <f t="shared" si="191"/>
        <v>Proposta Ok</v>
      </c>
    </row>
    <row r="3014" spans="12:15" x14ac:dyDescent="0.25">
      <c r="L3014">
        <f t="shared" si="188"/>
        <v>0</v>
      </c>
      <c r="M3014">
        <f t="shared" si="189"/>
        <v>1</v>
      </c>
      <c r="N3014">
        <f t="shared" si="190"/>
        <v>0</v>
      </c>
      <c r="O3014" t="str">
        <f t="shared" si="191"/>
        <v>Proposta Ok</v>
      </c>
    </row>
    <row r="3015" spans="12:15" x14ac:dyDescent="0.25">
      <c r="L3015">
        <f t="shared" si="188"/>
        <v>0</v>
      </c>
      <c r="M3015">
        <f t="shared" si="189"/>
        <v>1</v>
      </c>
      <c r="N3015">
        <f t="shared" si="190"/>
        <v>0</v>
      </c>
      <c r="O3015" t="str">
        <f t="shared" si="191"/>
        <v>Proposta Ok</v>
      </c>
    </row>
    <row r="3016" spans="12:15" x14ac:dyDescent="0.25">
      <c r="L3016">
        <f t="shared" si="188"/>
        <v>0</v>
      </c>
      <c r="M3016">
        <f t="shared" si="189"/>
        <v>1</v>
      </c>
      <c r="N3016">
        <f t="shared" si="190"/>
        <v>0</v>
      </c>
      <c r="O3016" t="str">
        <f t="shared" si="191"/>
        <v>Proposta Ok</v>
      </c>
    </row>
    <row r="3017" spans="12:15" x14ac:dyDescent="0.25">
      <c r="L3017">
        <f t="shared" si="188"/>
        <v>0</v>
      </c>
      <c r="M3017">
        <f t="shared" si="189"/>
        <v>1</v>
      </c>
      <c r="N3017">
        <f t="shared" si="190"/>
        <v>0</v>
      </c>
      <c r="O3017" t="str">
        <f t="shared" si="191"/>
        <v>Proposta Ok</v>
      </c>
    </row>
    <row r="3018" spans="12:15" x14ac:dyDescent="0.25">
      <c r="L3018">
        <f t="shared" si="188"/>
        <v>0</v>
      </c>
      <c r="M3018">
        <f t="shared" si="189"/>
        <v>1</v>
      </c>
      <c r="N3018">
        <f t="shared" si="190"/>
        <v>0</v>
      </c>
      <c r="O3018" t="str">
        <f t="shared" si="191"/>
        <v>Proposta Ok</v>
      </c>
    </row>
    <row r="3019" spans="12:15" x14ac:dyDescent="0.25">
      <c r="L3019">
        <f t="shared" si="188"/>
        <v>0</v>
      </c>
      <c r="M3019">
        <f t="shared" si="189"/>
        <v>1</v>
      </c>
      <c r="N3019">
        <f t="shared" si="190"/>
        <v>0</v>
      </c>
      <c r="O3019" t="str">
        <f t="shared" si="191"/>
        <v>Proposta Ok</v>
      </c>
    </row>
    <row r="3020" spans="12:15" x14ac:dyDescent="0.25">
      <c r="L3020">
        <f t="shared" si="188"/>
        <v>0</v>
      </c>
      <c r="M3020">
        <f t="shared" si="189"/>
        <v>1</v>
      </c>
      <c r="N3020">
        <f t="shared" si="190"/>
        <v>0</v>
      </c>
      <c r="O3020" t="str">
        <f t="shared" si="191"/>
        <v>Proposta Ok</v>
      </c>
    </row>
    <row r="3021" spans="12:15" x14ac:dyDescent="0.25">
      <c r="L3021">
        <f t="shared" si="188"/>
        <v>0</v>
      </c>
      <c r="M3021">
        <f t="shared" si="189"/>
        <v>1</v>
      </c>
      <c r="N3021">
        <f t="shared" si="190"/>
        <v>0</v>
      </c>
      <c r="O3021" t="str">
        <f t="shared" si="191"/>
        <v>Proposta Ok</v>
      </c>
    </row>
    <row r="3022" spans="12:15" x14ac:dyDescent="0.25">
      <c r="L3022">
        <f t="shared" si="188"/>
        <v>0</v>
      </c>
      <c r="M3022">
        <f t="shared" si="189"/>
        <v>1</v>
      </c>
      <c r="N3022">
        <f t="shared" si="190"/>
        <v>0</v>
      </c>
      <c r="O3022" t="str">
        <f t="shared" si="191"/>
        <v>Proposta Ok</v>
      </c>
    </row>
    <row r="3023" spans="12:15" x14ac:dyDescent="0.25">
      <c r="L3023">
        <f t="shared" si="188"/>
        <v>0</v>
      </c>
      <c r="M3023">
        <f t="shared" si="189"/>
        <v>1</v>
      </c>
      <c r="N3023">
        <f t="shared" si="190"/>
        <v>0</v>
      </c>
      <c r="O3023" t="str">
        <f t="shared" si="191"/>
        <v>Proposta Ok</v>
      </c>
    </row>
    <row r="3024" spans="12:15" x14ac:dyDescent="0.25">
      <c r="L3024">
        <f t="shared" si="188"/>
        <v>0</v>
      </c>
      <c r="M3024">
        <f t="shared" si="189"/>
        <v>1</v>
      </c>
      <c r="N3024">
        <f t="shared" si="190"/>
        <v>0</v>
      </c>
      <c r="O3024" t="str">
        <f t="shared" si="191"/>
        <v>Proposta Ok</v>
      </c>
    </row>
    <row r="3025" spans="12:15" x14ac:dyDescent="0.25">
      <c r="L3025">
        <f t="shared" si="188"/>
        <v>0</v>
      </c>
      <c r="M3025">
        <f t="shared" si="189"/>
        <v>1</v>
      </c>
      <c r="N3025">
        <f t="shared" si="190"/>
        <v>0</v>
      </c>
      <c r="O3025" t="str">
        <f t="shared" si="191"/>
        <v>Proposta Ok</v>
      </c>
    </row>
    <row r="3026" spans="12:15" x14ac:dyDescent="0.25">
      <c r="L3026">
        <f t="shared" si="188"/>
        <v>0</v>
      </c>
      <c r="M3026">
        <f t="shared" si="189"/>
        <v>1</v>
      </c>
      <c r="N3026">
        <f t="shared" si="190"/>
        <v>0</v>
      </c>
      <c r="O3026" t="str">
        <f t="shared" si="191"/>
        <v>Proposta Ok</v>
      </c>
    </row>
    <row r="3027" spans="12:15" x14ac:dyDescent="0.25">
      <c r="L3027">
        <f t="shared" si="188"/>
        <v>0</v>
      </c>
      <c r="M3027">
        <f t="shared" si="189"/>
        <v>1</v>
      </c>
      <c r="N3027">
        <f t="shared" si="190"/>
        <v>0</v>
      </c>
      <c r="O3027" t="str">
        <f t="shared" si="191"/>
        <v>Proposta Ok</v>
      </c>
    </row>
    <row r="3028" spans="12:15" x14ac:dyDescent="0.25">
      <c r="L3028">
        <f t="shared" si="188"/>
        <v>0</v>
      </c>
      <c r="M3028">
        <f t="shared" si="189"/>
        <v>1</v>
      </c>
      <c r="N3028">
        <f t="shared" si="190"/>
        <v>0</v>
      </c>
      <c r="O3028" t="str">
        <f t="shared" si="191"/>
        <v>Proposta Ok</v>
      </c>
    </row>
    <row r="3029" spans="12:15" x14ac:dyDescent="0.25">
      <c r="L3029">
        <f t="shared" si="188"/>
        <v>0</v>
      </c>
      <c r="M3029">
        <f t="shared" si="189"/>
        <v>1</v>
      </c>
      <c r="N3029">
        <f t="shared" si="190"/>
        <v>0</v>
      </c>
      <c r="O3029" t="str">
        <f t="shared" si="191"/>
        <v>Proposta Ok</v>
      </c>
    </row>
    <row r="3030" spans="12:15" x14ac:dyDescent="0.25">
      <c r="L3030">
        <f t="shared" si="188"/>
        <v>0</v>
      </c>
      <c r="M3030">
        <f t="shared" si="189"/>
        <v>1</v>
      </c>
      <c r="N3030">
        <f t="shared" si="190"/>
        <v>0</v>
      </c>
      <c r="O3030" t="str">
        <f t="shared" si="191"/>
        <v>Proposta Ok</v>
      </c>
    </row>
    <row r="3031" spans="12:15" x14ac:dyDescent="0.25">
      <c r="L3031">
        <f t="shared" si="188"/>
        <v>0</v>
      </c>
      <c r="M3031">
        <f t="shared" si="189"/>
        <v>1</v>
      </c>
      <c r="N3031">
        <f t="shared" si="190"/>
        <v>0</v>
      </c>
      <c r="O3031" t="str">
        <f t="shared" si="191"/>
        <v>Proposta Ok</v>
      </c>
    </row>
    <row r="3032" spans="12:15" x14ac:dyDescent="0.25">
      <c r="L3032">
        <f t="shared" si="188"/>
        <v>0</v>
      </c>
      <c r="M3032">
        <f t="shared" si="189"/>
        <v>1</v>
      </c>
      <c r="N3032">
        <f t="shared" si="190"/>
        <v>0</v>
      </c>
      <c r="O3032" t="str">
        <f t="shared" si="191"/>
        <v>Proposta Ok</v>
      </c>
    </row>
    <row r="3033" spans="12:15" x14ac:dyDescent="0.25">
      <c r="L3033">
        <f t="shared" si="188"/>
        <v>0</v>
      </c>
      <c r="M3033">
        <f t="shared" si="189"/>
        <v>1</v>
      </c>
      <c r="N3033">
        <f t="shared" si="190"/>
        <v>0</v>
      </c>
      <c r="O3033" t="str">
        <f t="shared" si="191"/>
        <v>Proposta Ok</v>
      </c>
    </row>
    <row r="3034" spans="12:15" x14ac:dyDescent="0.25">
      <c r="L3034">
        <f t="shared" si="188"/>
        <v>0</v>
      </c>
      <c r="M3034">
        <f t="shared" si="189"/>
        <v>1</v>
      </c>
      <c r="N3034">
        <f t="shared" si="190"/>
        <v>0</v>
      </c>
      <c r="O3034" t="str">
        <f t="shared" si="191"/>
        <v>Proposta Ok</v>
      </c>
    </row>
    <row r="3035" spans="12:15" x14ac:dyDescent="0.25">
      <c r="L3035">
        <f t="shared" ref="L3035:L3098" si="192">IF(OR(I3035="Termo OK (Exceção)",I3035="Termo OK"),1,0)</f>
        <v>0</v>
      </c>
      <c r="M3035">
        <f t="shared" ref="M3035:M3098" si="193">IF(OR(I3035="Termo OK (Exceção)",I3035="Termo OK"),0,1)</f>
        <v>1</v>
      </c>
      <c r="N3035">
        <f t="shared" ref="N3035:N3098" si="194">IF(J3035="SIM",1,0)</f>
        <v>0</v>
      </c>
      <c r="O3035" t="str">
        <f t="shared" ref="O3035:O3098" si="195">IF(SUMIFS(M:M,A:A,A3035)&gt;0,"Proposta não Ok","Proposta Ok")</f>
        <v>Proposta Ok</v>
      </c>
    </row>
    <row r="3036" spans="12:15" x14ac:dyDescent="0.25">
      <c r="L3036">
        <f t="shared" si="192"/>
        <v>0</v>
      </c>
      <c r="M3036">
        <f t="shared" si="193"/>
        <v>1</v>
      </c>
      <c r="N3036">
        <f t="shared" si="194"/>
        <v>0</v>
      </c>
      <c r="O3036" t="str">
        <f t="shared" si="195"/>
        <v>Proposta Ok</v>
      </c>
    </row>
    <row r="3037" spans="12:15" x14ac:dyDescent="0.25">
      <c r="L3037">
        <f t="shared" si="192"/>
        <v>0</v>
      </c>
      <c r="M3037">
        <f t="shared" si="193"/>
        <v>1</v>
      </c>
      <c r="N3037">
        <f t="shared" si="194"/>
        <v>0</v>
      </c>
      <c r="O3037" t="str">
        <f t="shared" si="195"/>
        <v>Proposta Ok</v>
      </c>
    </row>
    <row r="3038" spans="12:15" x14ac:dyDescent="0.25">
      <c r="L3038">
        <f t="shared" si="192"/>
        <v>0</v>
      </c>
      <c r="M3038">
        <f t="shared" si="193"/>
        <v>1</v>
      </c>
      <c r="N3038">
        <f t="shared" si="194"/>
        <v>0</v>
      </c>
      <c r="O3038" t="str">
        <f t="shared" si="195"/>
        <v>Proposta Ok</v>
      </c>
    </row>
    <row r="3039" spans="12:15" x14ac:dyDescent="0.25">
      <c r="L3039">
        <f t="shared" si="192"/>
        <v>0</v>
      </c>
      <c r="M3039">
        <f t="shared" si="193"/>
        <v>1</v>
      </c>
      <c r="N3039">
        <f t="shared" si="194"/>
        <v>0</v>
      </c>
      <c r="O3039" t="str">
        <f t="shared" si="195"/>
        <v>Proposta Ok</v>
      </c>
    </row>
    <row r="3040" spans="12:15" x14ac:dyDescent="0.25">
      <c r="L3040">
        <f t="shared" si="192"/>
        <v>0</v>
      </c>
      <c r="M3040">
        <f t="shared" si="193"/>
        <v>1</v>
      </c>
      <c r="N3040">
        <f t="shared" si="194"/>
        <v>0</v>
      </c>
      <c r="O3040" t="str">
        <f t="shared" si="195"/>
        <v>Proposta Ok</v>
      </c>
    </row>
    <row r="3041" spans="12:15" x14ac:dyDescent="0.25">
      <c r="L3041">
        <f t="shared" si="192"/>
        <v>0</v>
      </c>
      <c r="M3041">
        <f t="shared" si="193"/>
        <v>1</v>
      </c>
      <c r="N3041">
        <f t="shared" si="194"/>
        <v>0</v>
      </c>
      <c r="O3041" t="str">
        <f t="shared" si="195"/>
        <v>Proposta Ok</v>
      </c>
    </row>
    <row r="3042" spans="12:15" x14ac:dyDescent="0.25">
      <c r="L3042">
        <f t="shared" si="192"/>
        <v>0</v>
      </c>
      <c r="M3042">
        <f t="shared" si="193"/>
        <v>1</v>
      </c>
      <c r="N3042">
        <f t="shared" si="194"/>
        <v>0</v>
      </c>
      <c r="O3042" t="str">
        <f t="shared" si="195"/>
        <v>Proposta Ok</v>
      </c>
    </row>
    <row r="3043" spans="12:15" x14ac:dyDescent="0.25">
      <c r="L3043">
        <f t="shared" si="192"/>
        <v>0</v>
      </c>
      <c r="M3043">
        <f t="shared" si="193"/>
        <v>1</v>
      </c>
      <c r="N3043">
        <f t="shared" si="194"/>
        <v>0</v>
      </c>
      <c r="O3043" t="str">
        <f t="shared" si="195"/>
        <v>Proposta Ok</v>
      </c>
    </row>
    <row r="3044" spans="12:15" x14ac:dyDescent="0.25">
      <c r="L3044">
        <f t="shared" si="192"/>
        <v>0</v>
      </c>
      <c r="M3044">
        <f t="shared" si="193"/>
        <v>1</v>
      </c>
      <c r="N3044">
        <f t="shared" si="194"/>
        <v>0</v>
      </c>
      <c r="O3044" t="str">
        <f t="shared" si="195"/>
        <v>Proposta Ok</v>
      </c>
    </row>
    <row r="3045" spans="12:15" x14ac:dyDescent="0.25">
      <c r="L3045">
        <f t="shared" si="192"/>
        <v>0</v>
      </c>
      <c r="M3045">
        <f t="shared" si="193"/>
        <v>1</v>
      </c>
      <c r="N3045">
        <f t="shared" si="194"/>
        <v>0</v>
      </c>
      <c r="O3045" t="str">
        <f t="shared" si="195"/>
        <v>Proposta Ok</v>
      </c>
    </row>
    <row r="3046" spans="12:15" x14ac:dyDescent="0.25">
      <c r="L3046">
        <f t="shared" si="192"/>
        <v>0</v>
      </c>
      <c r="M3046">
        <f t="shared" si="193"/>
        <v>1</v>
      </c>
      <c r="N3046">
        <f t="shared" si="194"/>
        <v>0</v>
      </c>
      <c r="O3046" t="str">
        <f t="shared" si="195"/>
        <v>Proposta Ok</v>
      </c>
    </row>
    <row r="3047" spans="12:15" x14ac:dyDescent="0.25">
      <c r="L3047">
        <f t="shared" si="192"/>
        <v>0</v>
      </c>
      <c r="M3047">
        <f t="shared" si="193"/>
        <v>1</v>
      </c>
      <c r="N3047">
        <f t="shared" si="194"/>
        <v>0</v>
      </c>
      <c r="O3047" t="str">
        <f t="shared" si="195"/>
        <v>Proposta Ok</v>
      </c>
    </row>
    <row r="3048" spans="12:15" x14ac:dyDescent="0.25">
      <c r="L3048">
        <f t="shared" si="192"/>
        <v>0</v>
      </c>
      <c r="M3048">
        <f t="shared" si="193"/>
        <v>1</v>
      </c>
      <c r="N3048">
        <f t="shared" si="194"/>
        <v>0</v>
      </c>
      <c r="O3048" t="str">
        <f t="shared" si="195"/>
        <v>Proposta Ok</v>
      </c>
    </row>
    <row r="3049" spans="12:15" x14ac:dyDescent="0.25">
      <c r="L3049">
        <f t="shared" si="192"/>
        <v>0</v>
      </c>
      <c r="M3049">
        <f t="shared" si="193"/>
        <v>1</v>
      </c>
      <c r="N3049">
        <f t="shared" si="194"/>
        <v>0</v>
      </c>
      <c r="O3049" t="str">
        <f t="shared" si="195"/>
        <v>Proposta Ok</v>
      </c>
    </row>
    <row r="3050" spans="12:15" x14ac:dyDescent="0.25">
      <c r="L3050">
        <f t="shared" si="192"/>
        <v>0</v>
      </c>
      <c r="M3050">
        <f t="shared" si="193"/>
        <v>1</v>
      </c>
      <c r="N3050">
        <f t="shared" si="194"/>
        <v>0</v>
      </c>
      <c r="O3050" t="str">
        <f t="shared" si="195"/>
        <v>Proposta Ok</v>
      </c>
    </row>
    <row r="3051" spans="12:15" x14ac:dyDescent="0.25">
      <c r="L3051">
        <f t="shared" si="192"/>
        <v>0</v>
      </c>
      <c r="M3051">
        <f t="shared" si="193"/>
        <v>1</v>
      </c>
      <c r="N3051">
        <f t="shared" si="194"/>
        <v>0</v>
      </c>
      <c r="O3051" t="str">
        <f t="shared" si="195"/>
        <v>Proposta Ok</v>
      </c>
    </row>
    <row r="3052" spans="12:15" x14ac:dyDescent="0.25">
      <c r="L3052">
        <f t="shared" si="192"/>
        <v>0</v>
      </c>
      <c r="M3052">
        <f t="shared" si="193"/>
        <v>1</v>
      </c>
      <c r="N3052">
        <f t="shared" si="194"/>
        <v>0</v>
      </c>
      <c r="O3052" t="str">
        <f t="shared" si="195"/>
        <v>Proposta Ok</v>
      </c>
    </row>
    <row r="3053" spans="12:15" x14ac:dyDescent="0.25">
      <c r="L3053">
        <f t="shared" si="192"/>
        <v>0</v>
      </c>
      <c r="M3053">
        <f t="shared" si="193"/>
        <v>1</v>
      </c>
      <c r="N3053">
        <f t="shared" si="194"/>
        <v>0</v>
      </c>
      <c r="O3053" t="str">
        <f t="shared" si="195"/>
        <v>Proposta Ok</v>
      </c>
    </row>
    <row r="3054" spans="12:15" x14ac:dyDescent="0.25">
      <c r="L3054">
        <f t="shared" si="192"/>
        <v>0</v>
      </c>
      <c r="M3054">
        <f t="shared" si="193"/>
        <v>1</v>
      </c>
      <c r="N3054">
        <f t="shared" si="194"/>
        <v>0</v>
      </c>
      <c r="O3054" t="str">
        <f t="shared" si="195"/>
        <v>Proposta Ok</v>
      </c>
    </row>
    <row r="3055" spans="12:15" x14ac:dyDescent="0.25">
      <c r="L3055">
        <f t="shared" si="192"/>
        <v>0</v>
      </c>
      <c r="M3055">
        <f t="shared" si="193"/>
        <v>1</v>
      </c>
      <c r="N3055">
        <f t="shared" si="194"/>
        <v>0</v>
      </c>
      <c r="O3055" t="str">
        <f t="shared" si="195"/>
        <v>Proposta Ok</v>
      </c>
    </row>
    <row r="3056" spans="12:15" x14ac:dyDescent="0.25">
      <c r="L3056">
        <f t="shared" si="192"/>
        <v>0</v>
      </c>
      <c r="M3056">
        <f t="shared" si="193"/>
        <v>1</v>
      </c>
      <c r="N3056">
        <f t="shared" si="194"/>
        <v>0</v>
      </c>
      <c r="O3056" t="str">
        <f t="shared" si="195"/>
        <v>Proposta Ok</v>
      </c>
    </row>
    <row r="3057" spans="12:15" x14ac:dyDescent="0.25">
      <c r="L3057">
        <f t="shared" si="192"/>
        <v>0</v>
      </c>
      <c r="M3057">
        <f t="shared" si="193"/>
        <v>1</v>
      </c>
      <c r="N3057">
        <f t="shared" si="194"/>
        <v>0</v>
      </c>
      <c r="O3057" t="str">
        <f t="shared" si="195"/>
        <v>Proposta Ok</v>
      </c>
    </row>
    <row r="3058" spans="12:15" x14ac:dyDescent="0.25">
      <c r="L3058">
        <f t="shared" si="192"/>
        <v>0</v>
      </c>
      <c r="M3058">
        <f t="shared" si="193"/>
        <v>1</v>
      </c>
      <c r="N3058">
        <f t="shared" si="194"/>
        <v>0</v>
      </c>
      <c r="O3058" t="str">
        <f t="shared" si="195"/>
        <v>Proposta Ok</v>
      </c>
    </row>
    <row r="3059" spans="12:15" x14ac:dyDescent="0.25">
      <c r="L3059">
        <f t="shared" si="192"/>
        <v>0</v>
      </c>
      <c r="M3059">
        <f t="shared" si="193"/>
        <v>1</v>
      </c>
      <c r="N3059">
        <f t="shared" si="194"/>
        <v>0</v>
      </c>
      <c r="O3059" t="str">
        <f t="shared" si="195"/>
        <v>Proposta Ok</v>
      </c>
    </row>
    <row r="3060" spans="12:15" x14ac:dyDescent="0.25">
      <c r="L3060">
        <f t="shared" si="192"/>
        <v>0</v>
      </c>
      <c r="M3060">
        <f t="shared" si="193"/>
        <v>1</v>
      </c>
      <c r="N3060">
        <f t="shared" si="194"/>
        <v>0</v>
      </c>
      <c r="O3060" t="str">
        <f t="shared" si="195"/>
        <v>Proposta Ok</v>
      </c>
    </row>
    <row r="3061" spans="12:15" x14ac:dyDescent="0.25">
      <c r="L3061">
        <f t="shared" si="192"/>
        <v>0</v>
      </c>
      <c r="M3061">
        <f t="shared" si="193"/>
        <v>1</v>
      </c>
      <c r="N3061">
        <f t="shared" si="194"/>
        <v>0</v>
      </c>
      <c r="O3061" t="str">
        <f t="shared" si="195"/>
        <v>Proposta Ok</v>
      </c>
    </row>
    <row r="3062" spans="12:15" x14ac:dyDescent="0.25">
      <c r="L3062">
        <f t="shared" si="192"/>
        <v>0</v>
      </c>
      <c r="M3062">
        <f t="shared" si="193"/>
        <v>1</v>
      </c>
      <c r="N3062">
        <f t="shared" si="194"/>
        <v>0</v>
      </c>
      <c r="O3062" t="str">
        <f t="shared" si="195"/>
        <v>Proposta Ok</v>
      </c>
    </row>
    <row r="3063" spans="12:15" x14ac:dyDescent="0.25">
      <c r="L3063">
        <f t="shared" si="192"/>
        <v>0</v>
      </c>
      <c r="M3063">
        <f t="shared" si="193"/>
        <v>1</v>
      </c>
      <c r="N3063">
        <f t="shared" si="194"/>
        <v>0</v>
      </c>
      <c r="O3063" t="str">
        <f t="shared" si="195"/>
        <v>Proposta Ok</v>
      </c>
    </row>
    <row r="3064" spans="12:15" x14ac:dyDescent="0.25">
      <c r="L3064">
        <f t="shared" si="192"/>
        <v>0</v>
      </c>
      <c r="M3064">
        <f t="shared" si="193"/>
        <v>1</v>
      </c>
      <c r="N3064">
        <f t="shared" si="194"/>
        <v>0</v>
      </c>
      <c r="O3064" t="str">
        <f t="shared" si="195"/>
        <v>Proposta Ok</v>
      </c>
    </row>
    <row r="3065" spans="12:15" x14ac:dyDescent="0.25">
      <c r="L3065">
        <f t="shared" si="192"/>
        <v>0</v>
      </c>
      <c r="M3065">
        <f t="shared" si="193"/>
        <v>1</v>
      </c>
      <c r="N3065">
        <f t="shared" si="194"/>
        <v>0</v>
      </c>
      <c r="O3065" t="str">
        <f t="shared" si="195"/>
        <v>Proposta Ok</v>
      </c>
    </row>
    <row r="3066" spans="12:15" x14ac:dyDescent="0.25">
      <c r="L3066">
        <f t="shared" si="192"/>
        <v>0</v>
      </c>
      <c r="M3066">
        <f t="shared" si="193"/>
        <v>1</v>
      </c>
      <c r="N3066">
        <f t="shared" si="194"/>
        <v>0</v>
      </c>
      <c r="O3066" t="str">
        <f t="shared" si="195"/>
        <v>Proposta Ok</v>
      </c>
    </row>
    <row r="3067" spans="12:15" x14ac:dyDescent="0.25">
      <c r="L3067">
        <f t="shared" si="192"/>
        <v>0</v>
      </c>
      <c r="M3067">
        <f t="shared" si="193"/>
        <v>1</v>
      </c>
      <c r="N3067">
        <f t="shared" si="194"/>
        <v>0</v>
      </c>
      <c r="O3067" t="str">
        <f t="shared" si="195"/>
        <v>Proposta Ok</v>
      </c>
    </row>
    <row r="3068" spans="12:15" x14ac:dyDescent="0.25">
      <c r="L3068">
        <f t="shared" si="192"/>
        <v>0</v>
      </c>
      <c r="M3068">
        <f t="shared" si="193"/>
        <v>1</v>
      </c>
      <c r="N3068">
        <f t="shared" si="194"/>
        <v>0</v>
      </c>
      <c r="O3068" t="str">
        <f t="shared" si="195"/>
        <v>Proposta Ok</v>
      </c>
    </row>
    <row r="3069" spans="12:15" x14ac:dyDescent="0.25">
      <c r="L3069">
        <f t="shared" si="192"/>
        <v>0</v>
      </c>
      <c r="M3069">
        <f t="shared" si="193"/>
        <v>1</v>
      </c>
      <c r="N3069">
        <f t="shared" si="194"/>
        <v>0</v>
      </c>
      <c r="O3069" t="str">
        <f t="shared" si="195"/>
        <v>Proposta Ok</v>
      </c>
    </row>
    <row r="3070" spans="12:15" x14ac:dyDescent="0.25">
      <c r="L3070">
        <f t="shared" si="192"/>
        <v>0</v>
      </c>
      <c r="M3070">
        <f t="shared" si="193"/>
        <v>1</v>
      </c>
      <c r="N3070">
        <f t="shared" si="194"/>
        <v>0</v>
      </c>
      <c r="O3070" t="str">
        <f t="shared" si="195"/>
        <v>Proposta Ok</v>
      </c>
    </row>
    <row r="3071" spans="12:15" x14ac:dyDescent="0.25">
      <c r="L3071">
        <f t="shared" si="192"/>
        <v>0</v>
      </c>
      <c r="M3071">
        <f t="shared" si="193"/>
        <v>1</v>
      </c>
      <c r="N3071">
        <f t="shared" si="194"/>
        <v>0</v>
      </c>
      <c r="O3071" t="str">
        <f t="shared" si="195"/>
        <v>Proposta Ok</v>
      </c>
    </row>
    <row r="3072" spans="12:15" x14ac:dyDescent="0.25">
      <c r="L3072">
        <f t="shared" si="192"/>
        <v>0</v>
      </c>
      <c r="M3072">
        <f t="shared" si="193"/>
        <v>1</v>
      </c>
      <c r="N3072">
        <f t="shared" si="194"/>
        <v>0</v>
      </c>
      <c r="O3072" t="str">
        <f t="shared" si="195"/>
        <v>Proposta Ok</v>
      </c>
    </row>
    <row r="3073" spans="12:15" x14ac:dyDescent="0.25">
      <c r="L3073">
        <f t="shared" si="192"/>
        <v>0</v>
      </c>
      <c r="M3073">
        <f t="shared" si="193"/>
        <v>1</v>
      </c>
      <c r="N3073">
        <f t="shared" si="194"/>
        <v>0</v>
      </c>
      <c r="O3073" t="str">
        <f t="shared" si="195"/>
        <v>Proposta Ok</v>
      </c>
    </row>
    <row r="3074" spans="12:15" x14ac:dyDescent="0.25">
      <c r="L3074">
        <f t="shared" si="192"/>
        <v>0</v>
      </c>
      <c r="M3074">
        <f t="shared" si="193"/>
        <v>1</v>
      </c>
      <c r="N3074">
        <f t="shared" si="194"/>
        <v>0</v>
      </c>
      <c r="O3074" t="str">
        <f t="shared" si="195"/>
        <v>Proposta Ok</v>
      </c>
    </row>
    <row r="3075" spans="12:15" x14ac:dyDescent="0.25">
      <c r="L3075">
        <f t="shared" si="192"/>
        <v>0</v>
      </c>
      <c r="M3075">
        <f t="shared" si="193"/>
        <v>1</v>
      </c>
      <c r="N3075">
        <f t="shared" si="194"/>
        <v>0</v>
      </c>
      <c r="O3075" t="str">
        <f t="shared" si="195"/>
        <v>Proposta Ok</v>
      </c>
    </row>
    <row r="3076" spans="12:15" x14ac:dyDescent="0.25">
      <c r="L3076">
        <f t="shared" si="192"/>
        <v>0</v>
      </c>
      <c r="M3076">
        <f t="shared" si="193"/>
        <v>1</v>
      </c>
      <c r="N3076">
        <f t="shared" si="194"/>
        <v>0</v>
      </c>
      <c r="O3076" t="str">
        <f t="shared" si="195"/>
        <v>Proposta Ok</v>
      </c>
    </row>
    <row r="3077" spans="12:15" x14ac:dyDescent="0.25">
      <c r="L3077">
        <f t="shared" si="192"/>
        <v>0</v>
      </c>
      <c r="M3077">
        <f t="shared" si="193"/>
        <v>1</v>
      </c>
      <c r="N3077">
        <f t="shared" si="194"/>
        <v>0</v>
      </c>
      <c r="O3077" t="str">
        <f t="shared" si="195"/>
        <v>Proposta Ok</v>
      </c>
    </row>
    <row r="3078" spans="12:15" x14ac:dyDescent="0.25">
      <c r="L3078">
        <f t="shared" si="192"/>
        <v>0</v>
      </c>
      <c r="M3078">
        <f t="shared" si="193"/>
        <v>1</v>
      </c>
      <c r="N3078">
        <f t="shared" si="194"/>
        <v>0</v>
      </c>
      <c r="O3078" t="str">
        <f t="shared" si="195"/>
        <v>Proposta Ok</v>
      </c>
    </row>
    <row r="3079" spans="12:15" x14ac:dyDescent="0.25">
      <c r="L3079">
        <f t="shared" si="192"/>
        <v>0</v>
      </c>
      <c r="M3079">
        <f t="shared" si="193"/>
        <v>1</v>
      </c>
      <c r="N3079">
        <f t="shared" si="194"/>
        <v>0</v>
      </c>
      <c r="O3079" t="str">
        <f t="shared" si="195"/>
        <v>Proposta Ok</v>
      </c>
    </row>
    <row r="3080" spans="12:15" x14ac:dyDescent="0.25">
      <c r="L3080">
        <f t="shared" si="192"/>
        <v>0</v>
      </c>
      <c r="M3080">
        <f t="shared" si="193"/>
        <v>1</v>
      </c>
      <c r="N3080">
        <f t="shared" si="194"/>
        <v>0</v>
      </c>
      <c r="O3080" t="str">
        <f t="shared" si="195"/>
        <v>Proposta Ok</v>
      </c>
    </row>
    <row r="3081" spans="12:15" x14ac:dyDescent="0.25">
      <c r="L3081">
        <f t="shared" si="192"/>
        <v>0</v>
      </c>
      <c r="M3081">
        <f t="shared" si="193"/>
        <v>1</v>
      </c>
      <c r="N3081">
        <f t="shared" si="194"/>
        <v>0</v>
      </c>
      <c r="O3081" t="str">
        <f t="shared" si="195"/>
        <v>Proposta Ok</v>
      </c>
    </row>
    <row r="3082" spans="12:15" x14ac:dyDescent="0.25">
      <c r="L3082">
        <f t="shared" si="192"/>
        <v>0</v>
      </c>
      <c r="M3082">
        <f t="shared" si="193"/>
        <v>1</v>
      </c>
      <c r="N3082">
        <f t="shared" si="194"/>
        <v>0</v>
      </c>
      <c r="O3082" t="str">
        <f t="shared" si="195"/>
        <v>Proposta Ok</v>
      </c>
    </row>
    <row r="3083" spans="12:15" x14ac:dyDescent="0.25">
      <c r="L3083">
        <f t="shared" si="192"/>
        <v>0</v>
      </c>
      <c r="M3083">
        <f t="shared" si="193"/>
        <v>1</v>
      </c>
      <c r="N3083">
        <f t="shared" si="194"/>
        <v>0</v>
      </c>
      <c r="O3083" t="str">
        <f t="shared" si="195"/>
        <v>Proposta Ok</v>
      </c>
    </row>
    <row r="3084" spans="12:15" x14ac:dyDescent="0.25">
      <c r="L3084">
        <f t="shared" si="192"/>
        <v>0</v>
      </c>
      <c r="M3084">
        <f t="shared" si="193"/>
        <v>1</v>
      </c>
      <c r="N3084">
        <f t="shared" si="194"/>
        <v>0</v>
      </c>
      <c r="O3084" t="str">
        <f t="shared" si="195"/>
        <v>Proposta Ok</v>
      </c>
    </row>
    <row r="3085" spans="12:15" x14ac:dyDescent="0.25">
      <c r="L3085">
        <f t="shared" si="192"/>
        <v>0</v>
      </c>
      <c r="M3085">
        <f t="shared" si="193"/>
        <v>1</v>
      </c>
      <c r="N3085">
        <f t="shared" si="194"/>
        <v>0</v>
      </c>
      <c r="O3085" t="str">
        <f t="shared" si="195"/>
        <v>Proposta Ok</v>
      </c>
    </row>
    <row r="3086" spans="12:15" x14ac:dyDescent="0.25">
      <c r="L3086">
        <f t="shared" si="192"/>
        <v>0</v>
      </c>
      <c r="M3086">
        <f t="shared" si="193"/>
        <v>1</v>
      </c>
      <c r="N3086">
        <f t="shared" si="194"/>
        <v>0</v>
      </c>
      <c r="O3086" t="str">
        <f t="shared" si="195"/>
        <v>Proposta Ok</v>
      </c>
    </row>
    <row r="3087" spans="12:15" x14ac:dyDescent="0.25">
      <c r="L3087">
        <f t="shared" si="192"/>
        <v>0</v>
      </c>
      <c r="M3087">
        <f t="shared" si="193"/>
        <v>1</v>
      </c>
      <c r="N3087">
        <f t="shared" si="194"/>
        <v>0</v>
      </c>
      <c r="O3087" t="str">
        <f t="shared" si="195"/>
        <v>Proposta Ok</v>
      </c>
    </row>
    <row r="3088" spans="12:15" x14ac:dyDescent="0.25">
      <c r="L3088">
        <f t="shared" si="192"/>
        <v>0</v>
      </c>
      <c r="M3088">
        <f t="shared" si="193"/>
        <v>1</v>
      </c>
      <c r="N3088">
        <f t="shared" si="194"/>
        <v>0</v>
      </c>
      <c r="O3088" t="str">
        <f t="shared" si="195"/>
        <v>Proposta Ok</v>
      </c>
    </row>
    <row r="3089" spans="12:15" x14ac:dyDescent="0.25">
      <c r="L3089">
        <f t="shared" si="192"/>
        <v>0</v>
      </c>
      <c r="M3089">
        <f t="shared" si="193"/>
        <v>1</v>
      </c>
      <c r="N3089">
        <f t="shared" si="194"/>
        <v>0</v>
      </c>
      <c r="O3089" t="str">
        <f t="shared" si="195"/>
        <v>Proposta Ok</v>
      </c>
    </row>
    <row r="3090" spans="12:15" x14ac:dyDescent="0.25">
      <c r="L3090">
        <f t="shared" si="192"/>
        <v>0</v>
      </c>
      <c r="M3090">
        <f t="shared" si="193"/>
        <v>1</v>
      </c>
      <c r="N3090">
        <f t="shared" si="194"/>
        <v>0</v>
      </c>
      <c r="O3090" t="str">
        <f t="shared" si="195"/>
        <v>Proposta Ok</v>
      </c>
    </row>
    <row r="3091" spans="12:15" x14ac:dyDescent="0.25">
      <c r="L3091">
        <f t="shared" si="192"/>
        <v>0</v>
      </c>
      <c r="M3091">
        <f t="shared" si="193"/>
        <v>1</v>
      </c>
      <c r="N3091">
        <f t="shared" si="194"/>
        <v>0</v>
      </c>
      <c r="O3091" t="str">
        <f t="shared" si="195"/>
        <v>Proposta Ok</v>
      </c>
    </row>
    <row r="3092" spans="12:15" x14ac:dyDescent="0.25">
      <c r="L3092">
        <f t="shared" si="192"/>
        <v>0</v>
      </c>
      <c r="M3092">
        <f t="shared" si="193"/>
        <v>1</v>
      </c>
      <c r="N3092">
        <f t="shared" si="194"/>
        <v>0</v>
      </c>
      <c r="O3092" t="str">
        <f t="shared" si="195"/>
        <v>Proposta Ok</v>
      </c>
    </row>
    <row r="3093" spans="12:15" x14ac:dyDescent="0.25">
      <c r="L3093">
        <f t="shared" si="192"/>
        <v>0</v>
      </c>
      <c r="M3093">
        <f t="shared" si="193"/>
        <v>1</v>
      </c>
      <c r="N3093">
        <f t="shared" si="194"/>
        <v>0</v>
      </c>
      <c r="O3093" t="str">
        <f t="shared" si="195"/>
        <v>Proposta Ok</v>
      </c>
    </row>
    <row r="3094" spans="12:15" x14ac:dyDescent="0.25">
      <c r="L3094">
        <f t="shared" si="192"/>
        <v>0</v>
      </c>
      <c r="M3094">
        <f t="shared" si="193"/>
        <v>1</v>
      </c>
      <c r="N3094">
        <f t="shared" si="194"/>
        <v>0</v>
      </c>
      <c r="O3094" t="str">
        <f t="shared" si="195"/>
        <v>Proposta Ok</v>
      </c>
    </row>
    <row r="3095" spans="12:15" x14ac:dyDescent="0.25">
      <c r="L3095">
        <f t="shared" si="192"/>
        <v>0</v>
      </c>
      <c r="M3095">
        <f t="shared" si="193"/>
        <v>1</v>
      </c>
      <c r="N3095">
        <f t="shared" si="194"/>
        <v>0</v>
      </c>
      <c r="O3095" t="str">
        <f t="shared" si="195"/>
        <v>Proposta Ok</v>
      </c>
    </row>
    <row r="3096" spans="12:15" x14ac:dyDescent="0.25">
      <c r="L3096">
        <f t="shared" si="192"/>
        <v>0</v>
      </c>
      <c r="M3096">
        <f t="shared" si="193"/>
        <v>1</v>
      </c>
      <c r="N3096">
        <f t="shared" si="194"/>
        <v>0</v>
      </c>
      <c r="O3096" t="str">
        <f t="shared" si="195"/>
        <v>Proposta Ok</v>
      </c>
    </row>
    <row r="3097" spans="12:15" x14ac:dyDescent="0.25">
      <c r="L3097">
        <f t="shared" si="192"/>
        <v>0</v>
      </c>
      <c r="M3097">
        <f t="shared" si="193"/>
        <v>1</v>
      </c>
      <c r="N3097">
        <f t="shared" si="194"/>
        <v>0</v>
      </c>
      <c r="O3097" t="str">
        <f t="shared" si="195"/>
        <v>Proposta Ok</v>
      </c>
    </row>
    <row r="3098" spans="12:15" x14ac:dyDescent="0.25">
      <c r="L3098">
        <f t="shared" si="192"/>
        <v>0</v>
      </c>
      <c r="M3098">
        <f t="shared" si="193"/>
        <v>1</v>
      </c>
      <c r="N3098">
        <f t="shared" si="194"/>
        <v>0</v>
      </c>
      <c r="O3098" t="str">
        <f t="shared" si="195"/>
        <v>Proposta Ok</v>
      </c>
    </row>
    <row r="3099" spans="12:15" x14ac:dyDescent="0.25">
      <c r="L3099">
        <f t="shared" ref="L3099:L3162" si="196">IF(OR(I3099="Termo OK (Exceção)",I3099="Termo OK"),1,0)</f>
        <v>0</v>
      </c>
      <c r="M3099">
        <f t="shared" ref="M3099:M3162" si="197">IF(OR(I3099="Termo OK (Exceção)",I3099="Termo OK"),0,1)</f>
        <v>1</v>
      </c>
      <c r="N3099">
        <f t="shared" ref="N3099:N3162" si="198">IF(J3099="SIM",1,0)</f>
        <v>0</v>
      </c>
      <c r="O3099" t="str">
        <f t="shared" ref="O3099:O3162" si="199">IF(SUMIFS(M:M,A:A,A3099)&gt;0,"Proposta não Ok","Proposta Ok")</f>
        <v>Proposta Ok</v>
      </c>
    </row>
    <row r="3100" spans="12:15" x14ac:dyDescent="0.25">
      <c r="L3100">
        <f t="shared" si="196"/>
        <v>0</v>
      </c>
      <c r="M3100">
        <f t="shared" si="197"/>
        <v>1</v>
      </c>
      <c r="N3100">
        <f t="shared" si="198"/>
        <v>0</v>
      </c>
      <c r="O3100" t="str">
        <f t="shared" si="199"/>
        <v>Proposta Ok</v>
      </c>
    </row>
    <row r="3101" spans="12:15" x14ac:dyDescent="0.25">
      <c r="L3101">
        <f t="shared" si="196"/>
        <v>0</v>
      </c>
      <c r="M3101">
        <f t="shared" si="197"/>
        <v>1</v>
      </c>
      <c r="N3101">
        <f t="shared" si="198"/>
        <v>0</v>
      </c>
      <c r="O3101" t="str">
        <f t="shared" si="199"/>
        <v>Proposta Ok</v>
      </c>
    </row>
    <row r="3102" spans="12:15" x14ac:dyDescent="0.25">
      <c r="L3102">
        <f t="shared" si="196"/>
        <v>0</v>
      </c>
      <c r="M3102">
        <f t="shared" si="197"/>
        <v>1</v>
      </c>
      <c r="N3102">
        <f t="shared" si="198"/>
        <v>0</v>
      </c>
      <c r="O3102" t="str">
        <f t="shared" si="199"/>
        <v>Proposta Ok</v>
      </c>
    </row>
    <row r="3103" spans="12:15" x14ac:dyDescent="0.25">
      <c r="L3103">
        <f t="shared" si="196"/>
        <v>0</v>
      </c>
      <c r="M3103">
        <f t="shared" si="197"/>
        <v>1</v>
      </c>
      <c r="N3103">
        <f t="shared" si="198"/>
        <v>0</v>
      </c>
      <c r="O3103" t="str">
        <f t="shared" si="199"/>
        <v>Proposta Ok</v>
      </c>
    </row>
    <row r="3104" spans="12:15" x14ac:dyDescent="0.25">
      <c r="L3104">
        <f t="shared" si="196"/>
        <v>0</v>
      </c>
      <c r="M3104">
        <f t="shared" si="197"/>
        <v>1</v>
      </c>
      <c r="N3104">
        <f t="shared" si="198"/>
        <v>0</v>
      </c>
      <c r="O3104" t="str">
        <f t="shared" si="199"/>
        <v>Proposta Ok</v>
      </c>
    </row>
    <row r="3105" spans="12:15" x14ac:dyDescent="0.25">
      <c r="L3105">
        <f t="shared" si="196"/>
        <v>0</v>
      </c>
      <c r="M3105">
        <f t="shared" si="197"/>
        <v>1</v>
      </c>
      <c r="N3105">
        <f t="shared" si="198"/>
        <v>0</v>
      </c>
      <c r="O3105" t="str">
        <f t="shared" si="199"/>
        <v>Proposta Ok</v>
      </c>
    </row>
    <row r="3106" spans="12:15" x14ac:dyDescent="0.25">
      <c r="L3106">
        <f t="shared" si="196"/>
        <v>0</v>
      </c>
      <c r="M3106">
        <f t="shared" si="197"/>
        <v>1</v>
      </c>
      <c r="N3106">
        <f t="shared" si="198"/>
        <v>0</v>
      </c>
      <c r="O3106" t="str">
        <f t="shared" si="199"/>
        <v>Proposta Ok</v>
      </c>
    </row>
    <row r="3107" spans="12:15" x14ac:dyDescent="0.25">
      <c r="L3107">
        <f t="shared" si="196"/>
        <v>0</v>
      </c>
      <c r="M3107">
        <f t="shared" si="197"/>
        <v>1</v>
      </c>
      <c r="N3107">
        <f t="shared" si="198"/>
        <v>0</v>
      </c>
      <c r="O3107" t="str">
        <f t="shared" si="199"/>
        <v>Proposta Ok</v>
      </c>
    </row>
    <row r="3108" spans="12:15" x14ac:dyDescent="0.25">
      <c r="L3108">
        <f t="shared" si="196"/>
        <v>0</v>
      </c>
      <c r="M3108">
        <f t="shared" si="197"/>
        <v>1</v>
      </c>
      <c r="N3108">
        <f t="shared" si="198"/>
        <v>0</v>
      </c>
      <c r="O3108" t="str">
        <f t="shared" si="199"/>
        <v>Proposta Ok</v>
      </c>
    </row>
    <row r="3109" spans="12:15" x14ac:dyDescent="0.25">
      <c r="L3109">
        <f t="shared" si="196"/>
        <v>0</v>
      </c>
      <c r="M3109">
        <f t="shared" si="197"/>
        <v>1</v>
      </c>
      <c r="N3109">
        <f t="shared" si="198"/>
        <v>0</v>
      </c>
      <c r="O3109" t="str">
        <f t="shared" si="199"/>
        <v>Proposta Ok</v>
      </c>
    </row>
    <row r="3110" spans="12:15" x14ac:dyDescent="0.25">
      <c r="L3110">
        <f t="shared" si="196"/>
        <v>0</v>
      </c>
      <c r="M3110">
        <f t="shared" si="197"/>
        <v>1</v>
      </c>
      <c r="N3110">
        <f t="shared" si="198"/>
        <v>0</v>
      </c>
      <c r="O3110" t="str">
        <f t="shared" si="199"/>
        <v>Proposta Ok</v>
      </c>
    </row>
    <row r="3111" spans="12:15" x14ac:dyDescent="0.25">
      <c r="L3111">
        <f t="shared" si="196"/>
        <v>0</v>
      </c>
      <c r="M3111">
        <f t="shared" si="197"/>
        <v>1</v>
      </c>
      <c r="N3111">
        <f t="shared" si="198"/>
        <v>0</v>
      </c>
      <c r="O3111" t="str">
        <f t="shared" si="199"/>
        <v>Proposta Ok</v>
      </c>
    </row>
    <row r="3112" spans="12:15" x14ac:dyDescent="0.25">
      <c r="L3112">
        <f t="shared" si="196"/>
        <v>0</v>
      </c>
      <c r="M3112">
        <f t="shared" si="197"/>
        <v>1</v>
      </c>
      <c r="N3112">
        <f t="shared" si="198"/>
        <v>0</v>
      </c>
      <c r="O3112" t="str">
        <f t="shared" si="199"/>
        <v>Proposta Ok</v>
      </c>
    </row>
    <row r="3113" spans="12:15" x14ac:dyDescent="0.25">
      <c r="L3113">
        <f t="shared" si="196"/>
        <v>0</v>
      </c>
      <c r="M3113">
        <f t="shared" si="197"/>
        <v>1</v>
      </c>
      <c r="N3113">
        <f t="shared" si="198"/>
        <v>0</v>
      </c>
      <c r="O3113" t="str">
        <f t="shared" si="199"/>
        <v>Proposta Ok</v>
      </c>
    </row>
    <row r="3114" spans="12:15" x14ac:dyDescent="0.25">
      <c r="L3114">
        <f t="shared" si="196"/>
        <v>0</v>
      </c>
      <c r="M3114">
        <f t="shared" si="197"/>
        <v>1</v>
      </c>
      <c r="N3114">
        <f t="shared" si="198"/>
        <v>0</v>
      </c>
      <c r="O3114" t="str">
        <f t="shared" si="199"/>
        <v>Proposta Ok</v>
      </c>
    </row>
    <row r="3115" spans="12:15" x14ac:dyDescent="0.25">
      <c r="L3115">
        <f t="shared" si="196"/>
        <v>0</v>
      </c>
      <c r="M3115">
        <f t="shared" si="197"/>
        <v>1</v>
      </c>
      <c r="N3115">
        <f t="shared" si="198"/>
        <v>0</v>
      </c>
      <c r="O3115" t="str">
        <f t="shared" si="199"/>
        <v>Proposta Ok</v>
      </c>
    </row>
    <row r="3116" spans="12:15" x14ac:dyDescent="0.25">
      <c r="L3116">
        <f t="shared" si="196"/>
        <v>0</v>
      </c>
      <c r="M3116">
        <f t="shared" si="197"/>
        <v>1</v>
      </c>
      <c r="N3116">
        <f t="shared" si="198"/>
        <v>0</v>
      </c>
      <c r="O3116" t="str">
        <f t="shared" si="199"/>
        <v>Proposta Ok</v>
      </c>
    </row>
    <row r="3117" spans="12:15" x14ac:dyDescent="0.25">
      <c r="L3117">
        <f t="shared" si="196"/>
        <v>0</v>
      </c>
      <c r="M3117">
        <f t="shared" si="197"/>
        <v>1</v>
      </c>
      <c r="N3117">
        <f t="shared" si="198"/>
        <v>0</v>
      </c>
      <c r="O3117" t="str">
        <f t="shared" si="199"/>
        <v>Proposta Ok</v>
      </c>
    </row>
    <row r="3118" spans="12:15" x14ac:dyDescent="0.25">
      <c r="L3118">
        <f t="shared" si="196"/>
        <v>0</v>
      </c>
      <c r="M3118">
        <f t="shared" si="197"/>
        <v>1</v>
      </c>
      <c r="N3118">
        <f t="shared" si="198"/>
        <v>0</v>
      </c>
      <c r="O3118" t="str">
        <f t="shared" si="199"/>
        <v>Proposta Ok</v>
      </c>
    </row>
    <row r="3119" spans="12:15" x14ac:dyDescent="0.25">
      <c r="L3119">
        <f t="shared" si="196"/>
        <v>0</v>
      </c>
      <c r="M3119">
        <f t="shared" si="197"/>
        <v>1</v>
      </c>
      <c r="N3119">
        <f t="shared" si="198"/>
        <v>0</v>
      </c>
      <c r="O3119" t="str">
        <f t="shared" si="199"/>
        <v>Proposta Ok</v>
      </c>
    </row>
    <row r="3120" spans="12:15" x14ac:dyDescent="0.25">
      <c r="L3120">
        <f t="shared" si="196"/>
        <v>0</v>
      </c>
      <c r="M3120">
        <f t="shared" si="197"/>
        <v>1</v>
      </c>
      <c r="N3120">
        <f t="shared" si="198"/>
        <v>0</v>
      </c>
      <c r="O3120" t="str">
        <f t="shared" si="199"/>
        <v>Proposta Ok</v>
      </c>
    </row>
    <row r="3121" spans="12:15" x14ac:dyDescent="0.25">
      <c r="L3121">
        <f t="shared" si="196"/>
        <v>0</v>
      </c>
      <c r="M3121">
        <f t="shared" si="197"/>
        <v>1</v>
      </c>
      <c r="N3121">
        <f t="shared" si="198"/>
        <v>0</v>
      </c>
      <c r="O3121" t="str">
        <f t="shared" si="199"/>
        <v>Proposta Ok</v>
      </c>
    </row>
    <row r="3122" spans="12:15" x14ac:dyDescent="0.25">
      <c r="L3122">
        <f t="shared" si="196"/>
        <v>0</v>
      </c>
      <c r="M3122">
        <f t="shared" si="197"/>
        <v>1</v>
      </c>
      <c r="N3122">
        <f t="shared" si="198"/>
        <v>0</v>
      </c>
      <c r="O3122" t="str">
        <f t="shared" si="199"/>
        <v>Proposta Ok</v>
      </c>
    </row>
    <row r="3123" spans="12:15" x14ac:dyDescent="0.25">
      <c r="L3123">
        <f t="shared" si="196"/>
        <v>0</v>
      </c>
      <c r="M3123">
        <f t="shared" si="197"/>
        <v>1</v>
      </c>
      <c r="N3123">
        <f t="shared" si="198"/>
        <v>0</v>
      </c>
      <c r="O3123" t="str">
        <f t="shared" si="199"/>
        <v>Proposta Ok</v>
      </c>
    </row>
    <row r="3124" spans="12:15" x14ac:dyDescent="0.25">
      <c r="L3124">
        <f t="shared" si="196"/>
        <v>0</v>
      </c>
      <c r="M3124">
        <f t="shared" si="197"/>
        <v>1</v>
      </c>
      <c r="N3124">
        <f t="shared" si="198"/>
        <v>0</v>
      </c>
      <c r="O3124" t="str">
        <f t="shared" si="199"/>
        <v>Proposta Ok</v>
      </c>
    </row>
    <row r="3125" spans="12:15" x14ac:dyDescent="0.25">
      <c r="L3125">
        <f t="shared" si="196"/>
        <v>0</v>
      </c>
      <c r="M3125">
        <f t="shared" si="197"/>
        <v>1</v>
      </c>
      <c r="N3125">
        <f t="shared" si="198"/>
        <v>0</v>
      </c>
      <c r="O3125" t="str">
        <f t="shared" si="199"/>
        <v>Proposta Ok</v>
      </c>
    </row>
    <row r="3126" spans="12:15" x14ac:dyDescent="0.25">
      <c r="L3126">
        <f t="shared" si="196"/>
        <v>0</v>
      </c>
      <c r="M3126">
        <f t="shared" si="197"/>
        <v>1</v>
      </c>
      <c r="N3126">
        <f t="shared" si="198"/>
        <v>0</v>
      </c>
      <c r="O3126" t="str">
        <f t="shared" si="199"/>
        <v>Proposta Ok</v>
      </c>
    </row>
    <row r="3127" spans="12:15" x14ac:dyDescent="0.25">
      <c r="L3127">
        <f t="shared" si="196"/>
        <v>0</v>
      </c>
      <c r="M3127">
        <f t="shared" si="197"/>
        <v>1</v>
      </c>
      <c r="N3127">
        <f t="shared" si="198"/>
        <v>0</v>
      </c>
      <c r="O3127" t="str">
        <f t="shared" si="199"/>
        <v>Proposta Ok</v>
      </c>
    </row>
    <row r="3128" spans="12:15" x14ac:dyDescent="0.25">
      <c r="L3128">
        <f t="shared" si="196"/>
        <v>0</v>
      </c>
      <c r="M3128">
        <f t="shared" si="197"/>
        <v>1</v>
      </c>
      <c r="N3128">
        <f t="shared" si="198"/>
        <v>0</v>
      </c>
      <c r="O3128" t="str">
        <f t="shared" si="199"/>
        <v>Proposta Ok</v>
      </c>
    </row>
    <row r="3129" spans="12:15" x14ac:dyDescent="0.25">
      <c r="L3129">
        <f t="shared" si="196"/>
        <v>0</v>
      </c>
      <c r="M3129">
        <f t="shared" si="197"/>
        <v>1</v>
      </c>
      <c r="N3129">
        <f t="shared" si="198"/>
        <v>0</v>
      </c>
      <c r="O3129" t="str">
        <f t="shared" si="199"/>
        <v>Proposta Ok</v>
      </c>
    </row>
    <row r="3130" spans="12:15" x14ac:dyDescent="0.25">
      <c r="L3130">
        <f t="shared" si="196"/>
        <v>0</v>
      </c>
      <c r="M3130">
        <f t="shared" si="197"/>
        <v>1</v>
      </c>
      <c r="N3130">
        <f t="shared" si="198"/>
        <v>0</v>
      </c>
      <c r="O3130" t="str">
        <f t="shared" si="199"/>
        <v>Proposta Ok</v>
      </c>
    </row>
    <row r="3131" spans="12:15" x14ac:dyDescent="0.25">
      <c r="L3131">
        <f t="shared" si="196"/>
        <v>0</v>
      </c>
      <c r="M3131">
        <f t="shared" si="197"/>
        <v>1</v>
      </c>
      <c r="N3131">
        <f t="shared" si="198"/>
        <v>0</v>
      </c>
      <c r="O3131" t="str">
        <f t="shared" si="199"/>
        <v>Proposta Ok</v>
      </c>
    </row>
    <row r="3132" spans="12:15" x14ac:dyDescent="0.25">
      <c r="L3132">
        <f t="shared" si="196"/>
        <v>0</v>
      </c>
      <c r="M3132">
        <f t="shared" si="197"/>
        <v>1</v>
      </c>
      <c r="N3132">
        <f t="shared" si="198"/>
        <v>0</v>
      </c>
      <c r="O3132" t="str">
        <f t="shared" si="199"/>
        <v>Proposta Ok</v>
      </c>
    </row>
    <row r="3133" spans="12:15" x14ac:dyDescent="0.25">
      <c r="L3133">
        <f t="shared" si="196"/>
        <v>0</v>
      </c>
      <c r="M3133">
        <f t="shared" si="197"/>
        <v>1</v>
      </c>
      <c r="N3133">
        <f t="shared" si="198"/>
        <v>0</v>
      </c>
      <c r="O3133" t="str">
        <f t="shared" si="199"/>
        <v>Proposta Ok</v>
      </c>
    </row>
    <row r="3134" spans="12:15" x14ac:dyDescent="0.25">
      <c r="L3134">
        <f t="shared" si="196"/>
        <v>0</v>
      </c>
      <c r="M3134">
        <f t="shared" si="197"/>
        <v>1</v>
      </c>
      <c r="N3134">
        <f t="shared" si="198"/>
        <v>0</v>
      </c>
      <c r="O3134" t="str">
        <f t="shared" si="199"/>
        <v>Proposta Ok</v>
      </c>
    </row>
    <row r="3135" spans="12:15" x14ac:dyDescent="0.25">
      <c r="L3135">
        <f t="shared" si="196"/>
        <v>0</v>
      </c>
      <c r="M3135">
        <f t="shared" si="197"/>
        <v>1</v>
      </c>
      <c r="N3135">
        <f t="shared" si="198"/>
        <v>0</v>
      </c>
      <c r="O3135" t="str">
        <f t="shared" si="199"/>
        <v>Proposta Ok</v>
      </c>
    </row>
    <row r="3136" spans="12:15" x14ac:dyDescent="0.25">
      <c r="L3136">
        <f t="shared" si="196"/>
        <v>0</v>
      </c>
      <c r="M3136">
        <f t="shared" si="197"/>
        <v>1</v>
      </c>
      <c r="N3136">
        <f t="shared" si="198"/>
        <v>0</v>
      </c>
      <c r="O3136" t="str">
        <f t="shared" si="199"/>
        <v>Proposta Ok</v>
      </c>
    </row>
    <row r="3137" spans="12:15" x14ac:dyDescent="0.25">
      <c r="L3137">
        <f t="shared" si="196"/>
        <v>0</v>
      </c>
      <c r="M3137">
        <f t="shared" si="197"/>
        <v>1</v>
      </c>
      <c r="N3137">
        <f t="shared" si="198"/>
        <v>0</v>
      </c>
      <c r="O3137" t="str">
        <f t="shared" si="199"/>
        <v>Proposta Ok</v>
      </c>
    </row>
    <row r="3138" spans="12:15" x14ac:dyDescent="0.25">
      <c r="L3138">
        <f t="shared" si="196"/>
        <v>0</v>
      </c>
      <c r="M3138">
        <f t="shared" si="197"/>
        <v>1</v>
      </c>
      <c r="N3138">
        <f t="shared" si="198"/>
        <v>0</v>
      </c>
      <c r="O3138" t="str">
        <f t="shared" si="199"/>
        <v>Proposta Ok</v>
      </c>
    </row>
    <row r="3139" spans="12:15" x14ac:dyDescent="0.25">
      <c r="L3139">
        <f t="shared" si="196"/>
        <v>0</v>
      </c>
      <c r="M3139">
        <f t="shared" si="197"/>
        <v>1</v>
      </c>
      <c r="N3139">
        <f t="shared" si="198"/>
        <v>0</v>
      </c>
      <c r="O3139" t="str">
        <f t="shared" si="199"/>
        <v>Proposta Ok</v>
      </c>
    </row>
    <row r="3140" spans="12:15" x14ac:dyDescent="0.25">
      <c r="L3140">
        <f t="shared" si="196"/>
        <v>0</v>
      </c>
      <c r="M3140">
        <f t="shared" si="197"/>
        <v>1</v>
      </c>
      <c r="N3140">
        <f t="shared" si="198"/>
        <v>0</v>
      </c>
      <c r="O3140" t="str">
        <f t="shared" si="199"/>
        <v>Proposta Ok</v>
      </c>
    </row>
    <row r="3141" spans="12:15" x14ac:dyDescent="0.25">
      <c r="L3141">
        <f t="shared" si="196"/>
        <v>0</v>
      </c>
      <c r="M3141">
        <f t="shared" si="197"/>
        <v>1</v>
      </c>
      <c r="N3141">
        <f t="shared" si="198"/>
        <v>0</v>
      </c>
      <c r="O3141" t="str">
        <f t="shared" si="199"/>
        <v>Proposta Ok</v>
      </c>
    </row>
    <row r="3142" spans="12:15" x14ac:dyDescent="0.25">
      <c r="L3142">
        <f t="shared" si="196"/>
        <v>0</v>
      </c>
      <c r="M3142">
        <f t="shared" si="197"/>
        <v>1</v>
      </c>
      <c r="N3142">
        <f t="shared" si="198"/>
        <v>0</v>
      </c>
      <c r="O3142" t="str">
        <f t="shared" si="199"/>
        <v>Proposta Ok</v>
      </c>
    </row>
    <row r="3143" spans="12:15" x14ac:dyDescent="0.25">
      <c r="L3143">
        <f t="shared" si="196"/>
        <v>0</v>
      </c>
      <c r="M3143">
        <f t="shared" si="197"/>
        <v>1</v>
      </c>
      <c r="N3143">
        <f t="shared" si="198"/>
        <v>0</v>
      </c>
      <c r="O3143" t="str">
        <f t="shared" si="199"/>
        <v>Proposta Ok</v>
      </c>
    </row>
    <row r="3144" spans="12:15" x14ac:dyDescent="0.25">
      <c r="L3144">
        <f t="shared" si="196"/>
        <v>0</v>
      </c>
      <c r="M3144">
        <f t="shared" si="197"/>
        <v>1</v>
      </c>
      <c r="N3144">
        <f t="shared" si="198"/>
        <v>0</v>
      </c>
      <c r="O3144" t="str">
        <f t="shared" si="199"/>
        <v>Proposta Ok</v>
      </c>
    </row>
    <row r="3145" spans="12:15" x14ac:dyDescent="0.25">
      <c r="L3145">
        <f t="shared" si="196"/>
        <v>0</v>
      </c>
      <c r="M3145">
        <f t="shared" si="197"/>
        <v>1</v>
      </c>
      <c r="N3145">
        <f t="shared" si="198"/>
        <v>0</v>
      </c>
      <c r="O3145" t="str">
        <f t="shared" si="199"/>
        <v>Proposta Ok</v>
      </c>
    </row>
    <row r="3146" spans="12:15" x14ac:dyDescent="0.25">
      <c r="L3146">
        <f t="shared" si="196"/>
        <v>0</v>
      </c>
      <c r="M3146">
        <f t="shared" si="197"/>
        <v>1</v>
      </c>
      <c r="N3146">
        <f t="shared" si="198"/>
        <v>0</v>
      </c>
      <c r="O3146" t="str">
        <f t="shared" si="199"/>
        <v>Proposta Ok</v>
      </c>
    </row>
    <row r="3147" spans="12:15" x14ac:dyDescent="0.25">
      <c r="L3147">
        <f t="shared" si="196"/>
        <v>0</v>
      </c>
      <c r="M3147">
        <f t="shared" si="197"/>
        <v>1</v>
      </c>
      <c r="N3147">
        <f t="shared" si="198"/>
        <v>0</v>
      </c>
      <c r="O3147" t="str">
        <f t="shared" si="199"/>
        <v>Proposta Ok</v>
      </c>
    </row>
    <row r="3148" spans="12:15" x14ac:dyDescent="0.25">
      <c r="L3148">
        <f t="shared" si="196"/>
        <v>0</v>
      </c>
      <c r="M3148">
        <f t="shared" si="197"/>
        <v>1</v>
      </c>
      <c r="N3148">
        <f t="shared" si="198"/>
        <v>0</v>
      </c>
      <c r="O3148" t="str">
        <f t="shared" si="199"/>
        <v>Proposta Ok</v>
      </c>
    </row>
    <row r="3149" spans="12:15" x14ac:dyDescent="0.25">
      <c r="L3149">
        <f t="shared" si="196"/>
        <v>0</v>
      </c>
      <c r="M3149">
        <f t="shared" si="197"/>
        <v>1</v>
      </c>
      <c r="N3149">
        <f t="shared" si="198"/>
        <v>0</v>
      </c>
      <c r="O3149" t="str">
        <f t="shared" si="199"/>
        <v>Proposta Ok</v>
      </c>
    </row>
    <row r="3150" spans="12:15" x14ac:dyDescent="0.25">
      <c r="L3150">
        <f t="shared" si="196"/>
        <v>0</v>
      </c>
      <c r="M3150">
        <f t="shared" si="197"/>
        <v>1</v>
      </c>
      <c r="N3150">
        <f t="shared" si="198"/>
        <v>0</v>
      </c>
      <c r="O3150" t="str">
        <f t="shared" si="199"/>
        <v>Proposta Ok</v>
      </c>
    </row>
    <row r="3151" spans="12:15" x14ac:dyDescent="0.25">
      <c r="L3151">
        <f t="shared" si="196"/>
        <v>0</v>
      </c>
      <c r="M3151">
        <f t="shared" si="197"/>
        <v>1</v>
      </c>
      <c r="N3151">
        <f t="shared" si="198"/>
        <v>0</v>
      </c>
      <c r="O3151" t="str">
        <f t="shared" si="199"/>
        <v>Proposta Ok</v>
      </c>
    </row>
    <row r="3152" spans="12:15" x14ac:dyDescent="0.25">
      <c r="L3152">
        <f t="shared" si="196"/>
        <v>0</v>
      </c>
      <c r="M3152">
        <f t="shared" si="197"/>
        <v>1</v>
      </c>
      <c r="N3152">
        <f t="shared" si="198"/>
        <v>0</v>
      </c>
      <c r="O3152" t="str">
        <f t="shared" si="199"/>
        <v>Proposta Ok</v>
      </c>
    </row>
    <row r="3153" spans="12:15" x14ac:dyDescent="0.25">
      <c r="L3153">
        <f t="shared" si="196"/>
        <v>0</v>
      </c>
      <c r="M3153">
        <f t="shared" si="197"/>
        <v>1</v>
      </c>
      <c r="N3153">
        <f t="shared" si="198"/>
        <v>0</v>
      </c>
      <c r="O3153" t="str">
        <f t="shared" si="199"/>
        <v>Proposta Ok</v>
      </c>
    </row>
    <row r="3154" spans="12:15" x14ac:dyDescent="0.25">
      <c r="L3154">
        <f t="shared" si="196"/>
        <v>0</v>
      </c>
      <c r="M3154">
        <f t="shared" si="197"/>
        <v>1</v>
      </c>
      <c r="N3154">
        <f t="shared" si="198"/>
        <v>0</v>
      </c>
      <c r="O3154" t="str">
        <f t="shared" si="199"/>
        <v>Proposta Ok</v>
      </c>
    </row>
    <row r="3155" spans="12:15" x14ac:dyDescent="0.25">
      <c r="L3155">
        <f t="shared" si="196"/>
        <v>0</v>
      </c>
      <c r="M3155">
        <f t="shared" si="197"/>
        <v>1</v>
      </c>
      <c r="N3155">
        <f t="shared" si="198"/>
        <v>0</v>
      </c>
      <c r="O3155" t="str">
        <f t="shared" si="199"/>
        <v>Proposta Ok</v>
      </c>
    </row>
    <row r="3156" spans="12:15" x14ac:dyDescent="0.25">
      <c r="L3156">
        <f t="shared" si="196"/>
        <v>0</v>
      </c>
      <c r="M3156">
        <f t="shared" si="197"/>
        <v>1</v>
      </c>
      <c r="N3156">
        <f t="shared" si="198"/>
        <v>0</v>
      </c>
      <c r="O3156" t="str">
        <f t="shared" si="199"/>
        <v>Proposta Ok</v>
      </c>
    </row>
    <row r="3157" spans="12:15" x14ac:dyDescent="0.25">
      <c r="L3157">
        <f t="shared" si="196"/>
        <v>0</v>
      </c>
      <c r="M3157">
        <f t="shared" si="197"/>
        <v>1</v>
      </c>
      <c r="N3157">
        <f t="shared" si="198"/>
        <v>0</v>
      </c>
      <c r="O3157" t="str">
        <f t="shared" si="199"/>
        <v>Proposta Ok</v>
      </c>
    </row>
    <row r="3158" spans="12:15" x14ac:dyDescent="0.25">
      <c r="L3158">
        <f t="shared" si="196"/>
        <v>0</v>
      </c>
      <c r="M3158">
        <f t="shared" si="197"/>
        <v>1</v>
      </c>
      <c r="N3158">
        <f t="shared" si="198"/>
        <v>0</v>
      </c>
      <c r="O3158" t="str">
        <f t="shared" si="199"/>
        <v>Proposta Ok</v>
      </c>
    </row>
    <row r="3159" spans="12:15" x14ac:dyDescent="0.25">
      <c r="L3159">
        <f t="shared" si="196"/>
        <v>0</v>
      </c>
      <c r="M3159">
        <f t="shared" si="197"/>
        <v>1</v>
      </c>
      <c r="N3159">
        <f t="shared" si="198"/>
        <v>0</v>
      </c>
      <c r="O3159" t="str">
        <f t="shared" si="199"/>
        <v>Proposta Ok</v>
      </c>
    </row>
    <row r="3160" spans="12:15" x14ac:dyDescent="0.25">
      <c r="L3160">
        <f t="shared" si="196"/>
        <v>0</v>
      </c>
      <c r="M3160">
        <f t="shared" si="197"/>
        <v>1</v>
      </c>
      <c r="N3160">
        <f t="shared" si="198"/>
        <v>0</v>
      </c>
      <c r="O3160" t="str">
        <f t="shared" si="199"/>
        <v>Proposta Ok</v>
      </c>
    </row>
    <row r="3161" spans="12:15" x14ac:dyDescent="0.25">
      <c r="L3161">
        <f t="shared" si="196"/>
        <v>0</v>
      </c>
      <c r="M3161">
        <f t="shared" si="197"/>
        <v>1</v>
      </c>
      <c r="N3161">
        <f t="shared" si="198"/>
        <v>0</v>
      </c>
      <c r="O3161" t="str">
        <f t="shared" si="199"/>
        <v>Proposta Ok</v>
      </c>
    </row>
    <row r="3162" spans="12:15" x14ac:dyDescent="0.25">
      <c r="L3162">
        <f t="shared" si="196"/>
        <v>0</v>
      </c>
      <c r="M3162">
        <f t="shared" si="197"/>
        <v>1</v>
      </c>
      <c r="N3162">
        <f t="shared" si="198"/>
        <v>0</v>
      </c>
      <c r="O3162" t="str">
        <f t="shared" si="199"/>
        <v>Proposta Ok</v>
      </c>
    </row>
    <row r="3163" spans="12:15" x14ac:dyDescent="0.25">
      <c r="L3163">
        <f t="shared" ref="L3163:L3226" si="200">IF(OR(I3163="Termo OK (Exceção)",I3163="Termo OK"),1,0)</f>
        <v>0</v>
      </c>
      <c r="M3163">
        <f t="shared" ref="M3163:M3226" si="201">IF(OR(I3163="Termo OK (Exceção)",I3163="Termo OK"),0,1)</f>
        <v>1</v>
      </c>
      <c r="N3163">
        <f t="shared" ref="N3163:N3226" si="202">IF(J3163="SIM",1,0)</f>
        <v>0</v>
      </c>
      <c r="O3163" t="str">
        <f t="shared" ref="O3163:O3226" si="203">IF(SUMIFS(M:M,A:A,A3163)&gt;0,"Proposta não Ok","Proposta Ok")</f>
        <v>Proposta Ok</v>
      </c>
    </row>
    <row r="3164" spans="12:15" x14ac:dyDescent="0.25">
      <c r="L3164">
        <f t="shared" si="200"/>
        <v>0</v>
      </c>
      <c r="M3164">
        <f t="shared" si="201"/>
        <v>1</v>
      </c>
      <c r="N3164">
        <f t="shared" si="202"/>
        <v>0</v>
      </c>
      <c r="O3164" t="str">
        <f t="shared" si="203"/>
        <v>Proposta Ok</v>
      </c>
    </row>
    <row r="3165" spans="12:15" x14ac:dyDescent="0.25">
      <c r="L3165">
        <f t="shared" si="200"/>
        <v>0</v>
      </c>
      <c r="M3165">
        <f t="shared" si="201"/>
        <v>1</v>
      </c>
      <c r="N3165">
        <f t="shared" si="202"/>
        <v>0</v>
      </c>
      <c r="O3165" t="str">
        <f t="shared" si="203"/>
        <v>Proposta Ok</v>
      </c>
    </row>
    <row r="3166" spans="12:15" x14ac:dyDescent="0.25">
      <c r="L3166">
        <f t="shared" si="200"/>
        <v>0</v>
      </c>
      <c r="M3166">
        <f t="shared" si="201"/>
        <v>1</v>
      </c>
      <c r="N3166">
        <f t="shared" si="202"/>
        <v>0</v>
      </c>
      <c r="O3166" t="str">
        <f t="shared" si="203"/>
        <v>Proposta Ok</v>
      </c>
    </row>
    <row r="3167" spans="12:15" x14ac:dyDescent="0.25">
      <c r="L3167">
        <f t="shared" si="200"/>
        <v>0</v>
      </c>
      <c r="M3167">
        <f t="shared" si="201"/>
        <v>1</v>
      </c>
      <c r="N3167">
        <f t="shared" si="202"/>
        <v>0</v>
      </c>
      <c r="O3167" t="str">
        <f t="shared" si="203"/>
        <v>Proposta Ok</v>
      </c>
    </row>
    <row r="3168" spans="12:15" x14ac:dyDescent="0.25">
      <c r="L3168">
        <f t="shared" si="200"/>
        <v>0</v>
      </c>
      <c r="M3168">
        <f t="shared" si="201"/>
        <v>1</v>
      </c>
      <c r="N3168">
        <f t="shared" si="202"/>
        <v>0</v>
      </c>
      <c r="O3168" t="str">
        <f t="shared" si="203"/>
        <v>Proposta Ok</v>
      </c>
    </row>
    <row r="3169" spans="12:15" x14ac:dyDescent="0.25">
      <c r="L3169">
        <f t="shared" si="200"/>
        <v>0</v>
      </c>
      <c r="M3169">
        <f t="shared" si="201"/>
        <v>1</v>
      </c>
      <c r="N3169">
        <f t="shared" si="202"/>
        <v>0</v>
      </c>
      <c r="O3169" t="str">
        <f t="shared" si="203"/>
        <v>Proposta Ok</v>
      </c>
    </row>
    <row r="3170" spans="12:15" x14ac:dyDescent="0.25">
      <c r="L3170">
        <f t="shared" si="200"/>
        <v>0</v>
      </c>
      <c r="M3170">
        <f t="shared" si="201"/>
        <v>1</v>
      </c>
      <c r="N3170">
        <f t="shared" si="202"/>
        <v>0</v>
      </c>
      <c r="O3170" t="str">
        <f t="shared" si="203"/>
        <v>Proposta Ok</v>
      </c>
    </row>
    <row r="3171" spans="12:15" x14ac:dyDescent="0.25">
      <c r="L3171">
        <f t="shared" si="200"/>
        <v>0</v>
      </c>
      <c r="M3171">
        <f t="shared" si="201"/>
        <v>1</v>
      </c>
      <c r="N3171">
        <f t="shared" si="202"/>
        <v>0</v>
      </c>
      <c r="O3171" t="str">
        <f t="shared" si="203"/>
        <v>Proposta Ok</v>
      </c>
    </row>
    <row r="3172" spans="12:15" x14ac:dyDescent="0.25">
      <c r="L3172">
        <f t="shared" si="200"/>
        <v>0</v>
      </c>
      <c r="M3172">
        <f t="shared" si="201"/>
        <v>1</v>
      </c>
      <c r="N3172">
        <f t="shared" si="202"/>
        <v>0</v>
      </c>
      <c r="O3172" t="str">
        <f t="shared" si="203"/>
        <v>Proposta Ok</v>
      </c>
    </row>
    <row r="3173" spans="12:15" x14ac:dyDescent="0.25">
      <c r="L3173">
        <f t="shared" si="200"/>
        <v>0</v>
      </c>
      <c r="M3173">
        <f t="shared" si="201"/>
        <v>1</v>
      </c>
      <c r="N3173">
        <f t="shared" si="202"/>
        <v>0</v>
      </c>
      <c r="O3173" t="str">
        <f t="shared" si="203"/>
        <v>Proposta Ok</v>
      </c>
    </row>
    <row r="3174" spans="12:15" x14ac:dyDescent="0.25">
      <c r="L3174">
        <f t="shared" si="200"/>
        <v>0</v>
      </c>
      <c r="M3174">
        <f t="shared" si="201"/>
        <v>1</v>
      </c>
      <c r="N3174">
        <f t="shared" si="202"/>
        <v>0</v>
      </c>
      <c r="O3174" t="str">
        <f t="shared" si="203"/>
        <v>Proposta Ok</v>
      </c>
    </row>
    <row r="3175" spans="12:15" x14ac:dyDescent="0.25">
      <c r="L3175">
        <f t="shared" si="200"/>
        <v>0</v>
      </c>
      <c r="M3175">
        <f t="shared" si="201"/>
        <v>1</v>
      </c>
      <c r="N3175">
        <f t="shared" si="202"/>
        <v>0</v>
      </c>
      <c r="O3175" t="str">
        <f t="shared" si="203"/>
        <v>Proposta Ok</v>
      </c>
    </row>
    <row r="3176" spans="12:15" x14ac:dyDescent="0.25">
      <c r="L3176">
        <f t="shared" si="200"/>
        <v>0</v>
      </c>
      <c r="M3176">
        <f t="shared" si="201"/>
        <v>1</v>
      </c>
      <c r="N3176">
        <f t="shared" si="202"/>
        <v>0</v>
      </c>
      <c r="O3176" t="str">
        <f t="shared" si="203"/>
        <v>Proposta Ok</v>
      </c>
    </row>
    <row r="3177" spans="12:15" x14ac:dyDescent="0.25">
      <c r="L3177">
        <f t="shared" si="200"/>
        <v>0</v>
      </c>
      <c r="M3177">
        <f t="shared" si="201"/>
        <v>1</v>
      </c>
      <c r="N3177">
        <f t="shared" si="202"/>
        <v>0</v>
      </c>
      <c r="O3177" t="str">
        <f t="shared" si="203"/>
        <v>Proposta Ok</v>
      </c>
    </row>
    <row r="3178" spans="12:15" x14ac:dyDescent="0.25">
      <c r="L3178">
        <f t="shared" si="200"/>
        <v>0</v>
      </c>
      <c r="M3178">
        <f t="shared" si="201"/>
        <v>1</v>
      </c>
      <c r="N3178">
        <f t="shared" si="202"/>
        <v>0</v>
      </c>
      <c r="O3178" t="str">
        <f t="shared" si="203"/>
        <v>Proposta Ok</v>
      </c>
    </row>
    <row r="3179" spans="12:15" x14ac:dyDescent="0.25">
      <c r="L3179">
        <f t="shared" si="200"/>
        <v>0</v>
      </c>
      <c r="M3179">
        <f t="shared" si="201"/>
        <v>1</v>
      </c>
      <c r="N3179">
        <f t="shared" si="202"/>
        <v>0</v>
      </c>
      <c r="O3179" t="str">
        <f t="shared" si="203"/>
        <v>Proposta Ok</v>
      </c>
    </row>
    <row r="3180" spans="12:15" x14ac:dyDescent="0.25">
      <c r="L3180">
        <f t="shared" si="200"/>
        <v>0</v>
      </c>
      <c r="M3180">
        <f t="shared" si="201"/>
        <v>1</v>
      </c>
      <c r="N3180">
        <f t="shared" si="202"/>
        <v>0</v>
      </c>
      <c r="O3180" t="str">
        <f t="shared" si="203"/>
        <v>Proposta Ok</v>
      </c>
    </row>
    <row r="3181" spans="12:15" x14ac:dyDescent="0.25">
      <c r="L3181">
        <f t="shared" si="200"/>
        <v>0</v>
      </c>
      <c r="M3181">
        <f t="shared" si="201"/>
        <v>1</v>
      </c>
      <c r="N3181">
        <f t="shared" si="202"/>
        <v>0</v>
      </c>
      <c r="O3181" t="str">
        <f t="shared" si="203"/>
        <v>Proposta Ok</v>
      </c>
    </row>
    <row r="3182" spans="12:15" x14ac:dyDescent="0.25">
      <c r="L3182">
        <f t="shared" si="200"/>
        <v>0</v>
      </c>
      <c r="M3182">
        <f t="shared" si="201"/>
        <v>1</v>
      </c>
      <c r="N3182">
        <f t="shared" si="202"/>
        <v>0</v>
      </c>
      <c r="O3182" t="str">
        <f t="shared" si="203"/>
        <v>Proposta Ok</v>
      </c>
    </row>
    <row r="3183" spans="12:15" x14ac:dyDescent="0.25">
      <c r="L3183">
        <f t="shared" si="200"/>
        <v>0</v>
      </c>
      <c r="M3183">
        <f t="shared" si="201"/>
        <v>1</v>
      </c>
      <c r="N3183">
        <f t="shared" si="202"/>
        <v>0</v>
      </c>
      <c r="O3183" t="str">
        <f t="shared" si="203"/>
        <v>Proposta Ok</v>
      </c>
    </row>
    <row r="3184" spans="12:15" x14ac:dyDescent="0.25">
      <c r="L3184">
        <f t="shared" si="200"/>
        <v>0</v>
      </c>
      <c r="M3184">
        <f t="shared" si="201"/>
        <v>1</v>
      </c>
      <c r="N3184">
        <f t="shared" si="202"/>
        <v>0</v>
      </c>
      <c r="O3184" t="str">
        <f t="shared" si="203"/>
        <v>Proposta Ok</v>
      </c>
    </row>
    <row r="3185" spans="12:15" x14ac:dyDescent="0.25">
      <c r="L3185">
        <f t="shared" si="200"/>
        <v>0</v>
      </c>
      <c r="M3185">
        <f t="shared" si="201"/>
        <v>1</v>
      </c>
      <c r="N3185">
        <f t="shared" si="202"/>
        <v>0</v>
      </c>
      <c r="O3185" t="str">
        <f t="shared" si="203"/>
        <v>Proposta Ok</v>
      </c>
    </row>
    <row r="3186" spans="12:15" x14ac:dyDescent="0.25">
      <c r="L3186">
        <f t="shared" si="200"/>
        <v>0</v>
      </c>
      <c r="M3186">
        <f t="shared" si="201"/>
        <v>1</v>
      </c>
      <c r="N3186">
        <f t="shared" si="202"/>
        <v>0</v>
      </c>
      <c r="O3186" t="str">
        <f t="shared" si="203"/>
        <v>Proposta Ok</v>
      </c>
    </row>
    <row r="3187" spans="12:15" x14ac:dyDescent="0.25">
      <c r="L3187">
        <f t="shared" si="200"/>
        <v>0</v>
      </c>
      <c r="M3187">
        <f t="shared" si="201"/>
        <v>1</v>
      </c>
      <c r="N3187">
        <f t="shared" si="202"/>
        <v>0</v>
      </c>
      <c r="O3187" t="str">
        <f t="shared" si="203"/>
        <v>Proposta Ok</v>
      </c>
    </row>
    <row r="3188" spans="12:15" x14ac:dyDescent="0.25">
      <c r="L3188">
        <f t="shared" si="200"/>
        <v>0</v>
      </c>
      <c r="M3188">
        <f t="shared" si="201"/>
        <v>1</v>
      </c>
      <c r="N3188">
        <f t="shared" si="202"/>
        <v>0</v>
      </c>
      <c r="O3188" t="str">
        <f t="shared" si="203"/>
        <v>Proposta Ok</v>
      </c>
    </row>
    <row r="3189" spans="12:15" x14ac:dyDescent="0.25">
      <c r="L3189">
        <f t="shared" si="200"/>
        <v>0</v>
      </c>
      <c r="M3189">
        <f t="shared" si="201"/>
        <v>1</v>
      </c>
      <c r="N3189">
        <f t="shared" si="202"/>
        <v>0</v>
      </c>
      <c r="O3189" t="str">
        <f t="shared" si="203"/>
        <v>Proposta Ok</v>
      </c>
    </row>
    <row r="3190" spans="12:15" x14ac:dyDescent="0.25">
      <c r="L3190">
        <f t="shared" si="200"/>
        <v>0</v>
      </c>
      <c r="M3190">
        <f t="shared" si="201"/>
        <v>1</v>
      </c>
      <c r="N3190">
        <f t="shared" si="202"/>
        <v>0</v>
      </c>
      <c r="O3190" t="str">
        <f t="shared" si="203"/>
        <v>Proposta Ok</v>
      </c>
    </row>
    <row r="3191" spans="12:15" x14ac:dyDescent="0.25">
      <c r="L3191">
        <f t="shared" si="200"/>
        <v>0</v>
      </c>
      <c r="M3191">
        <f t="shared" si="201"/>
        <v>1</v>
      </c>
      <c r="N3191">
        <f t="shared" si="202"/>
        <v>0</v>
      </c>
      <c r="O3191" t="str">
        <f t="shared" si="203"/>
        <v>Proposta Ok</v>
      </c>
    </row>
    <row r="3192" spans="12:15" x14ac:dyDescent="0.25">
      <c r="L3192">
        <f t="shared" si="200"/>
        <v>0</v>
      </c>
      <c r="M3192">
        <f t="shared" si="201"/>
        <v>1</v>
      </c>
      <c r="N3192">
        <f t="shared" si="202"/>
        <v>0</v>
      </c>
      <c r="O3192" t="str">
        <f t="shared" si="203"/>
        <v>Proposta Ok</v>
      </c>
    </row>
    <row r="3193" spans="12:15" x14ac:dyDescent="0.25">
      <c r="L3193">
        <f t="shared" si="200"/>
        <v>0</v>
      </c>
      <c r="M3193">
        <f t="shared" si="201"/>
        <v>1</v>
      </c>
      <c r="N3193">
        <f t="shared" si="202"/>
        <v>0</v>
      </c>
      <c r="O3193" t="str">
        <f t="shared" si="203"/>
        <v>Proposta Ok</v>
      </c>
    </row>
    <row r="3194" spans="12:15" x14ac:dyDescent="0.25">
      <c r="L3194">
        <f t="shared" si="200"/>
        <v>0</v>
      </c>
      <c r="M3194">
        <f t="shared" si="201"/>
        <v>1</v>
      </c>
      <c r="N3194">
        <f t="shared" si="202"/>
        <v>0</v>
      </c>
      <c r="O3194" t="str">
        <f t="shared" si="203"/>
        <v>Proposta Ok</v>
      </c>
    </row>
    <row r="3195" spans="12:15" x14ac:dyDescent="0.25">
      <c r="L3195">
        <f t="shared" si="200"/>
        <v>0</v>
      </c>
      <c r="M3195">
        <f t="shared" si="201"/>
        <v>1</v>
      </c>
      <c r="N3195">
        <f t="shared" si="202"/>
        <v>0</v>
      </c>
      <c r="O3195" t="str">
        <f t="shared" si="203"/>
        <v>Proposta Ok</v>
      </c>
    </row>
    <row r="3196" spans="12:15" x14ac:dyDescent="0.25">
      <c r="L3196">
        <f t="shared" si="200"/>
        <v>0</v>
      </c>
      <c r="M3196">
        <f t="shared" si="201"/>
        <v>1</v>
      </c>
      <c r="N3196">
        <f t="shared" si="202"/>
        <v>0</v>
      </c>
      <c r="O3196" t="str">
        <f t="shared" si="203"/>
        <v>Proposta Ok</v>
      </c>
    </row>
    <row r="3197" spans="12:15" x14ac:dyDescent="0.25">
      <c r="L3197">
        <f t="shared" si="200"/>
        <v>0</v>
      </c>
      <c r="M3197">
        <f t="shared" si="201"/>
        <v>1</v>
      </c>
      <c r="N3197">
        <f t="shared" si="202"/>
        <v>0</v>
      </c>
      <c r="O3197" t="str">
        <f t="shared" si="203"/>
        <v>Proposta Ok</v>
      </c>
    </row>
    <row r="3198" spans="12:15" x14ac:dyDescent="0.25">
      <c r="L3198">
        <f t="shared" si="200"/>
        <v>0</v>
      </c>
      <c r="M3198">
        <f t="shared" si="201"/>
        <v>1</v>
      </c>
      <c r="N3198">
        <f t="shared" si="202"/>
        <v>0</v>
      </c>
      <c r="O3198" t="str">
        <f t="shared" si="203"/>
        <v>Proposta Ok</v>
      </c>
    </row>
    <row r="3199" spans="12:15" x14ac:dyDescent="0.25">
      <c r="L3199">
        <f t="shared" si="200"/>
        <v>0</v>
      </c>
      <c r="M3199">
        <f t="shared" si="201"/>
        <v>1</v>
      </c>
      <c r="N3199">
        <f t="shared" si="202"/>
        <v>0</v>
      </c>
      <c r="O3199" t="str">
        <f t="shared" si="203"/>
        <v>Proposta Ok</v>
      </c>
    </row>
    <row r="3200" spans="12:15" x14ac:dyDescent="0.25">
      <c r="L3200">
        <f t="shared" si="200"/>
        <v>0</v>
      </c>
      <c r="M3200">
        <f t="shared" si="201"/>
        <v>1</v>
      </c>
      <c r="N3200">
        <f t="shared" si="202"/>
        <v>0</v>
      </c>
      <c r="O3200" t="str">
        <f t="shared" si="203"/>
        <v>Proposta Ok</v>
      </c>
    </row>
    <row r="3201" spans="12:15" x14ac:dyDescent="0.25">
      <c r="L3201">
        <f t="shared" si="200"/>
        <v>0</v>
      </c>
      <c r="M3201">
        <f t="shared" si="201"/>
        <v>1</v>
      </c>
      <c r="N3201">
        <f t="shared" si="202"/>
        <v>0</v>
      </c>
      <c r="O3201" t="str">
        <f t="shared" si="203"/>
        <v>Proposta Ok</v>
      </c>
    </row>
    <row r="3202" spans="12:15" x14ac:dyDescent="0.25">
      <c r="L3202">
        <f t="shared" si="200"/>
        <v>0</v>
      </c>
      <c r="M3202">
        <f t="shared" si="201"/>
        <v>1</v>
      </c>
      <c r="N3202">
        <f t="shared" si="202"/>
        <v>0</v>
      </c>
      <c r="O3202" t="str">
        <f t="shared" si="203"/>
        <v>Proposta Ok</v>
      </c>
    </row>
    <row r="3203" spans="12:15" x14ac:dyDescent="0.25">
      <c r="L3203">
        <f t="shared" si="200"/>
        <v>0</v>
      </c>
      <c r="M3203">
        <f t="shared" si="201"/>
        <v>1</v>
      </c>
      <c r="N3203">
        <f t="shared" si="202"/>
        <v>0</v>
      </c>
      <c r="O3203" t="str">
        <f t="shared" si="203"/>
        <v>Proposta Ok</v>
      </c>
    </row>
    <row r="3204" spans="12:15" x14ac:dyDescent="0.25">
      <c r="L3204">
        <f t="shared" si="200"/>
        <v>0</v>
      </c>
      <c r="M3204">
        <f t="shared" si="201"/>
        <v>1</v>
      </c>
      <c r="N3204">
        <f t="shared" si="202"/>
        <v>0</v>
      </c>
      <c r="O3204" t="str">
        <f t="shared" si="203"/>
        <v>Proposta Ok</v>
      </c>
    </row>
    <row r="3205" spans="12:15" x14ac:dyDescent="0.25">
      <c r="L3205">
        <f t="shared" si="200"/>
        <v>0</v>
      </c>
      <c r="M3205">
        <f t="shared" si="201"/>
        <v>1</v>
      </c>
      <c r="N3205">
        <f t="shared" si="202"/>
        <v>0</v>
      </c>
      <c r="O3205" t="str">
        <f t="shared" si="203"/>
        <v>Proposta Ok</v>
      </c>
    </row>
    <row r="3206" spans="12:15" x14ac:dyDescent="0.25">
      <c r="L3206">
        <f t="shared" si="200"/>
        <v>0</v>
      </c>
      <c r="M3206">
        <f t="shared" si="201"/>
        <v>1</v>
      </c>
      <c r="N3206">
        <f t="shared" si="202"/>
        <v>0</v>
      </c>
      <c r="O3206" t="str">
        <f t="shared" si="203"/>
        <v>Proposta Ok</v>
      </c>
    </row>
    <row r="3207" spans="12:15" x14ac:dyDescent="0.25">
      <c r="L3207">
        <f t="shared" si="200"/>
        <v>0</v>
      </c>
      <c r="M3207">
        <f t="shared" si="201"/>
        <v>1</v>
      </c>
      <c r="N3207">
        <f t="shared" si="202"/>
        <v>0</v>
      </c>
      <c r="O3207" t="str">
        <f t="shared" si="203"/>
        <v>Proposta Ok</v>
      </c>
    </row>
    <row r="3208" spans="12:15" x14ac:dyDescent="0.25">
      <c r="L3208">
        <f t="shared" si="200"/>
        <v>0</v>
      </c>
      <c r="M3208">
        <f t="shared" si="201"/>
        <v>1</v>
      </c>
      <c r="N3208">
        <f t="shared" si="202"/>
        <v>0</v>
      </c>
      <c r="O3208" t="str">
        <f t="shared" si="203"/>
        <v>Proposta Ok</v>
      </c>
    </row>
    <row r="3209" spans="12:15" x14ac:dyDescent="0.25">
      <c r="L3209">
        <f t="shared" si="200"/>
        <v>0</v>
      </c>
      <c r="M3209">
        <f t="shared" si="201"/>
        <v>1</v>
      </c>
      <c r="N3209">
        <f t="shared" si="202"/>
        <v>0</v>
      </c>
      <c r="O3209" t="str">
        <f t="shared" si="203"/>
        <v>Proposta Ok</v>
      </c>
    </row>
    <row r="3210" spans="12:15" x14ac:dyDescent="0.25">
      <c r="L3210">
        <f t="shared" si="200"/>
        <v>0</v>
      </c>
      <c r="M3210">
        <f t="shared" si="201"/>
        <v>1</v>
      </c>
      <c r="N3210">
        <f t="shared" si="202"/>
        <v>0</v>
      </c>
      <c r="O3210" t="str">
        <f t="shared" si="203"/>
        <v>Proposta Ok</v>
      </c>
    </row>
    <row r="3211" spans="12:15" x14ac:dyDescent="0.25">
      <c r="L3211">
        <f t="shared" si="200"/>
        <v>0</v>
      </c>
      <c r="M3211">
        <f t="shared" si="201"/>
        <v>1</v>
      </c>
      <c r="N3211">
        <f t="shared" si="202"/>
        <v>0</v>
      </c>
      <c r="O3211" t="str">
        <f t="shared" si="203"/>
        <v>Proposta Ok</v>
      </c>
    </row>
    <row r="3212" spans="12:15" x14ac:dyDescent="0.25">
      <c r="L3212">
        <f t="shared" si="200"/>
        <v>0</v>
      </c>
      <c r="M3212">
        <f t="shared" si="201"/>
        <v>1</v>
      </c>
      <c r="N3212">
        <f t="shared" si="202"/>
        <v>0</v>
      </c>
      <c r="O3212" t="str">
        <f t="shared" si="203"/>
        <v>Proposta Ok</v>
      </c>
    </row>
    <row r="3213" spans="12:15" x14ac:dyDescent="0.25">
      <c r="L3213">
        <f t="shared" si="200"/>
        <v>0</v>
      </c>
      <c r="M3213">
        <f t="shared" si="201"/>
        <v>1</v>
      </c>
      <c r="N3213">
        <f t="shared" si="202"/>
        <v>0</v>
      </c>
      <c r="O3213" t="str">
        <f t="shared" si="203"/>
        <v>Proposta Ok</v>
      </c>
    </row>
    <row r="3214" spans="12:15" x14ac:dyDescent="0.25">
      <c r="L3214">
        <f t="shared" si="200"/>
        <v>0</v>
      </c>
      <c r="M3214">
        <f t="shared" si="201"/>
        <v>1</v>
      </c>
      <c r="N3214">
        <f t="shared" si="202"/>
        <v>0</v>
      </c>
      <c r="O3214" t="str">
        <f t="shared" si="203"/>
        <v>Proposta Ok</v>
      </c>
    </row>
    <row r="3215" spans="12:15" x14ac:dyDescent="0.25">
      <c r="L3215">
        <f t="shared" si="200"/>
        <v>0</v>
      </c>
      <c r="M3215">
        <f t="shared" si="201"/>
        <v>1</v>
      </c>
      <c r="N3215">
        <f t="shared" si="202"/>
        <v>0</v>
      </c>
      <c r="O3215" t="str">
        <f t="shared" si="203"/>
        <v>Proposta Ok</v>
      </c>
    </row>
    <row r="3216" spans="12:15" x14ac:dyDescent="0.25">
      <c r="L3216">
        <f t="shared" si="200"/>
        <v>0</v>
      </c>
      <c r="M3216">
        <f t="shared" si="201"/>
        <v>1</v>
      </c>
      <c r="N3216">
        <f t="shared" si="202"/>
        <v>0</v>
      </c>
      <c r="O3216" t="str">
        <f t="shared" si="203"/>
        <v>Proposta Ok</v>
      </c>
    </row>
    <row r="3217" spans="12:15" x14ac:dyDescent="0.25">
      <c r="L3217">
        <f t="shared" si="200"/>
        <v>0</v>
      </c>
      <c r="M3217">
        <f t="shared" si="201"/>
        <v>1</v>
      </c>
      <c r="N3217">
        <f t="shared" si="202"/>
        <v>0</v>
      </c>
      <c r="O3217" t="str">
        <f t="shared" si="203"/>
        <v>Proposta Ok</v>
      </c>
    </row>
    <row r="3218" spans="12:15" x14ac:dyDescent="0.25">
      <c r="L3218">
        <f t="shared" si="200"/>
        <v>0</v>
      </c>
      <c r="M3218">
        <f t="shared" si="201"/>
        <v>1</v>
      </c>
      <c r="N3218">
        <f t="shared" si="202"/>
        <v>0</v>
      </c>
      <c r="O3218" t="str">
        <f t="shared" si="203"/>
        <v>Proposta Ok</v>
      </c>
    </row>
    <row r="3219" spans="12:15" x14ac:dyDescent="0.25">
      <c r="L3219">
        <f t="shared" si="200"/>
        <v>0</v>
      </c>
      <c r="M3219">
        <f t="shared" si="201"/>
        <v>1</v>
      </c>
      <c r="N3219">
        <f t="shared" si="202"/>
        <v>0</v>
      </c>
      <c r="O3219" t="str">
        <f t="shared" si="203"/>
        <v>Proposta Ok</v>
      </c>
    </row>
    <row r="3220" spans="12:15" x14ac:dyDescent="0.25">
      <c r="L3220">
        <f t="shared" si="200"/>
        <v>0</v>
      </c>
      <c r="M3220">
        <f t="shared" si="201"/>
        <v>1</v>
      </c>
      <c r="N3220">
        <f t="shared" si="202"/>
        <v>0</v>
      </c>
      <c r="O3220" t="str">
        <f t="shared" si="203"/>
        <v>Proposta Ok</v>
      </c>
    </row>
    <row r="3221" spans="12:15" x14ac:dyDescent="0.25">
      <c r="L3221">
        <f t="shared" si="200"/>
        <v>0</v>
      </c>
      <c r="M3221">
        <f t="shared" si="201"/>
        <v>1</v>
      </c>
      <c r="N3221">
        <f t="shared" si="202"/>
        <v>0</v>
      </c>
      <c r="O3221" t="str">
        <f t="shared" si="203"/>
        <v>Proposta Ok</v>
      </c>
    </row>
    <row r="3222" spans="12:15" x14ac:dyDescent="0.25">
      <c r="L3222">
        <f t="shared" si="200"/>
        <v>0</v>
      </c>
      <c r="M3222">
        <f t="shared" si="201"/>
        <v>1</v>
      </c>
      <c r="N3222">
        <f t="shared" si="202"/>
        <v>0</v>
      </c>
      <c r="O3222" t="str">
        <f t="shared" si="203"/>
        <v>Proposta Ok</v>
      </c>
    </row>
    <row r="3223" spans="12:15" x14ac:dyDescent="0.25">
      <c r="L3223">
        <f t="shared" si="200"/>
        <v>0</v>
      </c>
      <c r="M3223">
        <f t="shared" si="201"/>
        <v>1</v>
      </c>
      <c r="N3223">
        <f t="shared" si="202"/>
        <v>0</v>
      </c>
      <c r="O3223" t="str">
        <f t="shared" si="203"/>
        <v>Proposta Ok</v>
      </c>
    </row>
    <row r="3224" spans="12:15" x14ac:dyDescent="0.25">
      <c r="L3224">
        <f t="shared" si="200"/>
        <v>0</v>
      </c>
      <c r="M3224">
        <f t="shared" si="201"/>
        <v>1</v>
      </c>
      <c r="N3224">
        <f t="shared" si="202"/>
        <v>0</v>
      </c>
      <c r="O3224" t="str">
        <f t="shared" si="203"/>
        <v>Proposta Ok</v>
      </c>
    </row>
    <row r="3225" spans="12:15" x14ac:dyDescent="0.25">
      <c r="L3225">
        <f t="shared" si="200"/>
        <v>0</v>
      </c>
      <c r="M3225">
        <f t="shared" si="201"/>
        <v>1</v>
      </c>
      <c r="N3225">
        <f t="shared" si="202"/>
        <v>0</v>
      </c>
      <c r="O3225" t="str">
        <f t="shared" si="203"/>
        <v>Proposta Ok</v>
      </c>
    </row>
    <row r="3226" spans="12:15" x14ac:dyDescent="0.25">
      <c r="L3226">
        <f t="shared" si="200"/>
        <v>0</v>
      </c>
      <c r="M3226">
        <f t="shared" si="201"/>
        <v>1</v>
      </c>
      <c r="N3226">
        <f t="shared" si="202"/>
        <v>0</v>
      </c>
      <c r="O3226" t="str">
        <f t="shared" si="203"/>
        <v>Proposta Ok</v>
      </c>
    </row>
    <row r="3227" spans="12:15" x14ac:dyDescent="0.25">
      <c r="L3227">
        <f t="shared" ref="L3227:L3290" si="204">IF(OR(I3227="Termo OK (Exceção)",I3227="Termo OK"),1,0)</f>
        <v>0</v>
      </c>
      <c r="M3227">
        <f t="shared" ref="M3227:M3290" si="205">IF(OR(I3227="Termo OK (Exceção)",I3227="Termo OK"),0,1)</f>
        <v>1</v>
      </c>
      <c r="N3227">
        <f t="shared" ref="N3227:N3290" si="206">IF(J3227="SIM",1,0)</f>
        <v>0</v>
      </c>
      <c r="O3227" t="str">
        <f t="shared" ref="O3227:O3290" si="207">IF(SUMIFS(M:M,A:A,A3227)&gt;0,"Proposta não Ok","Proposta Ok")</f>
        <v>Proposta Ok</v>
      </c>
    </row>
    <row r="3228" spans="12:15" x14ac:dyDescent="0.25">
      <c r="L3228">
        <f t="shared" si="204"/>
        <v>0</v>
      </c>
      <c r="M3228">
        <f t="shared" si="205"/>
        <v>1</v>
      </c>
      <c r="N3228">
        <f t="shared" si="206"/>
        <v>0</v>
      </c>
      <c r="O3228" t="str">
        <f t="shared" si="207"/>
        <v>Proposta Ok</v>
      </c>
    </row>
    <row r="3229" spans="12:15" x14ac:dyDescent="0.25">
      <c r="L3229">
        <f t="shared" si="204"/>
        <v>0</v>
      </c>
      <c r="M3229">
        <f t="shared" si="205"/>
        <v>1</v>
      </c>
      <c r="N3229">
        <f t="shared" si="206"/>
        <v>0</v>
      </c>
      <c r="O3229" t="str">
        <f t="shared" si="207"/>
        <v>Proposta Ok</v>
      </c>
    </row>
    <row r="3230" spans="12:15" x14ac:dyDescent="0.25">
      <c r="L3230">
        <f t="shared" si="204"/>
        <v>0</v>
      </c>
      <c r="M3230">
        <f t="shared" si="205"/>
        <v>1</v>
      </c>
      <c r="N3230">
        <f t="shared" si="206"/>
        <v>0</v>
      </c>
      <c r="O3230" t="str">
        <f t="shared" si="207"/>
        <v>Proposta Ok</v>
      </c>
    </row>
    <row r="3231" spans="12:15" x14ac:dyDescent="0.25">
      <c r="L3231">
        <f t="shared" si="204"/>
        <v>0</v>
      </c>
      <c r="M3231">
        <f t="shared" si="205"/>
        <v>1</v>
      </c>
      <c r="N3231">
        <f t="shared" si="206"/>
        <v>0</v>
      </c>
      <c r="O3231" t="str">
        <f t="shared" si="207"/>
        <v>Proposta Ok</v>
      </c>
    </row>
    <row r="3232" spans="12:15" x14ac:dyDescent="0.25">
      <c r="L3232">
        <f t="shared" si="204"/>
        <v>0</v>
      </c>
      <c r="M3232">
        <f t="shared" si="205"/>
        <v>1</v>
      </c>
      <c r="N3232">
        <f t="shared" si="206"/>
        <v>0</v>
      </c>
      <c r="O3232" t="str">
        <f t="shared" si="207"/>
        <v>Proposta Ok</v>
      </c>
    </row>
    <row r="3233" spans="12:15" x14ac:dyDescent="0.25">
      <c r="L3233">
        <f t="shared" si="204"/>
        <v>0</v>
      </c>
      <c r="M3233">
        <f t="shared" si="205"/>
        <v>1</v>
      </c>
      <c r="N3233">
        <f t="shared" si="206"/>
        <v>0</v>
      </c>
      <c r="O3233" t="str">
        <f t="shared" si="207"/>
        <v>Proposta Ok</v>
      </c>
    </row>
    <row r="3234" spans="12:15" x14ac:dyDescent="0.25">
      <c r="L3234">
        <f t="shared" si="204"/>
        <v>0</v>
      </c>
      <c r="M3234">
        <f t="shared" si="205"/>
        <v>1</v>
      </c>
      <c r="N3234">
        <f t="shared" si="206"/>
        <v>0</v>
      </c>
      <c r="O3234" t="str">
        <f t="shared" si="207"/>
        <v>Proposta Ok</v>
      </c>
    </row>
    <row r="3235" spans="12:15" x14ac:dyDescent="0.25">
      <c r="L3235">
        <f t="shared" si="204"/>
        <v>0</v>
      </c>
      <c r="M3235">
        <f t="shared" si="205"/>
        <v>1</v>
      </c>
      <c r="N3235">
        <f t="shared" si="206"/>
        <v>0</v>
      </c>
      <c r="O3235" t="str">
        <f t="shared" si="207"/>
        <v>Proposta Ok</v>
      </c>
    </row>
    <row r="3236" spans="12:15" x14ac:dyDescent="0.25">
      <c r="L3236">
        <f t="shared" si="204"/>
        <v>0</v>
      </c>
      <c r="M3236">
        <f t="shared" si="205"/>
        <v>1</v>
      </c>
      <c r="N3236">
        <f t="shared" si="206"/>
        <v>0</v>
      </c>
      <c r="O3236" t="str">
        <f t="shared" si="207"/>
        <v>Proposta Ok</v>
      </c>
    </row>
    <row r="3237" spans="12:15" x14ac:dyDescent="0.25">
      <c r="L3237">
        <f t="shared" si="204"/>
        <v>0</v>
      </c>
      <c r="M3237">
        <f t="shared" si="205"/>
        <v>1</v>
      </c>
      <c r="N3237">
        <f t="shared" si="206"/>
        <v>0</v>
      </c>
      <c r="O3237" t="str">
        <f t="shared" si="207"/>
        <v>Proposta Ok</v>
      </c>
    </row>
    <row r="3238" spans="12:15" x14ac:dyDescent="0.25">
      <c r="L3238">
        <f t="shared" si="204"/>
        <v>0</v>
      </c>
      <c r="M3238">
        <f t="shared" si="205"/>
        <v>1</v>
      </c>
      <c r="N3238">
        <f t="shared" si="206"/>
        <v>0</v>
      </c>
      <c r="O3238" t="str">
        <f t="shared" si="207"/>
        <v>Proposta Ok</v>
      </c>
    </row>
    <row r="3239" spans="12:15" x14ac:dyDescent="0.25">
      <c r="L3239">
        <f t="shared" si="204"/>
        <v>0</v>
      </c>
      <c r="M3239">
        <f t="shared" si="205"/>
        <v>1</v>
      </c>
      <c r="N3239">
        <f t="shared" si="206"/>
        <v>0</v>
      </c>
      <c r="O3239" t="str">
        <f t="shared" si="207"/>
        <v>Proposta Ok</v>
      </c>
    </row>
    <row r="3240" spans="12:15" x14ac:dyDescent="0.25">
      <c r="L3240">
        <f t="shared" si="204"/>
        <v>0</v>
      </c>
      <c r="M3240">
        <f t="shared" si="205"/>
        <v>1</v>
      </c>
      <c r="N3240">
        <f t="shared" si="206"/>
        <v>0</v>
      </c>
      <c r="O3240" t="str">
        <f t="shared" si="207"/>
        <v>Proposta Ok</v>
      </c>
    </row>
    <row r="3241" spans="12:15" x14ac:dyDescent="0.25">
      <c r="L3241">
        <f t="shared" si="204"/>
        <v>0</v>
      </c>
      <c r="M3241">
        <f t="shared" si="205"/>
        <v>1</v>
      </c>
      <c r="N3241">
        <f t="shared" si="206"/>
        <v>0</v>
      </c>
      <c r="O3241" t="str">
        <f t="shared" si="207"/>
        <v>Proposta Ok</v>
      </c>
    </row>
    <row r="3242" spans="12:15" x14ac:dyDescent="0.25">
      <c r="L3242">
        <f t="shared" si="204"/>
        <v>0</v>
      </c>
      <c r="M3242">
        <f t="shared" si="205"/>
        <v>1</v>
      </c>
      <c r="N3242">
        <f t="shared" si="206"/>
        <v>0</v>
      </c>
      <c r="O3242" t="str">
        <f t="shared" si="207"/>
        <v>Proposta Ok</v>
      </c>
    </row>
    <row r="3243" spans="12:15" x14ac:dyDescent="0.25">
      <c r="L3243">
        <f t="shared" si="204"/>
        <v>0</v>
      </c>
      <c r="M3243">
        <f t="shared" si="205"/>
        <v>1</v>
      </c>
      <c r="N3243">
        <f t="shared" si="206"/>
        <v>0</v>
      </c>
      <c r="O3243" t="str">
        <f t="shared" si="207"/>
        <v>Proposta Ok</v>
      </c>
    </row>
    <row r="3244" spans="12:15" x14ac:dyDescent="0.25">
      <c r="L3244">
        <f t="shared" si="204"/>
        <v>0</v>
      </c>
      <c r="M3244">
        <f t="shared" si="205"/>
        <v>1</v>
      </c>
      <c r="N3244">
        <f t="shared" si="206"/>
        <v>0</v>
      </c>
      <c r="O3244" t="str">
        <f t="shared" si="207"/>
        <v>Proposta Ok</v>
      </c>
    </row>
    <row r="3245" spans="12:15" x14ac:dyDescent="0.25">
      <c r="L3245">
        <f t="shared" si="204"/>
        <v>0</v>
      </c>
      <c r="M3245">
        <f t="shared" si="205"/>
        <v>1</v>
      </c>
      <c r="N3245">
        <f t="shared" si="206"/>
        <v>0</v>
      </c>
      <c r="O3245" t="str">
        <f t="shared" si="207"/>
        <v>Proposta Ok</v>
      </c>
    </row>
    <row r="3246" spans="12:15" x14ac:dyDescent="0.25">
      <c r="L3246">
        <f t="shared" si="204"/>
        <v>0</v>
      </c>
      <c r="M3246">
        <f t="shared" si="205"/>
        <v>1</v>
      </c>
      <c r="N3246">
        <f t="shared" si="206"/>
        <v>0</v>
      </c>
      <c r="O3246" t="str">
        <f t="shared" si="207"/>
        <v>Proposta Ok</v>
      </c>
    </row>
    <row r="3247" spans="12:15" x14ac:dyDescent="0.25">
      <c r="L3247">
        <f t="shared" si="204"/>
        <v>0</v>
      </c>
      <c r="M3247">
        <f t="shared" si="205"/>
        <v>1</v>
      </c>
      <c r="N3247">
        <f t="shared" si="206"/>
        <v>0</v>
      </c>
      <c r="O3247" t="str">
        <f t="shared" si="207"/>
        <v>Proposta Ok</v>
      </c>
    </row>
    <row r="3248" spans="12:15" x14ac:dyDescent="0.25">
      <c r="L3248">
        <f t="shared" si="204"/>
        <v>0</v>
      </c>
      <c r="M3248">
        <f t="shared" si="205"/>
        <v>1</v>
      </c>
      <c r="N3248">
        <f t="shared" si="206"/>
        <v>0</v>
      </c>
      <c r="O3248" t="str">
        <f t="shared" si="207"/>
        <v>Proposta Ok</v>
      </c>
    </row>
    <row r="3249" spans="12:15" x14ac:dyDescent="0.25">
      <c r="L3249">
        <f t="shared" si="204"/>
        <v>0</v>
      </c>
      <c r="M3249">
        <f t="shared" si="205"/>
        <v>1</v>
      </c>
      <c r="N3249">
        <f t="shared" si="206"/>
        <v>0</v>
      </c>
      <c r="O3249" t="str">
        <f t="shared" si="207"/>
        <v>Proposta Ok</v>
      </c>
    </row>
    <row r="3250" spans="12:15" x14ac:dyDescent="0.25">
      <c r="L3250">
        <f t="shared" si="204"/>
        <v>0</v>
      </c>
      <c r="M3250">
        <f t="shared" si="205"/>
        <v>1</v>
      </c>
      <c r="N3250">
        <f t="shared" si="206"/>
        <v>0</v>
      </c>
      <c r="O3250" t="str">
        <f t="shared" si="207"/>
        <v>Proposta Ok</v>
      </c>
    </row>
    <row r="3251" spans="12:15" x14ac:dyDescent="0.25">
      <c r="L3251">
        <f t="shared" si="204"/>
        <v>0</v>
      </c>
      <c r="M3251">
        <f t="shared" si="205"/>
        <v>1</v>
      </c>
      <c r="N3251">
        <f t="shared" si="206"/>
        <v>0</v>
      </c>
      <c r="O3251" t="str">
        <f t="shared" si="207"/>
        <v>Proposta Ok</v>
      </c>
    </row>
    <row r="3252" spans="12:15" x14ac:dyDescent="0.25">
      <c r="L3252">
        <f t="shared" si="204"/>
        <v>0</v>
      </c>
      <c r="M3252">
        <f t="shared" si="205"/>
        <v>1</v>
      </c>
      <c r="N3252">
        <f t="shared" si="206"/>
        <v>0</v>
      </c>
      <c r="O3252" t="str">
        <f t="shared" si="207"/>
        <v>Proposta Ok</v>
      </c>
    </row>
    <row r="3253" spans="12:15" x14ac:dyDescent="0.25">
      <c r="L3253">
        <f t="shared" si="204"/>
        <v>0</v>
      </c>
      <c r="M3253">
        <f t="shared" si="205"/>
        <v>1</v>
      </c>
      <c r="N3253">
        <f t="shared" si="206"/>
        <v>0</v>
      </c>
      <c r="O3253" t="str">
        <f t="shared" si="207"/>
        <v>Proposta Ok</v>
      </c>
    </row>
    <row r="3254" spans="12:15" x14ac:dyDescent="0.25">
      <c r="L3254">
        <f t="shared" si="204"/>
        <v>0</v>
      </c>
      <c r="M3254">
        <f t="shared" si="205"/>
        <v>1</v>
      </c>
      <c r="N3254">
        <f t="shared" si="206"/>
        <v>0</v>
      </c>
      <c r="O3254" t="str">
        <f t="shared" si="207"/>
        <v>Proposta Ok</v>
      </c>
    </row>
    <row r="3255" spans="12:15" x14ac:dyDescent="0.25">
      <c r="L3255">
        <f t="shared" si="204"/>
        <v>0</v>
      </c>
      <c r="M3255">
        <f t="shared" si="205"/>
        <v>1</v>
      </c>
      <c r="N3255">
        <f t="shared" si="206"/>
        <v>0</v>
      </c>
      <c r="O3255" t="str">
        <f t="shared" si="207"/>
        <v>Proposta Ok</v>
      </c>
    </row>
    <row r="3256" spans="12:15" x14ac:dyDescent="0.25">
      <c r="L3256">
        <f t="shared" si="204"/>
        <v>0</v>
      </c>
      <c r="M3256">
        <f t="shared" si="205"/>
        <v>1</v>
      </c>
      <c r="N3256">
        <f t="shared" si="206"/>
        <v>0</v>
      </c>
      <c r="O3256" t="str">
        <f t="shared" si="207"/>
        <v>Proposta Ok</v>
      </c>
    </row>
    <row r="3257" spans="12:15" x14ac:dyDescent="0.25">
      <c r="L3257">
        <f t="shared" si="204"/>
        <v>0</v>
      </c>
      <c r="M3257">
        <f t="shared" si="205"/>
        <v>1</v>
      </c>
      <c r="N3257">
        <f t="shared" si="206"/>
        <v>0</v>
      </c>
      <c r="O3257" t="str">
        <f t="shared" si="207"/>
        <v>Proposta Ok</v>
      </c>
    </row>
    <row r="3258" spans="12:15" x14ac:dyDescent="0.25">
      <c r="L3258">
        <f t="shared" si="204"/>
        <v>0</v>
      </c>
      <c r="M3258">
        <f t="shared" si="205"/>
        <v>1</v>
      </c>
      <c r="N3258">
        <f t="shared" si="206"/>
        <v>0</v>
      </c>
      <c r="O3258" t="str">
        <f t="shared" si="207"/>
        <v>Proposta Ok</v>
      </c>
    </row>
    <row r="3259" spans="12:15" x14ac:dyDescent="0.25">
      <c r="L3259">
        <f t="shared" si="204"/>
        <v>0</v>
      </c>
      <c r="M3259">
        <f t="shared" si="205"/>
        <v>1</v>
      </c>
      <c r="N3259">
        <f t="shared" si="206"/>
        <v>0</v>
      </c>
      <c r="O3259" t="str">
        <f t="shared" si="207"/>
        <v>Proposta Ok</v>
      </c>
    </row>
    <row r="3260" spans="12:15" x14ac:dyDescent="0.25">
      <c r="L3260">
        <f t="shared" si="204"/>
        <v>0</v>
      </c>
      <c r="M3260">
        <f t="shared" si="205"/>
        <v>1</v>
      </c>
      <c r="N3260">
        <f t="shared" si="206"/>
        <v>0</v>
      </c>
      <c r="O3260" t="str">
        <f t="shared" si="207"/>
        <v>Proposta Ok</v>
      </c>
    </row>
    <row r="3261" spans="12:15" x14ac:dyDescent="0.25">
      <c r="L3261">
        <f t="shared" si="204"/>
        <v>0</v>
      </c>
      <c r="M3261">
        <f t="shared" si="205"/>
        <v>1</v>
      </c>
      <c r="N3261">
        <f t="shared" si="206"/>
        <v>0</v>
      </c>
      <c r="O3261" t="str">
        <f t="shared" si="207"/>
        <v>Proposta Ok</v>
      </c>
    </row>
    <row r="3262" spans="12:15" x14ac:dyDescent="0.25">
      <c r="L3262">
        <f t="shared" si="204"/>
        <v>0</v>
      </c>
      <c r="M3262">
        <f t="shared" si="205"/>
        <v>1</v>
      </c>
      <c r="N3262">
        <f t="shared" si="206"/>
        <v>0</v>
      </c>
      <c r="O3262" t="str">
        <f t="shared" si="207"/>
        <v>Proposta Ok</v>
      </c>
    </row>
    <row r="3263" spans="12:15" x14ac:dyDescent="0.25">
      <c r="L3263">
        <f t="shared" si="204"/>
        <v>0</v>
      </c>
      <c r="M3263">
        <f t="shared" si="205"/>
        <v>1</v>
      </c>
      <c r="N3263">
        <f t="shared" si="206"/>
        <v>0</v>
      </c>
      <c r="O3263" t="str">
        <f t="shared" si="207"/>
        <v>Proposta Ok</v>
      </c>
    </row>
    <row r="3264" spans="12:15" x14ac:dyDescent="0.25">
      <c r="L3264">
        <f t="shared" si="204"/>
        <v>0</v>
      </c>
      <c r="M3264">
        <f t="shared" si="205"/>
        <v>1</v>
      </c>
      <c r="N3264">
        <f t="shared" si="206"/>
        <v>0</v>
      </c>
      <c r="O3264" t="str">
        <f t="shared" si="207"/>
        <v>Proposta Ok</v>
      </c>
    </row>
    <row r="3265" spans="12:15" x14ac:dyDescent="0.25">
      <c r="L3265">
        <f t="shared" si="204"/>
        <v>0</v>
      </c>
      <c r="M3265">
        <f t="shared" si="205"/>
        <v>1</v>
      </c>
      <c r="N3265">
        <f t="shared" si="206"/>
        <v>0</v>
      </c>
      <c r="O3265" t="str">
        <f t="shared" si="207"/>
        <v>Proposta Ok</v>
      </c>
    </row>
    <row r="3266" spans="12:15" x14ac:dyDescent="0.25">
      <c r="L3266">
        <f t="shared" si="204"/>
        <v>0</v>
      </c>
      <c r="M3266">
        <f t="shared" si="205"/>
        <v>1</v>
      </c>
      <c r="N3266">
        <f t="shared" si="206"/>
        <v>0</v>
      </c>
      <c r="O3266" t="str">
        <f t="shared" si="207"/>
        <v>Proposta Ok</v>
      </c>
    </row>
    <row r="3267" spans="12:15" x14ac:dyDescent="0.25">
      <c r="L3267">
        <f t="shared" si="204"/>
        <v>0</v>
      </c>
      <c r="M3267">
        <f t="shared" si="205"/>
        <v>1</v>
      </c>
      <c r="N3267">
        <f t="shared" si="206"/>
        <v>0</v>
      </c>
      <c r="O3267" t="str">
        <f t="shared" si="207"/>
        <v>Proposta Ok</v>
      </c>
    </row>
    <row r="3268" spans="12:15" x14ac:dyDescent="0.25">
      <c r="L3268">
        <f t="shared" si="204"/>
        <v>0</v>
      </c>
      <c r="M3268">
        <f t="shared" si="205"/>
        <v>1</v>
      </c>
      <c r="N3268">
        <f t="shared" si="206"/>
        <v>0</v>
      </c>
      <c r="O3268" t="str">
        <f t="shared" si="207"/>
        <v>Proposta Ok</v>
      </c>
    </row>
    <row r="3269" spans="12:15" x14ac:dyDescent="0.25">
      <c r="L3269">
        <f t="shared" si="204"/>
        <v>0</v>
      </c>
      <c r="M3269">
        <f t="shared" si="205"/>
        <v>1</v>
      </c>
      <c r="N3269">
        <f t="shared" si="206"/>
        <v>0</v>
      </c>
      <c r="O3269" t="str">
        <f t="shared" si="207"/>
        <v>Proposta Ok</v>
      </c>
    </row>
    <row r="3270" spans="12:15" x14ac:dyDescent="0.25">
      <c r="L3270">
        <f t="shared" si="204"/>
        <v>0</v>
      </c>
      <c r="M3270">
        <f t="shared" si="205"/>
        <v>1</v>
      </c>
      <c r="N3270">
        <f t="shared" si="206"/>
        <v>0</v>
      </c>
      <c r="O3270" t="str">
        <f t="shared" si="207"/>
        <v>Proposta Ok</v>
      </c>
    </row>
    <row r="3271" spans="12:15" x14ac:dyDescent="0.25">
      <c r="L3271">
        <f t="shared" si="204"/>
        <v>0</v>
      </c>
      <c r="M3271">
        <f t="shared" si="205"/>
        <v>1</v>
      </c>
      <c r="N3271">
        <f t="shared" si="206"/>
        <v>0</v>
      </c>
      <c r="O3271" t="str">
        <f t="shared" si="207"/>
        <v>Proposta Ok</v>
      </c>
    </row>
    <row r="3272" spans="12:15" x14ac:dyDescent="0.25">
      <c r="L3272">
        <f t="shared" si="204"/>
        <v>0</v>
      </c>
      <c r="M3272">
        <f t="shared" si="205"/>
        <v>1</v>
      </c>
      <c r="N3272">
        <f t="shared" si="206"/>
        <v>0</v>
      </c>
      <c r="O3272" t="str">
        <f t="shared" si="207"/>
        <v>Proposta Ok</v>
      </c>
    </row>
    <row r="3273" spans="12:15" x14ac:dyDescent="0.25">
      <c r="L3273">
        <f t="shared" si="204"/>
        <v>0</v>
      </c>
      <c r="M3273">
        <f t="shared" si="205"/>
        <v>1</v>
      </c>
      <c r="N3273">
        <f t="shared" si="206"/>
        <v>0</v>
      </c>
      <c r="O3273" t="str">
        <f t="shared" si="207"/>
        <v>Proposta Ok</v>
      </c>
    </row>
    <row r="3274" spans="12:15" x14ac:dyDescent="0.25">
      <c r="L3274">
        <f t="shared" si="204"/>
        <v>0</v>
      </c>
      <c r="M3274">
        <f t="shared" si="205"/>
        <v>1</v>
      </c>
      <c r="N3274">
        <f t="shared" si="206"/>
        <v>0</v>
      </c>
      <c r="O3274" t="str">
        <f t="shared" si="207"/>
        <v>Proposta Ok</v>
      </c>
    </row>
    <row r="3275" spans="12:15" x14ac:dyDescent="0.25">
      <c r="L3275">
        <f t="shared" si="204"/>
        <v>0</v>
      </c>
      <c r="M3275">
        <f t="shared" si="205"/>
        <v>1</v>
      </c>
      <c r="N3275">
        <f t="shared" si="206"/>
        <v>0</v>
      </c>
      <c r="O3275" t="str">
        <f t="shared" si="207"/>
        <v>Proposta Ok</v>
      </c>
    </row>
    <row r="3276" spans="12:15" x14ac:dyDescent="0.25">
      <c r="L3276">
        <f t="shared" si="204"/>
        <v>0</v>
      </c>
      <c r="M3276">
        <f t="shared" si="205"/>
        <v>1</v>
      </c>
      <c r="N3276">
        <f t="shared" si="206"/>
        <v>0</v>
      </c>
      <c r="O3276" t="str">
        <f t="shared" si="207"/>
        <v>Proposta Ok</v>
      </c>
    </row>
    <row r="3277" spans="12:15" x14ac:dyDescent="0.25">
      <c r="L3277">
        <f t="shared" si="204"/>
        <v>0</v>
      </c>
      <c r="M3277">
        <f t="shared" si="205"/>
        <v>1</v>
      </c>
      <c r="N3277">
        <f t="shared" si="206"/>
        <v>0</v>
      </c>
      <c r="O3277" t="str">
        <f t="shared" si="207"/>
        <v>Proposta Ok</v>
      </c>
    </row>
    <row r="3278" spans="12:15" x14ac:dyDescent="0.25">
      <c r="L3278">
        <f t="shared" si="204"/>
        <v>0</v>
      </c>
      <c r="M3278">
        <f t="shared" si="205"/>
        <v>1</v>
      </c>
      <c r="N3278">
        <f t="shared" si="206"/>
        <v>0</v>
      </c>
      <c r="O3278" t="str">
        <f t="shared" si="207"/>
        <v>Proposta Ok</v>
      </c>
    </row>
    <row r="3279" spans="12:15" x14ac:dyDescent="0.25">
      <c r="L3279">
        <f t="shared" si="204"/>
        <v>0</v>
      </c>
      <c r="M3279">
        <f t="shared" si="205"/>
        <v>1</v>
      </c>
      <c r="N3279">
        <f t="shared" si="206"/>
        <v>0</v>
      </c>
      <c r="O3279" t="str">
        <f t="shared" si="207"/>
        <v>Proposta Ok</v>
      </c>
    </row>
    <row r="3280" spans="12:15" x14ac:dyDescent="0.25">
      <c r="L3280">
        <f t="shared" si="204"/>
        <v>0</v>
      </c>
      <c r="M3280">
        <f t="shared" si="205"/>
        <v>1</v>
      </c>
      <c r="N3280">
        <f t="shared" si="206"/>
        <v>0</v>
      </c>
      <c r="O3280" t="str">
        <f t="shared" si="207"/>
        <v>Proposta Ok</v>
      </c>
    </row>
    <row r="3281" spans="12:15" x14ac:dyDescent="0.25">
      <c r="L3281">
        <f t="shared" si="204"/>
        <v>0</v>
      </c>
      <c r="M3281">
        <f t="shared" si="205"/>
        <v>1</v>
      </c>
      <c r="N3281">
        <f t="shared" si="206"/>
        <v>0</v>
      </c>
      <c r="O3281" t="str">
        <f t="shared" si="207"/>
        <v>Proposta Ok</v>
      </c>
    </row>
    <row r="3282" spans="12:15" x14ac:dyDescent="0.25">
      <c r="L3282">
        <f t="shared" si="204"/>
        <v>0</v>
      </c>
      <c r="M3282">
        <f t="shared" si="205"/>
        <v>1</v>
      </c>
      <c r="N3282">
        <f t="shared" si="206"/>
        <v>0</v>
      </c>
      <c r="O3282" t="str">
        <f t="shared" si="207"/>
        <v>Proposta Ok</v>
      </c>
    </row>
    <row r="3283" spans="12:15" x14ac:dyDescent="0.25">
      <c r="L3283">
        <f t="shared" si="204"/>
        <v>0</v>
      </c>
      <c r="M3283">
        <f t="shared" si="205"/>
        <v>1</v>
      </c>
      <c r="N3283">
        <f t="shared" si="206"/>
        <v>0</v>
      </c>
      <c r="O3283" t="str">
        <f t="shared" si="207"/>
        <v>Proposta Ok</v>
      </c>
    </row>
    <row r="3284" spans="12:15" x14ac:dyDescent="0.25">
      <c r="L3284">
        <f t="shared" si="204"/>
        <v>0</v>
      </c>
      <c r="M3284">
        <f t="shared" si="205"/>
        <v>1</v>
      </c>
      <c r="N3284">
        <f t="shared" si="206"/>
        <v>0</v>
      </c>
      <c r="O3284" t="str">
        <f t="shared" si="207"/>
        <v>Proposta Ok</v>
      </c>
    </row>
    <row r="3285" spans="12:15" x14ac:dyDescent="0.25">
      <c r="L3285">
        <f t="shared" si="204"/>
        <v>0</v>
      </c>
      <c r="M3285">
        <f t="shared" si="205"/>
        <v>1</v>
      </c>
      <c r="N3285">
        <f t="shared" si="206"/>
        <v>0</v>
      </c>
      <c r="O3285" t="str">
        <f t="shared" si="207"/>
        <v>Proposta Ok</v>
      </c>
    </row>
    <row r="3286" spans="12:15" x14ac:dyDescent="0.25">
      <c r="L3286">
        <f t="shared" si="204"/>
        <v>0</v>
      </c>
      <c r="M3286">
        <f t="shared" si="205"/>
        <v>1</v>
      </c>
      <c r="N3286">
        <f t="shared" si="206"/>
        <v>0</v>
      </c>
      <c r="O3286" t="str">
        <f t="shared" si="207"/>
        <v>Proposta Ok</v>
      </c>
    </row>
    <row r="3287" spans="12:15" x14ac:dyDescent="0.25">
      <c r="L3287">
        <f t="shared" si="204"/>
        <v>0</v>
      </c>
      <c r="M3287">
        <f t="shared" si="205"/>
        <v>1</v>
      </c>
      <c r="N3287">
        <f t="shared" si="206"/>
        <v>0</v>
      </c>
      <c r="O3287" t="str">
        <f t="shared" si="207"/>
        <v>Proposta Ok</v>
      </c>
    </row>
    <row r="3288" spans="12:15" x14ac:dyDescent="0.25">
      <c r="L3288">
        <f t="shared" si="204"/>
        <v>0</v>
      </c>
      <c r="M3288">
        <f t="shared" si="205"/>
        <v>1</v>
      </c>
      <c r="N3288">
        <f t="shared" si="206"/>
        <v>0</v>
      </c>
      <c r="O3288" t="str">
        <f t="shared" si="207"/>
        <v>Proposta Ok</v>
      </c>
    </row>
    <row r="3289" spans="12:15" x14ac:dyDescent="0.25">
      <c r="L3289">
        <f t="shared" si="204"/>
        <v>0</v>
      </c>
      <c r="M3289">
        <f t="shared" si="205"/>
        <v>1</v>
      </c>
      <c r="N3289">
        <f t="shared" si="206"/>
        <v>0</v>
      </c>
      <c r="O3289" t="str">
        <f t="shared" si="207"/>
        <v>Proposta Ok</v>
      </c>
    </row>
    <row r="3290" spans="12:15" x14ac:dyDescent="0.25">
      <c r="L3290">
        <f t="shared" si="204"/>
        <v>0</v>
      </c>
      <c r="M3290">
        <f t="shared" si="205"/>
        <v>1</v>
      </c>
      <c r="N3290">
        <f t="shared" si="206"/>
        <v>0</v>
      </c>
      <c r="O3290" t="str">
        <f t="shared" si="207"/>
        <v>Proposta Ok</v>
      </c>
    </row>
    <row r="3291" spans="12:15" x14ac:dyDescent="0.25">
      <c r="L3291">
        <f t="shared" ref="L3291:L3354" si="208">IF(OR(I3291="Termo OK (Exceção)",I3291="Termo OK"),1,0)</f>
        <v>0</v>
      </c>
      <c r="M3291">
        <f t="shared" ref="M3291:M3354" si="209">IF(OR(I3291="Termo OK (Exceção)",I3291="Termo OK"),0,1)</f>
        <v>1</v>
      </c>
      <c r="N3291">
        <f t="shared" ref="N3291:N3354" si="210">IF(J3291="SIM",1,0)</f>
        <v>0</v>
      </c>
      <c r="O3291" t="str">
        <f t="shared" ref="O3291:O3354" si="211">IF(SUMIFS(M:M,A:A,A3291)&gt;0,"Proposta não Ok","Proposta Ok")</f>
        <v>Proposta Ok</v>
      </c>
    </row>
    <row r="3292" spans="12:15" x14ac:dyDescent="0.25">
      <c r="L3292">
        <f t="shared" si="208"/>
        <v>0</v>
      </c>
      <c r="M3292">
        <f t="shared" si="209"/>
        <v>1</v>
      </c>
      <c r="N3292">
        <f t="shared" si="210"/>
        <v>0</v>
      </c>
      <c r="O3292" t="str">
        <f t="shared" si="211"/>
        <v>Proposta Ok</v>
      </c>
    </row>
    <row r="3293" spans="12:15" x14ac:dyDescent="0.25">
      <c r="L3293">
        <f t="shared" si="208"/>
        <v>0</v>
      </c>
      <c r="M3293">
        <f t="shared" si="209"/>
        <v>1</v>
      </c>
      <c r="N3293">
        <f t="shared" si="210"/>
        <v>0</v>
      </c>
      <c r="O3293" t="str">
        <f t="shared" si="211"/>
        <v>Proposta Ok</v>
      </c>
    </row>
    <row r="3294" spans="12:15" x14ac:dyDescent="0.25">
      <c r="L3294">
        <f t="shared" si="208"/>
        <v>0</v>
      </c>
      <c r="M3294">
        <f t="shared" si="209"/>
        <v>1</v>
      </c>
      <c r="N3294">
        <f t="shared" si="210"/>
        <v>0</v>
      </c>
      <c r="O3294" t="str">
        <f t="shared" si="211"/>
        <v>Proposta Ok</v>
      </c>
    </row>
    <row r="3295" spans="12:15" x14ac:dyDescent="0.25">
      <c r="L3295">
        <f t="shared" si="208"/>
        <v>0</v>
      </c>
      <c r="M3295">
        <f t="shared" si="209"/>
        <v>1</v>
      </c>
      <c r="N3295">
        <f t="shared" si="210"/>
        <v>0</v>
      </c>
      <c r="O3295" t="str">
        <f t="shared" si="211"/>
        <v>Proposta Ok</v>
      </c>
    </row>
    <row r="3296" spans="12:15" x14ac:dyDescent="0.25">
      <c r="L3296">
        <f t="shared" si="208"/>
        <v>0</v>
      </c>
      <c r="M3296">
        <f t="shared" si="209"/>
        <v>1</v>
      </c>
      <c r="N3296">
        <f t="shared" si="210"/>
        <v>0</v>
      </c>
      <c r="O3296" t="str">
        <f t="shared" si="211"/>
        <v>Proposta Ok</v>
      </c>
    </row>
    <row r="3297" spans="12:15" x14ac:dyDescent="0.25">
      <c r="L3297">
        <f t="shared" si="208"/>
        <v>0</v>
      </c>
      <c r="M3297">
        <f t="shared" si="209"/>
        <v>1</v>
      </c>
      <c r="N3297">
        <f t="shared" si="210"/>
        <v>0</v>
      </c>
      <c r="O3297" t="str">
        <f t="shared" si="211"/>
        <v>Proposta Ok</v>
      </c>
    </row>
    <row r="3298" spans="12:15" x14ac:dyDescent="0.25">
      <c r="L3298">
        <f t="shared" si="208"/>
        <v>0</v>
      </c>
      <c r="M3298">
        <f t="shared" si="209"/>
        <v>1</v>
      </c>
      <c r="N3298">
        <f t="shared" si="210"/>
        <v>0</v>
      </c>
      <c r="O3298" t="str">
        <f t="shared" si="211"/>
        <v>Proposta Ok</v>
      </c>
    </row>
    <row r="3299" spans="12:15" x14ac:dyDescent="0.25">
      <c r="L3299">
        <f t="shared" si="208"/>
        <v>0</v>
      </c>
      <c r="M3299">
        <f t="shared" si="209"/>
        <v>1</v>
      </c>
      <c r="N3299">
        <f t="shared" si="210"/>
        <v>0</v>
      </c>
      <c r="O3299" t="str">
        <f t="shared" si="211"/>
        <v>Proposta Ok</v>
      </c>
    </row>
    <row r="3300" spans="12:15" x14ac:dyDescent="0.25">
      <c r="L3300">
        <f t="shared" si="208"/>
        <v>0</v>
      </c>
      <c r="M3300">
        <f t="shared" si="209"/>
        <v>1</v>
      </c>
      <c r="N3300">
        <f t="shared" si="210"/>
        <v>0</v>
      </c>
      <c r="O3300" t="str">
        <f t="shared" si="211"/>
        <v>Proposta Ok</v>
      </c>
    </row>
    <row r="3301" spans="12:15" x14ac:dyDescent="0.25">
      <c r="L3301">
        <f t="shared" si="208"/>
        <v>0</v>
      </c>
      <c r="M3301">
        <f t="shared" si="209"/>
        <v>1</v>
      </c>
      <c r="N3301">
        <f t="shared" si="210"/>
        <v>0</v>
      </c>
      <c r="O3301" t="str">
        <f t="shared" si="211"/>
        <v>Proposta Ok</v>
      </c>
    </row>
    <row r="3302" spans="12:15" x14ac:dyDescent="0.25">
      <c r="L3302">
        <f t="shared" si="208"/>
        <v>0</v>
      </c>
      <c r="M3302">
        <f t="shared" si="209"/>
        <v>1</v>
      </c>
      <c r="N3302">
        <f t="shared" si="210"/>
        <v>0</v>
      </c>
      <c r="O3302" t="str">
        <f t="shared" si="211"/>
        <v>Proposta Ok</v>
      </c>
    </row>
    <row r="3303" spans="12:15" x14ac:dyDescent="0.25">
      <c r="L3303">
        <f t="shared" si="208"/>
        <v>0</v>
      </c>
      <c r="M3303">
        <f t="shared" si="209"/>
        <v>1</v>
      </c>
      <c r="N3303">
        <f t="shared" si="210"/>
        <v>0</v>
      </c>
      <c r="O3303" t="str">
        <f t="shared" si="211"/>
        <v>Proposta Ok</v>
      </c>
    </row>
    <row r="3304" spans="12:15" x14ac:dyDescent="0.25">
      <c r="L3304">
        <f t="shared" si="208"/>
        <v>0</v>
      </c>
      <c r="M3304">
        <f t="shared" si="209"/>
        <v>1</v>
      </c>
      <c r="N3304">
        <f t="shared" si="210"/>
        <v>0</v>
      </c>
      <c r="O3304" t="str">
        <f t="shared" si="211"/>
        <v>Proposta Ok</v>
      </c>
    </row>
    <row r="3305" spans="12:15" x14ac:dyDescent="0.25">
      <c r="L3305">
        <f t="shared" si="208"/>
        <v>0</v>
      </c>
      <c r="M3305">
        <f t="shared" si="209"/>
        <v>1</v>
      </c>
      <c r="N3305">
        <f t="shared" si="210"/>
        <v>0</v>
      </c>
      <c r="O3305" t="str">
        <f t="shared" si="211"/>
        <v>Proposta Ok</v>
      </c>
    </row>
    <row r="3306" spans="12:15" x14ac:dyDescent="0.25">
      <c r="L3306">
        <f t="shared" si="208"/>
        <v>0</v>
      </c>
      <c r="M3306">
        <f t="shared" si="209"/>
        <v>1</v>
      </c>
      <c r="N3306">
        <f t="shared" si="210"/>
        <v>0</v>
      </c>
      <c r="O3306" t="str">
        <f t="shared" si="211"/>
        <v>Proposta Ok</v>
      </c>
    </row>
    <row r="3307" spans="12:15" x14ac:dyDescent="0.25">
      <c r="L3307">
        <f t="shared" si="208"/>
        <v>0</v>
      </c>
      <c r="M3307">
        <f t="shared" si="209"/>
        <v>1</v>
      </c>
      <c r="N3307">
        <f t="shared" si="210"/>
        <v>0</v>
      </c>
      <c r="O3307" t="str">
        <f t="shared" si="211"/>
        <v>Proposta Ok</v>
      </c>
    </row>
    <row r="3308" spans="12:15" x14ac:dyDescent="0.25">
      <c r="L3308">
        <f t="shared" si="208"/>
        <v>0</v>
      </c>
      <c r="M3308">
        <f t="shared" si="209"/>
        <v>1</v>
      </c>
      <c r="N3308">
        <f t="shared" si="210"/>
        <v>0</v>
      </c>
      <c r="O3308" t="str">
        <f t="shared" si="211"/>
        <v>Proposta Ok</v>
      </c>
    </row>
    <row r="3309" spans="12:15" x14ac:dyDescent="0.25">
      <c r="L3309">
        <f t="shared" si="208"/>
        <v>0</v>
      </c>
      <c r="M3309">
        <f t="shared" si="209"/>
        <v>1</v>
      </c>
      <c r="N3309">
        <f t="shared" si="210"/>
        <v>0</v>
      </c>
      <c r="O3309" t="str">
        <f t="shared" si="211"/>
        <v>Proposta Ok</v>
      </c>
    </row>
    <row r="3310" spans="12:15" x14ac:dyDescent="0.25">
      <c r="L3310">
        <f t="shared" si="208"/>
        <v>0</v>
      </c>
      <c r="M3310">
        <f t="shared" si="209"/>
        <v>1</v>
      </c>
      <c r="N3310">
        <f t="shared" si="210"/>
        <v>0</v>
      </c>
      <c r="O3310" t="str">
        <f t="shared" si="211"/>
        <v>Proposta Ok</v>
      </c>
    </row>
    <row r="3311" spans="12:15" x14ac:dyDescent="0.25">
      <c r="L3311">
        <f t="shared" si="208"/>
        <v>0</v>
      </c>
      <c r="M3311">
        <f t="shared" si="209"/>
        <v>1</v>
      </c>
      <c r="N3311">
        <f t="shared" si="210"/>
        <v>0</v>
      </c>
      <c r="O3311" t="str">
        <f t="shared" si="211"/>
        <v>Proposta Ok</v>
      </c>
    </row>
    <row r="3312" spans="12:15" x14ac:dyDescent="0.25">
      <c r="L3312">
        <f t="shared" si="208"/>
        <v>0</v>
      </c>
      <c r="M3312">
        <f t="shared" si="209"/>
        <v>1</v>
      </c>
      <c r="N3312">
        <f t="shared" si="210"/>
        <v>0</v>
      </c>
      <c r="O3312" t="str">
        <f t="shared" si="211"/>
        <v>Proposta Ok</v>
      </c>
    </row>
    <row r="3313" spans="12:15" x14ac:dyDescent="0.25">
      <c r="L3313">
        <f t="shared" si="208"/>
        <v>0</v>
      </c>
      <c r="M3313">
        <f t="shared" si="209"/>
        <v>1</v>
      </c>
      <c r="N3313">
        <f t="shared" si="210"/>
        <v>0</v>
      </c>
      <c r="O3313" t="str">
        <f t="shared" si="211"/>
        <v>Proposta Ok</v>
      </c>
    </row>
    <row r="3314" spans="12:15" x14ac:dyDescent="0.25">
      <c r="L3314">
        <f t="shared" si="208"/>
        <v>0</v>
      </c>
      <c r="M3314">
        <f t="shared" si="209"/>
        <v>1</v>
      </c>
      <c r="N3314">
        <f t="shared" si="210"/>
        <v>0</v>
      </c>
      <c r="O3314" t="str">
        <f t="shared" si="211"/>
        <v>Proposta Ok</v>
      </c>
    </row>
    <row r="3315" spans="12:15" x14ac:dyDescent="0.25">
      <c r="L3315">
        <f t="shared" si="208"/>
        <v>0</v>
      </c>
      <c r="M3315">
        <f t="shared" si="209"/>
        <v>1</v>
      </c>
      <c r="N3315">
        <f t="shared" si="210"/>
        <v>0</v>
      </c>
      <c r="O3315" t="str">
        <f t="shared" si="211"/>
        <v>Proposta Ok</v>
      </c>
    </row>
    <row r="3316" spans="12:15" x14ac:dyDescent="0.25">
      <c r="L3316">
        <f t="shared" si="208"/>
        <v>0</v>
      </c>
      <c r="M3316">
        <f t="shared" si="209"/>
        <v>1</v>
      </c>
      <c r="N3316">
        <f t="shared" si="210"/>
        <v>0</v>
      </c>
      <c r="O3316" t="str">
        <f t="shared" si="211"/>
        <v>Proposta Ok</v>
      </c>
    </row>
    <row r="3317" spans="12:15" x14ac:dyDescent="0.25">
      <c r="L3317">
        <f t="shared" si="208"/>
        <v>0</v>
      </c>
      <c r="M3317">
        <f t="shared" si="209"/>
        <v>1</v>
      </c>
      <c r="N3317">
        <f t="shared" si="210"/>
        <v>0</v>
      </c>
      <c r="O3317" t="str">
        <f t="shared" si="211"/>
        <v>Proposta Ok</v>
      </c>
    </row>
    <row r="3318" spans="12:15" x14ac:dyDescent="0.25">
      <c r="L3318">
        <f t="shared" si="208"/>
        <v>0</v>
      </c>
      <c r="M3318">
        <f t="shared" si="209"/>
        <v>1</v>
      </c>
      <c r="N3318">
        <f t="shared" si="210"/>
        <v>0</v>
      </c>
      <c r="O3318" t="str">
        <f t="shared" si="211"/>
        <v>Proposta Ok</v>
      </c>
    </row>
    <row r="3319" spans="12:15" x14ac:dyDescent="0.25">
      <c r="L3319">
        <f t="shared" si="208"/>
        <v>0</v>
      </c>
      <c r="M3319">
        <f t="shared" si="209"/>
        <v>1</v>
      </c>
      <c r="N3319">
        <f t="shared" si="210"/>
        <v>0</v>
      </c>
      <c r="O3319" t="str">
        <f t="shared" si="211"/>
        <v>Proposta Ok</v>
      </c>
    </row>
    <row r="3320" spans="12:15" x14ac:dyDescent="0.25">
      <c r="L3320">
        <f t="shared" si="208"/>
        <v>0</v>
      </c>
      <c r="M3320">
        <f t="shared" si="209"/>
        <v>1</v>
      </c>
      <c r="N3320">
        <f t="shared" si="210"/>
        <v>0</v>
      </c>
      <c r="O3320" t="str">
        <f t="shared" si="211"/>
        <v>Proposta Ok</v>
      </c>
    </row>
    <row r="3321" spans="12:15" x14ac:dyDescent="0.25">
      <c r="L3321">
        <f t="shared" si="208"/>
        <v>0</v>
      </c>
      <c r="M3321">
        <f t="shared" si="209"/>
        <v>1</v>
      </c>
      <c r="N3321">
        <f t="shared" si="210"/>
        <v>0</v>
      </c>
      <c r="O3321" t="str">
        <f t="shared" si="211"/>
        <v>Proposta Ok</v>
      </c>
    </row>
    <row r="3322" spans="12:15" x14ac:dyDescent="0.25">
      <c r="L3322">
        <f t="shared" si="208"/>
        <v>0</v>
      </c>
      <c r="M3322">
        <f t="shared" si="209"/>
        <v>1</v>
      </c>
      <c r="N3322">
        <f t="shared" si="210"/>
        <v>0</v>
      </c>
      <c r="O3322" t="str">
        <f t="shared" si="211"/>
        <v>Proposta Ok</v>
      </c>
    </row>
    <row r="3323" spans="12:15" x14ac:dyDescent="0.25">
      <c r="L3323">
        <f t="shared" si="208"/>
        <v>0</v>
      </c>
      <c r="M3323">
        <f t="shared" si="209"/>
        <v>1</v>
      </c>
      <c r="N3323">
        <f t="shared" si="210"/>
        <v>0</v>
      </c>
      <c r="O3323" t="str">
        <f t="shared" si="211"/>
        <v>Proposta Ok</v>
      </c>
    </row>
    <row r="3324" spans="12:15" x14ac:dyDescent="0.25">
      <c r="L3324">
        <f t="shared" si="208"/>
        <v>0</v>
      </c>
      <c r="M3324">
        <f t="shared" si="209"/>
        <v>1</v>
      </c>
      <c r="N3324">
        <f t="shared" si="210"/>
        <v>0</v>
      </c>
      <c r="O3324" t="str">
        <f t="shared" si="211"/>
        <v>Proposta Ok</v>
      </c>
    </row>
    <row r="3325" spans="12:15" x14ac:dyDescent="0.25">
      <c r="L3325">
        <f t="shared" si="208"/>
        <v>0</v>
      </c>
      <c r="M3325">
        <f t="shared" si="209"/>
        <v>1</v>
      </c>
      <c r="N3325">
        <f t="shared" si="210"/>
        <v>0</v>
      </c>
      <c r="O3325" t="str">
        <f t="shared" si="211"/>
        <v>Proposta Ok</v>
      </c>
    </row>
    <row r="3326" spans="12:15" x14ac:dyDescent="0.25">
      <c r="L3326">
        <f t="shared" si="208"/>
        <v>0</v>
      </c>
      <c r="M3326">
        <f t="shared" si="209"/>
        <v>1</v>
      </c>
      <c r="N3326">
        <f t="shared" si="210"/>
        <v>0</v>
      </c>
      <c r="O3326" t="str">
        <f t="shared" si="211"/>
        <v>Proposta Ok</v>
      </c>
    </row>
    <row r="3327" spans="12:15" x14ac:dyDescent="0.25">
      <c r="L3327">
        <f t="shared" si="208"/>
        <v>0</v>
      </c>
      <c r="M3327">
        <f t="shared" si="209"/>
        <v>1</v>
      </c>
      <c r="N3327">
        <f t="shared" si="210"/>
        <v>0</v>
      </c>
      <c r="O3327" t="str">
        <f t="shared" si="211"/>
        <v>Proposta Ok</v>
      </c>
    </row>
    <row r="3328" spans="12:15" x14ac:dyDescent="0.25">
      <c r="L3328">
        <f t="shared" si="208"/>
        <v>0</v>
      </c>
      <c r="M3328">
        <f t="shared" si="209"/>
        <v>1</v>
      </c>
      <c r="N3328">
        <f t="shared" si="210"/>
        <v>0</v>
      </c>
      <c r="O3328" t="str">
        <f t="shared" si="211"/>
        <v>Proposta Ok</v>
      </c>
    </row>
    <row r="3329" spans="12:15" x14ac:dyDescent="0.25">
      <c r="L3329">
        <f t="shared" si="208"/>
        <v>0</v>
      </c>
      <c r="M3329">
        <f t="shared" si="209"/>
        <v>1</v>
      </c>
      <c r="N3329">
        <f t="shared" si="210"/>
        <v>0</v>
      </c>
      <c r="O3329" t="str">
        <f t="shared" si="211"/>
        <v>Proposta Ok</v>
      </c>
    </row>
    <row r="3330" spans="12:15" x14ac:dyDescent="0.25">
      <c r="L3330">
        <f t="shared" si="208"/>
        <v>0</v>
      </c>
      <c r="M3330">
        <f t="shared" si="209"/>
        <v>1</v>
      </c>
      <c r="N3330">
        <f t="shared" si="210"/>
        <v>0</v>
      </c>
      <c r="O3330" t="str">
        <f t="shared" si="211"/>
        <v>Proposta Ok</v>
      </c>
    </row>
    <row r="3331" spans="12:15" x14ac:dyDescent="0.25">
      <c r="L3331">
        <f t="shared" si="208"/>
        <v>0</v>
      </c>
      <c r="M3331">
        <f t="shared" si="209"/>
        <v>1</v>
      </c>
      <c r="N3331">
        <f t="shared" si="210"/>
        <v>0</v>
      </c>
      <c r="O3331" t="str">
        <f t="shared" si="211"/>
        <v>Proposta Ok</v>
      </c>
    </row>
    <row r="3332" spans="12:15" x14ac:dyDescent="0.25">
      <c r="L3332">
        <f t="shared" si="208"/>
        <v>0</v>
      </c>
      <c r="M3332">
        <f t="shared" si="209"/>
        <v>1</v>
      </c>
      <c r="N3332">
        <f t="shared" si="210"/>
        <v>0</v>
      </c>
      <c r="O3332" t="str">
        <f t="shared" si="211"/>
        <v>Proposta Ok</v>
      </c>
    </row>
    <row r="3333" spans="12:15" x14ac:dyDescent="0.25">
      <c r="L3333">
        <f t="shared" si="208"/>
        <v>0</v>
      </c>
      <c r="M3333">
        <f t="shared" si="209"/>
        <v>1</v>
      </c>
      <c r="N3333">
        <f t="shared" si="210"/>
        <v>0</v>
      </c>
      <c r="O3333" t="str">
        <f t="shared" si="211"/>
        <v>Proposta Ok</v>
      </c>
    </row>
    <row r="3334" spans="12:15" x14ac:dyDescent="0.25">
      <c r="L3334">
        <f t="shared" si="208"/>
        <v>0</v>
      </c>
      <c r="M3334">
        <f t="shared" si="209"/>
        <v>1</v>
      </c>
      <c r="N3334">
        <f t="shared" si="210"/>
        <v>0</v>
      </c>
      <c r="O3334" t="str">
        <f t="shared" si="211"/>
        <v>Proposta Ok</v>
      </c>
    </row>
    <row r="3335" spans="12:15" x14ac:dyDescent="0.25">
      <c r="L3335">
        <f t="shared" si="208"/>
        <v>0</v>
      </c>
      <c r="M3335">
        <f t="shared" si="209"/>
        <v>1</v>
      </c>
      <c r="N3335">
        <f t="shared" si="210"/>
        <v>0</v>
      </c>
      <c r="O3335" t="str">
        <f t="shared" si="211"/>
        <v>Proposta Ok</v>
      </c>
    </row>
    <row r="3336" spans="12:15" x14ac:dyDescent="0.25">
      <c r="L3336">
        <f t="shared" si="208"/>
        <v>0</v>
      </c>
      <c r="M3336">
        <f t="shared" si="209"/>
        <v>1</v>
      </c>
      <c r="N3336">
        <f t="shared" si="210"/>
        <v>0</v>
      </c>
      <c r="O3336" t="str">
        <f t="shared" si="211"/>
        <v>Proposta Ok</v>
      </c>
    </row>
    <row r="3337" spans="12:15" x14ac:dyDescent="0.25">
      <c r="L3337">
        <f t="shared" si="208"/>
        <v>0</v>
      </c>
      <c r="M3337">
        <f t="shared" si="209"/>
        <v>1</v>
      </c>
      <c r="N3337">
        <f t="shared" si="210"/>
        <v>0</v>
      </c>
      <c r="O3337" t="str">
        <f t="shared" si="211"/>
        <v>Proposta Ok</v>
      </c>
    </row>
    <row r="3338" spans="12:15" x14ac:dyDescent="0.25">
      <c r="L3338">
        <f t="shared" si="208"/>
        <v>0</v>
      </c>
      <c r="M3338">
        <f t="shared" si="209"/>
        <v>1</v>
      </c>
      <c r="N3338">
        <f t="shared" si="210"/>
        <v>0</v>
      </c>
      <c r="O3338" t="str">
        <f t="shared" si="211"/>
        <v>Proposta Ok</v>
      </c>
    </row>
    <row r="3339" spans="12:15" x14ac:dyDescent="0.25">
      <c r="L3339">
        <f t="shared" si="208"/>
        <v>0</v>
      </c>
      <c r="M3339">
        <f t="shared" si="209"/>
        <v>1</v>
      </c>
      <c r="N3339">
        <f t="shared" si="210"/>
        <v>0</v>
      </c>
      <c r="O3339" t="str">
        <f t="shared" si="211"/>
        <v>Proposta Ok</v>
      </c>
    </row>
    <row r="3340" spans="12:15" x14ac:dyDescent="0.25">
      <c r="L3340">
        <f t="shared" si="208"/>
        <v>0</v>
      </c>
      <c r="M3340">
        <f t="shared" si="209"/>
        <v>1</v>
      </c>
      <c r="N3340">
        <f t="shared" si="210"/>
        <v>0</v>
      </c>
      <c r="O3340" t="str">
        <f t="shared" si="211"/>
        <v>Proposta Ok</v>
      </c>
    </row>
    <row r="3341" spans="12:15" x14ac:dyDescent="0.25">
      <c r="L3341">
        <f t="shared" si="208"/>
        <v>0</v>
      </c>
      <c r="M3341">
        <f t="shared" si="209"/>
        <v>1</v>
      </c>
      <c r="N3341">
        <f t="shared" si="210"/>
        <v>0</v>
      </c>
      <c r="O3341" t="str">
        <f t="shared" si="211"/>
        <v>Proposta Ok</v>
      </c>
    </row>
    <row r="3342" spans="12:15" x14ac:dyDescent="0.25">
      <c r="L3342">
        <f t="shared" si="208"/>
        <v>0</v>
      </c>
      <c r="M3342">
        <f t="shared" si="209"/>
        <v>1</v>
      </c>
      <c r="N3342">
        <f t="shared" si="210"/>
        <v>0</v>
      </c>
      <c r="O3342" t="str">
        <f t="shared" si="211"/>
        <v>Proposta Ok</v>
      </c>
    </row>
    <row r="3343" spans="12:15" x14ac:dyDescent="0.25">
      <c r="L3343">
        <f t="shared" si="208"/>
        <v>0</v>
      </c>
      <c r="M3343">
        <f t="shared" si="209"/>
        <v>1</v>
      </c>
      <c r="N3343">
        <f t="shared" si="210"/>
        <v>0</v>
      </c>
      <c r="O3343" t="str">
        <f t="shared" si="211"/>
        <v>Proposta Ok</v>
      </c>
    </row>
    <row r="3344" spans="12:15" x14ac:dyDescent="0.25">
      <c r="L3344">
        <f t="shared" si="208"/>
        <v>0</v>
      </c>
      <c r="M3344">
        <f t="shared" si="209"/>
        <v>1</v>
      </c>
      <c r="N3344">
        <f t="shared" si="210"/>
        <v>0</v>
      </c>
      <c r="O3344" t="str">
        <f t="shared" si="211"/>
        <v>Proposta Ok</v>
      </c>
    </row>
    <row r="3345" spans="12:15" x14ac:dyDescent="0.25">
      <c r="L3345">
        <f t="shared" si="208"/>
        <v>0</v>
      </c>
      <c r="M3345">
        <f t="shared" si="209"/>
        <v>1</v>
      </c>
      <c r="N3345">
        <f t="shared" si="210"/>
        <v>0</v>
      </c>
      <c r="O3345" t="str">
        <f t="shared" si="211"/>
        <v>Proposta Ok</v>
      </c>
    </row>
    <row r="3346" spans="12:15" x14ac:dyDescent="0.25">
      <c r="L3346">
        <f t="shared" si="208"/>
        <v>0</v>
      </c>
      <c r="M3346">
        <f t="shared" si="209"/>
        <v>1</v>
      </c>
      <c r="N3346">
        <f t="shared" si="210"/>
        <v>0</v>
      </c>
      <c r="O3346" t="str">
        <f t="shared" si="211"/>
        <v>Proposta Ok</v>
      </c>
    </row>
    <row r="3347" spans="12:15" x14ac:dyDescent="0.25">
      <c r="L3347">
        <f t="shared" si="208"/>
        <v>0</v>
      </c>
      <c r="M3347">
        <f t="shared" si="209"/>
        <v>1</v>
      </c>
      <c r="N3347">
        <f t="shared" si="210"/>
        <v>0</v>
      </c>
      <c r="O3347" t="str">
        <f t="shared" si="211"/>
        <v>Proposta Ok</v>
      </c>
    </row>
    <row r="3348" spans="12:15" x14ac:dyDescent="0.25">
      <c r="L3348">
        <f t="shared" si="208"/>
        <v>0</v>
      </c>
      <c r="M3348">
        <f t="shared" si="209"/>
        <v>1</v>
      </c>
      <c r="N3348">
        <f t="shared" si="210"/>
        <v>0</v>
      </c>
      <c r="O3348" t="str">
        <f t="shared" si="211"/>
        <v>Proposta Ok</v>
      </c>
    </row>
    <row r="3349" spans="12:15" x14ac:dyDescent="0.25">
      <c r="L3349">
        <f t="shared" si="208"/>
        <v>0</v>
      </c>
      <c r="M3349">
        <f t="shared" si="209"/>
        <v>1</v>
      </c>
      <c r="N3349">
        <f t="shared" si="210"/>
        <v>0</v>
      </c>
      <c r="O3349" t="str">
        <f t="shared" si="211"/>
        <v>Proposta Ok</v>
      </c>
    </row>
    <row r="3350" spans="12:15" x14ac:dyDescent="0.25">
      <c r="L3350">
        <f t="shared" si="208"/>
        <v>0</v>
      </c>
      <c r="M3350">
        <f t="shared" si="209"/>
        <v>1</v>
      </c>
      <c r="N3350">
        <f t="shared" si="210"/>
        <v>0</v>
      </c>
      <c r="O3350" t="str">
        <f t="shared" si="211"/>
        <v>Proposta Ok</v>
      </c>
    </row>
    <row r="3351" spans="12:15" x14ac:dyDescent="0.25">
      <c r="L3351">
        <f t="shared" si="208"/>
        <v>0</v>
      </c>
      <c r="M3351">
        <f t="shared" si="209"/>
        <v>1</v>
      </c>
      <c r="N3351">
        <f t="shared" si="210"/>
        <v>0</v>
      </c>
      <c r="O3351" t="str">
        <f t="shared" si="211"/>
        <v>Proposta Ok</v>
      </c>
    </row>
    <row r="3352" spans="12:15" x14ac:dyDescent="0.25">
      <c r="L3352">
        <f t="shared" si="208"/>
        <v>0</v>
      </c>
      <c r="M3352">
        <f t="shared" si="209"/>
        <v>1</v>
      </c>
      <c r="N3352">
        <f t="shared" si="210"/>
        <v>0</v>
      </c>
      <c r="O3352" t="str">
        <f t="shared" si="211"/>
        <v>Proposta Ok</v>
      </c>
    </row>
    <row r="3353" spans="12:15" x14ac:dyDescent="0.25">
      <c r="L3353">
        <f t="shared" si="208"/>
        <v>0</v>
      </c>
      <c r="M3353">
        <f t="shared" si="209"/>
        <v>1</v>
      </c>
      <c r="N3353">
        <f t="shared" si="210"/>
        <v>0</v>
      </c>
      <c r="O3353" t="str">
        <f t="shared" si="211"/>
        <v>Proposta Ok</v>
      </c>
    </row>
    <row r="3354" spans="12:15" x14ac:dyDescent="0.25">
      <c r="L3354">
        <f t="shared" si="208"/>
        <v>0</v>
      </c>
      <c r="M3354">
        <f t="shared" si="209"/>
        <v>1</v>
      </c>
      <c r="N3354">
        <f t="shared" si="210"/>
        <v>0</v>
      </c>
      <c r="O3354" t="str">
        <f t="shared" si="211"/>
        <v>Proposta Ok</v>
      </c>
    </row>
    <row r="3355" spans="12:15" x14ac:dyDescent="0.25">
      <c r="L3355">
        <f t="shared" ref="L3355:L3418" si="212">IF(OR(I3355="Termo OK (Exceção)",I3355="Termo OK"),1,0)</f>
        <v>0</v>
      </c>
      <c r="M3355">
        <f t="shared" ref="M3355:M3418" si="213">IF(OR(I3355="Termo OK (Exceção)",I3355="Termo OK"),0,1)</f>
        <v>1</v>
      </c>
      <c r="N3355">
        <f t="shared" ref="N3355:N3418" si="214">IF(J3355="SIM",1,0)</f>
        <v>0</v>
      </c>
      <c r="O3355" t="str">
        <f t="shared" ref="O3355:O3418" si="215">IF(SUMIFS(M:M,A:A,A3355)&gt;0,"Proposta não Ok","Proposta Ok")</f>
        <v>Proposta Ok</v>
      </c>
    </row>
    <row r="3356" spans="12:15" x14ac:dyDescent="0.25">
      <c r="L3356">
        <f t="shared" si="212"/>
        <v>0</v>
      </c>
      <c r="M3356">
        <f t="shared" si="213"/>
        <v>1</v>
      </c>
      <c r="N3356">
        <f t="shared" si="214"/>
        <v>0</v>
      </c>
      <c r="O3356" t="str">
        <f t="shared" si="215"/>
        <v>Proposta Ok</v>
      </c>
    </row>
    <row r="3357" spans="12:15" x14ac:dyDescent="0.25">
      <c r="L3357">
        <f t="shared" si="212"/>
        <v>0</v>
      </c>
      <c r="M3357">
        <f t="shared" si="213"/>
        <v>1</v>
      </c>
      <c r="N3357">
        <f t="shared" si="214"/>
        <v>0</v>
      </c>
      <c r="O3357" t="str">
        <f t="shared" si="215"/>
        <v>Proposta Ok</v>
      </c>
    </row>
    <row r="3358" spans="12:15" x14ac:dyDescent="0.25">
      <c r="L3358">
        <f t="shared" si="212"/>
        <v>0</v>
      </c>
      <c r="M3358">
        <f t="shared" si="213"/>
        <v>1</v>
      </c>
      <c r="N3358">
        <f t="shared" si="214"/>
        <v>0</v>
      </c>
      <c r="O3358" t="str">
        <f t="shared" si="215"/>
        <v>Proposta Ok</v>
      </c>
    </row>
    <row r="3359" spans="12:15" x14ac:dyDescent="0.25">
      <c r="L3359">
        <f t="shared" si="212"/>
        <v>0</v>
      </c>
      <c r="M3359">
        <f t="shared" si="213"/>
        <v>1</v>
      </c>
      <c r="N3359">
        <f t="shared" si="214"/>
        <v>0</v>
      </c>
      <c r="O3359" t="str">
        <f t="shared" si="215"/>
        <v>Proposta Ok</v>
      </c>
    </row>
    <row r="3360" spans="12:15" x14ac:dyDescent="0.25">
      <c r="L3360">
        <f t="shared" si="212"/>
        <v>0</v>
      </c>
      <c r="M3360">
        <f t="shared" si="213"/>
        <v>1</v>
      </c>
      <c r="N3360">
        <f t="shared" si="214"/>
        <v>0</v>
      </c>
      <c r="O3360" t="str">
        <f t="shared" si="215"/>
        <v>Proposta Ok</v>
      </c>
    </row>
    <row r="3361" spans="12:15" x14ac:dyDescent="0.25">
      <c r="L3361">
        <f t="shared" si="212"/>
        <v>0</v>
      </c>
      <c r="M3361">
        <f t="shared" si="213"/>
        <v>1</v>
      </c>
      <c r="N3361">
        <f t="shared" si="214"/>
        <v>0</v>
      </c>
      <c r="O3361" t="str">
        <f t="shared" si="215"/>
        <v>Proposta Ok</v>
      </c>
    </row>
    <row r="3362" spans="12:15" x14ac:dyDescent="0.25">
      <c r="L3362">
        <f t="shared" si="212"/>
        <v>0</v>
      </c>
      <c r="M3362">
        <f t="shared" si="213"/>
        <v>1</v>
      </c>
      <c r="N3362">
        <f t="shared" si="214"/>
        <v>0</v>
      </c>
      <c r="O3362" t="str">
        <f t="shared" si="215"/>
        <v>Proposta Ok</v>
      </c>
    </row>
    <row r="3363" spans="12:15" x14ac:dyDescent="0.25">
      <c r="L3363">
        <f t="shared" si="212"/>
        <v>0</v>
      </c>
      <c r="M3363">
        <f t="shared" si="213"/>
        <v>1</v>
      </c>
      <c r="N3363">
        <f t="shared" si="214"/>
        <v>0</v>
      </c>
      <c r="O3363" t="str">
        <f t="shared" si="215"/>
        <v>Proposta Ok</v>
      </c>
    </row>
    <row r="3364" spans="12:15" x14ac:dyDescent="0.25">
      <c r="L3364">
        <f t="shared" si="212"/>
        <v>0</v>
      </c>
      <c r="M3364">
        <f t="shared" si="213"/>
        <v>1</v>
      </c>
      <c r="N3364">
        <f t="shared" si="214"/>
        <v>0</v>
      </c>
      <c r="O3364" t="str">
        <f t="shared" si="215"/>
        <v>Proposta Ok</v>
      </c>
    </row>
    <row r="3365" spans="12:15" x14ac:dyDescent="0.25">
      <c r="L3365">
        <f t="shared" si="212"/>
        <v>0</v>
      </c>
      <c r="M3365">
        <f t="shared" si="213"/>
        <v>1</v>
      </c>
      <c r="N3365">
        <f t="shared" si="214"/>
        <v>0</v>
      </c>
      <c r="O3365" t="str">
        <f t="shared" si="215"/>
        <v>Proposta Ok</v>
      </c>
    </row>
    <row r="3366" spans="12:15" x14ac:dyDescent="0.25">
      <c r="L3366">
        <f t="shared" si="212"/>
        <v>0</v>
      </c>
      <c r="M3366">
        <f t="shared" si="213"/>
        <v>1</v>
      </c>
      <c r="N3366">
        <f t="shared" si="214"/>
        <v>0</v>
      </c>
      <c r="O3366" t="str">
        <f t="shared" si="215"/>
        <v>Proposta Ok</v>
      </c>
    </row>
    <row r="3367" spans="12:15" x14ac:dyDescent="0.25">
      <c r="L3367">
        <f t="shared" si="212"/>
        <v>0</v>
      </c>
      <c r="M3367">
        <f t="shared" si="213"/>
        <v>1</v>
      </c>
      <c r="N3367">
        <f t="shared" si="214"/>
        <v>0</v>
      </c>
      <c r="O3367" t="str">
        <f t="shared" si="215"/>
        <v>Proposta Ok</v>
      </c>
    </row>
    <row r="3368" spans="12:15" x14ac:dyDescent="0.25">
      <c r="L3368">
        <f t="shared" si="212"/>
        <v>0</v>
      </c>
      <c r="M3368">
        <f t="shared" si="213"/>
        <v>1</v>
      </c>
      <c r="N3368">
        <f t="shared" si="214"/>
        <v>0</v>
      </c>
      <c r="O3368" t="str">
        <f t="shared" si="215"/>
        <v>Proposta Ok</v>
      </c>
    </row>
    <row r="3369" spans="12:15" x14ac:dyDescent="0.25">
      <c r="L3369">
        <f t="shared" si="212"/>
        <v>0</v>
      </c>
      <c r="M3369">
        <f t="shared" si="213"/>
        <v>1</v>
      </c>
      <c r="N3369">
        <f t="shared" si="214"/>
        <v>0</v>
      </c>
      <c r="O3369" t="str">
        <f t="shared" si="215"/>
        <v>Proposta Ok</v>
      </c>
    </row>
    <row r="3370" spans="12:15" x14ac:dyDescent="0.25">
      <c r="L3370">
        <f t="shared" si="212"/>
        <v>0</v>
      </c>
      <c r="M3370">
        <f t="shared" si="213"/>
        <v>1</v>
      </c>
      <c r="N3370">
        <f t="shared" si="214"/>
        <v>0</v>
      </c>
      <c r="O3370" t="str">
        <f t="shared" si="215"/>
        <v>Proposta Ok</v>
      </c>
    </row>
    <row r="3371" spans="12:15" x14ac:dyDescent="0.25">
      <c r="L3371">
        <f t="shared" si="212"/>
        <v>0</v>
      </c>
      <c r="M3371">
        <f t="shared" si="213"/>
        <v>1</v>
      </c>
      <c r="N3371">
        <f t="shared" si="214"/>
        <v>0</v>
      </c>
      <c r="O3371" t="str">
        <f t="shared" si="215"/>
        <v>Proposta Ok</v>
      </c>
    </row>
    <row r="3372" spans="12:15" x14ac:dyDescent="0.25">
      <c r="L3372">
        <f t="shared" si="212"/>
        <v>0</v>
      </c>
      <c r="M3372">
        <f t="shared" si="213"/>
        <v>1</v>
      </c>
      <c r="N3372">
        <f t="shared" si="214"/>
        <v>0</v>
      </c>
      <c r="O3372" t="str">
        <f t="shared" si="215"/>
        <v>Proposta Ok</v>
      </c>
    </row>
    <row r="3373" spans="12:15" x14ac:dyDescent="0.25">
      <c r="L3373">
        <f t="shared" si="212"/>
        <v>0</v>
      </c>
      <c r="M3373">
        <f t="shared" si="213"/>
        <v>1</v>
      </c>
      <c r="N3373">
        <f t="shared" si="214"/>
        <v>0</v>
      </c>
      <c r="O3373" t="str">
        <f t="shared" si="215"/>
        <v>Proposta Ok</v>
      </c>
    </row>
    <row r="3374" spans="12:15" x14ac:dyDescent="0.25">
      <c r="L3374">
        <f t="shared" si="212"/>
        <v>0</v>
      </c>
      <c r="M3374">
        <f t="shared" si="213"/>
        <v>1</v>
      </c>
      <c r="N3374">
        <f t="shared" si="214"/>
        <v>0</v>
      </c>
      <c r="O3374" t="str">
        <f t="shared" si="215"/>
        <v>Proposta Ok</v>
      </c>
    </row>
    <row r="3375" spans="12:15" x14ac:dyDescent="0.25">
      <c r="L3375">
        <f t="shared" si="212"/>
        <v>0</v>
      </c>
      <c r="M3375">
        <f t="shared" si="213"/>
        <v>1</v>
      </c>
      <c r="N3375">
        <f t="shared" si="214"/>
        <v>0</v>
      </c>
      <c r="O3375" t="str">
        <f t="shared" si="215"/>
        <v>Proposta Ok</v>
      </c>
    </row>
    <row r="3376" spans="12:15" x14ac:dyDescent="0.25">
      <c r="L3376">
        <f t="shared" si="212"/>
        <v>0</v>
      </c>
      <c r="M3376">
        <f t="shared" si="213"/>
        <v>1</v>
      </c>
      <c r="N3376">
        <f t="shared" si="214"/>
        <v>0</v>
      </c>
      <c r="O3376" t="str">
        <f t="shared" si="215"/>
        <v>Proposta Ok</v>
      </c>
    </row>
    <row r="3377" spans="12:15" x14ac:dyDescent="0.25">
      <c r="L3377">
        <f t="shared" si="212"/>
        <v>0</v>
      </c>
      <c r="M3377">
        <f t="shared" si="213"/>
        <v>1</v>
      </c>
      <c r="N3377">
        <f t="shared" si="214"/>
        <v>0</v>
      </c>
      <c r="O3377" t="str">
        <f t="shared" si="215"/>
        <v>Proposta Ok</v>
      </c>
    </row>
    <row r="3378" spans="12:15" x14ac:dyDescent="0.25">
      <c r="L3378">
        <f t="shared" si="212"/>
        <v>0</v>
      </c>
      <c r="M3378">
        <f t="shared" si="213"/>
        <v>1</v>
      </c>
      <c r="N3378">
        <f t="shared" si="214"/>
        <v>0</v>
      </c>
      <c r="O3378" t="str">
        <f t="shared" si="215"/>
        <v>Proposta Ok</v>
      </c>
    </row>
    <row r="3379" spans="12:15" x14ac:dyDescent="0.25">
      <c r="L3379">
        <f t="shared" si="212"/>
        <v>0</v>
      </c>
      <c r="M3379">
        <f t="shared" si="213"/>
        <v>1</v>
      </c>
      <c r="N3379">
        <f t="shared" si="214"/>
        <v>0</v>
      </c>
      <c r="O3379" t="str">
        <f t="shared" si="215"/>
        <v>Proposta Ok</v>
      </c>
    </row>
    <row r="3380" spans="12:15" x14ac:dyDescent="0.25">
      <c r="L3380">
        <f t="shared" si="212"/>
        <v>0</v>
      </c>
      <c r="M3380">
        <f t="shared" si="213"/>
        <v>1</v>
      </c>
      <c r="N3380">
        <f t="shared" si="214"/>
        <v>0</v>
      </c>
      <c r="O3380" t="str">
        <f t="shared" si="215"/>
        <v>Proposta Ok</v>
      </c>
    </row>
    <row r="3381" spans="12:15" x14ac:dyDescent="0.25">
      <c r="L3381">
        <f t="shared" si="212"/>
        <v>0</v>
      </c>
      <c r="M3381">
        <f t="shared" si="213"/>
        <v>1</v>
      </c>
      <c r="N3381">
        <f t="shared" si="214"/>
        <v>0</v>
      </c>
      <c r="O3381" t="str">
        <f t="shared" si="215"/>
        <v>Proposta Ok</v>
      </c>
    </row>
    <row r="3382" spans="12:15" x14ac:dyDescent="0.25">
      <c r="L3382">
        <f t="shared" si="212"/>
        <v>0</v>
      </c>
      <c r="M3382">
        <f t="shared" si="213"/>
        <v>1</v>
      </c>
      <c r="N3382">
        <f t="shared" si="214"/>
        <v>0</v>
      </c>
      <c r="O3382" t="str">
        <f t="shared" si="215"/>
        <v>Proposta Ok</v>
      </c>
    </row>
    <row r="3383" spans="12:15" x14ac:dyDescent="0.25">
      <c r="L3383">
        <f t="shared" si="212"/>
        <v>0</v>
      </c>
      <c r="M3383">
        <f t="shared" si="213"/>
        <v>1</v>
      </c>
      <c r="N3383">
        <f t="shared" si="214"/>
        <v>0</v>
      </c>
      <c r="O3383" t="str">
        <f t="shared" si="215"/>
        <v>Proposta Ok</v>
      </c>
    </row>
    <row r="3384" spans="12:15" x14ac:dyDescent="0.25">
      <c r="L3384">
        <f t="shared" si="212"/>
        <v>0</v>
      </c>
      <c r="M3384">
        <f t="shared" si="213"/>
        <v>1</v>
      </c>
      <c r="N3384">
        <f t="shared" si="214"/>
        <v>0</v>
      </c>
      <c r="O3384" t="str">
        <f t="shared" si="215"/>
        <v>Proposta Ok</v>
      </c>
    </row>
    <row r="3385" spans="12:15" x14ac:dyDescent="0.25">
      <c r="L3385">
        <f t="shared" si="212"/>
        <v>0</v>
      </c>
      <c r="M3385">
        <f t="shared" si="213"/>
        <v>1</v>
      </c>
      <c r="N3385">
        <f t="shared" si="214"/>
        <v>0</v>
      </c>
      <c r="O3385" t="str">
        <f t="shared" si="215"/>
        <v>Proposta Ok</v>
      </c>
    </row>
    <row r="3386" spans="12:15" x14ac:dyDescent="0.25">
      <c r="L3386">
        <f t="shared" si="212"/>
        <v>0</v>
      </c>
      <c r="M3386">
        <f t="shared" si="213"/>
        <v>1</v>
      </c>
      <c r="N3386">
        <f t="shared" si="214"/>
        <v>0</v>
      </c>
      <c r="O3386" t="str">
        <f t="shared" si="215"/>
        <v>Proposta Ok</v>
      </c>
    </row>
    <row r="3387" spans="12:15" x14ac:dyDescent="0.25">
      <c r="L3387">
        <f t="shared" si="212"/>
        <v>0</v>
      </c>
      <c r="M3387">
        <f t="shared" si="213"/>
        <v>1</v>
      </c>
      <c r="N3387">
        <f t="shared" si="214"/>
        <v>0</v>
      </c>
      <c r="O3387" t="str">
        <f t="shared" si="215"/>
        <v>Proposta Ok</v>
      </c>
    </row>
    <row r="3388" spans="12:15" x14ac:dyDescent="0.25">
      <c r="L3388">
        <f t="shared" si="212"/>
        <v>0</v>
      </c>
      <c r="M3388">
        <f t="shared" si="213"/>
        <v>1</v>
      </c>
      <c r="N3388">
        <f t="shared" si="214"/>
        <v>0</v>
      </c>
      <c r="O3388" t="str">
        <f t="shared" si="215"/>
        <v>Proposta Ok</v>
      </c>
    </row>
    <row r="3389" spans="12:15" x14ac:dyDescent="0.25">
      <c r="L3389">
        <f t="shared" si="212"/>
        <v>0</v>
      </c>
      <c r="M3389">
        <f t="shared" si="213"/>
        <v>1</v>
      </c>
      <c r="N3389">
        <f t="shared" si="214"/>
        <v>0</v>
      </c>
      <c r="O3389" t="str">
        <f t="shared" si="215"/>
        <v>Proposta Ok</v>
      </c>
    </row>
    <row r="3390" spans="12:15" x14ac:dyDescent="0.25">
      <c r="L3390">
        <f t="shared" si="212"/>
        <v>0</v>
      </c>
      <c r="M3390">
        <f t="shared" si="213"/>
        <v>1</v>
      </c>
      <c r="N3390">
        <f t="shared" si="214"/>
        <v>0</v>
      </c>
      <c r="O3390" t="str">
        <f t="shared" si="215"/>
        <v>Proposta Ok</v>
      </c>
    </row>
    <row r="3391" spans="12:15" x14ac:dyDescent="0.25">
      <c r="L3391">
        <f t="shared" si="212"/>
        <v>0</v>
      </c>
      <c r="M3391">
        <f t="shared" si="213"/>
        <v>1</v>
      </c>
      <c r="N3391">
        <f t="shared" si="214"/>
        <v>0</v>
      </c>
      <c r="O3391" t="str">
        <f t="shared" si="215"/>
        <v>Proposta Ok</v>
      </c>
    </row>
    <row r="3392" spans="12:15" x14ac:dyDescent="0.25">
      <c r="L3392">
        <f t="shared" si="212"/>
        <v>0</v>
      </c>
      <c r="M3392">
        <f t="shared" si="213"/>
        <v>1</v>
      </c>
      <c r="N3392">
        <f t="shared" si="214"/>
        <v>0</v>
      </c>
      <c r="O3392" t="str">
        <f t="shared" si="215"/>
        <v>Proposta Ok</v>
      </c>
    </row>
    <row r="3393" spans="12:15" x14ac:dyDescent="0.25">
      <c r="L3393">
        <f t="shared" si="212"/>
        <v>0</v>
      </c>
      <c r="M3393">
        <f t="shared" si="213"/>
        <v>1</v>
      </c>
      <c r="N3393">
        <f t="shared" si="214"/>
        <v>0</v>
      </c>
      <c r="O3393" t="str">
        <f t="shared" si="215"/>
        <v>Proposta Ok</v>
      </c>
    </row>
    <row r="3394" spans="12:15" x14ac:dyDescent="0.25">
      <c r="L3394">
        <f t="shared" si="212"/>
        <v>0</v>
      </c>
      <c r="M3394">
        <f t="shared" si="213"/>
        <v>1</v>
      </c>
      <c r="N3394">
        <f t="shared" si="214"/>
        <v>0</v>
      </c>
      <c r="O3394" t="str">
        <f t="shared" si="215"/>
        <v>Proposta Ok</v>
      </c>
    </row>
    <row r="3395" spans="12:15" x14ac:dyDescent="0.25">
      <c r="L3395">
        <f t="shared" si="212"/>
        <v>0</v>
      </c>
      <c r="M3395">
        <f t="shared" si="213"/>
        <v>1</v>
      </c>
      <c r="N3395">
        <f t="shared" si="214"/>
        <v>0</v>
      </c>
      <c r="O3395" t="str">
        <f t="shared" si="215"/>
        <v>Proposta Ok</v>
      </c>
    </row>
    <row r="3396" spans="12:15" x14ac:dyDescent="0.25">
      <c r="L3396">
        <f t="shared" si="212"/>
        <v>0</v>
      </c>
      <c r="M3396">
        <f t="shared" si="213"/>
        <v>1</v>
      </c>
      <c r="N3396">
        <f t="shared" si="214"/>
        <v>0</v>
      </c>
      <c r="O3396" t="str">
        <f t="shared" si="215"/>
        <v>Proposta Ok</v>
      </c>
    </row>
    <row r="3397" spans="12:15" x14ac:dyDescent="0.25">
      <c r="L3397">
        <f t="shared" si="212"/>
        <v>0</v>
      </c>
      <c r="M3397">
        <f t="shared" si="213"/>
        <v>1</v>
      </c>
      <c r="N3397">
        <f t="shared" si="214"/>
        <v>0</v>
      </c>
      <c r="O3397" t="str">
        <f t="shared" si="215"/>
        <v>Proposta Ok</v>
      </c>
    </row>
    <row r="3398" spans="12:15" x14ac:dyDescent="0.25">
      <c r="L3398">
        <f t="shared" si="212"/>
        <v>0</v>
      </c>
      <c r="M3398">
        <f t="shared" si="213"/>
        <v>1</v>
      </c>
      <c r="N3398">
        <f t="shared" si="214"/>
        <v>0</v>
      </c>
      <c r="O3398" t="str">
        <f t="shared" si="215"/>
        <v>Proposta Ok</v>
      </c>
    </row>
    <row r="3399" spans="12:15" x14ac:dyDescent="0.25">
      <c r="L3399">
        <f t="shared" si="212"/>
        <v>0</v>
      </c>
      <c r="M3399">
        <f t="shared" si="213"/>
        <v>1</v>
      </c>
      <c r="N3399">
        <f t="shared" si="214"/>
        <v>0</v>
      </c>
      <c r="O3399" t="str">
        <f t="shared" si="215"/>
        <v>Proposta Ok</v>
      </c>
    </row>
    <row r="3400" spans="12:15" x14ac:dyDescent="0.25">
      <c r="L3400">
        <f t="shared" si="212"/>
        <v>0</v>
      </c>
      <c r="M3400">
        <f t="shared" si="213"/>
        <v>1</v>
      </c>
      <c r="N3400">
        <f t="shared" si="214"/>
        <v>0</v>
      </c>
      <c r="O3400" t="str">
        <f t="shared" si="215"/>
        <v>Proposta Ok</v>
      </c>
    </row>
    <row r="3401" spans="12:15" x14ac:dyDescent="0.25">
      <c r="L3401">
        <f t="shared" si="212"/>
        <v>0</v>
      </c>
      <c r="M3401">
        <f t="shared" si="213"/>
        <v>1</v>
      </c>
      <c r="N3401">
        <f t="shared" si="214"/>
        <v>0</v>
      </c>
      <c r="O3401" t="str">
        <f t="shared" si="215"/>
        <v>Proposta Ok</v>
      </c>
    </row>
    <row r="3402" spans="12:15" x14ac:dyDescent="0.25">
      <c r="L3402">
        <f t="shared" si="212"/>
        <v>0</v>
      </c>
      <c r="M3402">
        <f t="shared" si="213"/>
        <v>1</v>
      </c>
      <c r="N3402">
        <f t="shared" si="214"/>
        <v>0</v>
      </c>
      <c r="O3402" t="str">
        <f t="shared" si="215"/>
        <v>Proposta Ok</v>
      </c>
    </row>
    <row r="3403" spans="12:15" x14ac:dyDescent="0.25">
      <c r="L3403">
        <f t="shared" si="212"/>
        <v>0</v>
      </c>
      <c r="M3403">
        <f t="shared" si="213"/>
        <v>1</v>
      </c>
      <c r="N3403">
        <f t="shared" si="214"/>
        <v>0</v>
      </c>
      <c r="O3403" t="str">
        <f t="shared" si="215"/>
        <v>Proposta Ok</v>
      </c>
    </row>
    <row r="3404" spans="12:15" x14ac:dyDescent="0.25">
      <c r="L3404">
        <f t="shared" si="212"/>
        <v>0</v>
      </c>
      <c r="M3404">
        <f t="shared" si="213"/>
        <v>1</v>
      </c>
      <c r="N3404">
        <f t="shared" si="214"/>
        <v>0</v>
      </c>
      <c r="O3404" t="str">
        <f t="shared" si="215"/>
        <v>Proposta Ok</v>
      </c>
    </row>
    <row r="3405" spans="12:15" x14ac:dyDescent="0.25">
      <c r="L3405">
        <f t="shared" si="212"/>
        <v>0</v>
      </c>
      <c r="M3405">
        <f t="shared" si="213"/>
        <v>1</v>
      </c>
      <c r="N3405">
        <f t="shared" si="214"/>
        <v>0</v>
      </c>
      <c r="O3405" t="str">
        <f t="shared" si="215"/>
        <v>Proposta Ok</v>
      </c>
    </row>
    <row r="3406" spans="12:15" x14ac:dyDescent="0.25">
      <c r="L3406">
        <f t="shared" si="212"/>
        <v>0</v>
      </c>
      <c r="M3406">
        <f t="shared" si="213"/>
        <v>1</v>
      </c>
      <c r="N3406">
        <f t="shared" si="214"/>
        <v>0</v>
      </c>
      <c r="O3406" t="str">
        <f t="shared" si="215"/>
        <v>Proposta Ok</v>
      </c>
    </row>
    <row r="3407" spans="12:15" x14ac:dyDescent="0.25">
      <c r="L3407">
        <f t="shared" si="212"/>
        <v>0</v>
      </c>
      <c r="M3407">
        <f t="shared" si="213"/>
        <v>1</v>
      </c>
      <c r="N3407">
        <f t="shared" si="214"/>
        <v>0</v>
      </c>
      <c r="O3407" t="str">
        <f t="shared" si="215"/>
        <v>Proposta Ok</v>
      </c>
    </row>
    <row r="3408" spans="12:15" x14ac:dyDescent="0.25">
      <c r="L3408">
        <f t="shared" si="212"/>
        <v>0</v>
      </c>
      <c r="M3408">
        <f t="shared" si="213"/>
        <v>1</v>
      </c>
      <c r="N3408">
        <f t="shared" si="214"/>
        <v>0</v>
      </c>
      <c r="O3408" t="str">
        <f t="shared" si="215"/>
        <v>Proposta Ok</v>
      </c>
    </row>
    <row r="3409" spans="12:15" x14ac:dyDescent="0.25">
      <c r="L3409">
        <f t="shared" si="212"/>
        <v>0</v>
      </c>
      <c r="M3409">
        <f t="shared" si="213"/>
        <v>1</v>
      </c>
      <c r="N3409">
        <f t="shared" si="214"/>
        <v>0</v>
      </c>
      <c r="O3409" t="str">
        <f t="shared" si="215"/>
        <v>Proposta Ok</v>
      </c>
    </row>
    <row r="3410" spans="12:15" x14ac:dyDescent="0.25">
      <c r="L3410">
        <f t="shared" si="212"/>
        <v>0</v>
      </c>
      <c r="M3410">
        <f t="shared" si="213"/>
        <v>1</v>
      </c>
      <c r="N3410">
        <f t="shared" si="214"/>
        <v>0</v>
      </c>
      <c r="O3410" t="str">
        <f t="shared" si="215"/>
        <v>Proposta Ok</v>
      </c>
    </row>
    <row r="3411" spans="12:15" x14ac:dyDescent="0.25">
      <c r="L3411">
        <f t="shared" si="212"/>
        <v>0</v>
      </c>
      <c r="M3411">
        <f t="shared" si="213"/>
        <v>1</v>
      </c>
      <c r="N3411">
        <f t="shared" si="214"/>
        <v>0</v>
      </c>
      <c r="O3411" t="str">
        <f t="shared" si="215"/>
        <v>Proposta Ok</v>
      </c>
    </row>
    <row r="3412" spans="12:15" x14ac:dyDescent="0.25">
      <c r="L3412">
        <f t="shared" si="212"/>
        <v>0</v>
      </c>
      <c r="M3412">
        <f t="shared" si="213"/>
        <v>1</v>
      </c>
      <c r="N3412">
        <f t="shared" si="214"/>
        <v>0</v>
      </c>
      <c r="O3412" t="str">
        <f t="shared" si="215"/>
        <v>Proposta Ok</v>
      </c>
    </row>
    <row r="3413" spans="12:15" x14ac:dyDescent="0.25">
      <c r="L3413">
        <f t="shared" si="212"/>
        <v>0</v>
      </c>
      <c r="M3413">
        <f t="shared" si="213"/>
        <v>1</v>
      </c>
      <c r="N3413">
        <f t="shared" si="214"/>
        <v>0</v>
      </c>
      <c r="O3413" t="str">
        <f t="shared" si="215"/>
        <v>Proposta Ok</v>
      </c>
    </row>
    <row r="3414" spans="12:15" x14ac:dyDescent="0.25">
      <c r="L3414">
        <f t="shared" si="212"/>
        <v>0</v>
      </c>
      <c r="M3414">
        <f t="shared" si="213"/>
        <v>1</v>
      </c>
      <c r="N3414">
        <f t="shared" si="214"/>
        <v>0</v>
      </c>
      <c r="O3414" t="str">
        <f t="shared" si="215"/>
        <v>Proposta Ok</v>
      </c>
    </row>
    <row r="3415" spans="12:15" x14ac:dyDescent="0.25">
      <c r="L3415">
        <f t="shared" si="212"/>
        <v>0</v>
      </c>
      <c r="M3415">
        <f t="shared" si="213"/>
        <v>1</v>
      </c>
      <c r="N3415">
        <f t="shared" si="214"/>
        <v>0</v>
      </c>
      <c r="O3415" t="str">
        <f t="shared" si="215"/>
        <v>Proposta Ok</v>
      </c>
    </row>
    <row r="3416" spans="12:15" x14ac:dyDescent="0.25">
      <c r="L3416">
        <f t="shared" si="212"/>
        <v>0</v>
      </c>
      <c r="M3416">
        <f t="shared" si="213"/>
        <v>1</v>
      </c>
      <c r="N3416">
        <f t="shared" si="214"/>
        <v>0</v>
      </c>
      <c r="O3416" t="str">
        <f t="shared" si="215"/>
        <v>Proposta Ok</v>
      </c>
    </row>
    <row r="3417" spans="12:15" x14ac:dyDescent="0.25">
      <c r="L3417">
        <f t="shared" si="212"/>
        <v>0</v>
      </c>
      <c r="M3417">
        <f t="shared" si="213"/>
        <v>1</v>
      </c>
      <c r="N3417">
        <f t="shared" si="214"/>
        <v>0</v>
      </c>
      <c r="O3417" t="str">
        <f t="shared" si="215"/>
        <v>Proposta Ok</v>
      </c>
    </row>
    <row r="3418" spans="12:15" x14ac:dyDescent="0.25">
      <c r="L3418">
        <f t="shared" si="212"/>
        <v>0</v>
      </c>
      <c r="M3418">
        <f t="shared" si="213"/>
        <v>1</v>
      </c>
      <c r="N3418">
        <f t="shared" si="214"/>
        <v>0</v>
      </c>
      <c r="O3418" t="str">
        <f t="shared" si="215"/>
        <v>Proposta Ok</v>
      </c>
    </row>
    <row r="3419" spans="12:15" x14ac:dyDescent="0.25">
      <c r="L3419">
        <f t="shared" ref="L3419:L3482" si="216">IF(OR(I3419="Termo OK (Exceção)",I3419="Termo OK"),1,0)</f>
        <v>0</v>
      </c>
      <c r="M3419">
        <f t="shared" ref="M3419:M3482" si="217">IF(OR(I3419="Termo OK (Exceção)",I3419="Termo OK"),0,1)</f>
        <v>1</v>
      </c>
      <c r="N3419">
        <f t="shared" ref="N3419:N3482" si="218">IF(J3419="SIM",1,0)</f>
        <v>0</v>
      </c>
      <c r="O3419" t="str">
        <f t="shared" ref="O3419:O3482" si="219">IF(SUMIFS(M:M,A:A,A3419)&gt;0,"Proposta não Ok","Proposta Ok")</f>
        <v>Proposta Ok</v>
      </c>
    </row>
    <row r="3420" spans="12:15" x14ac:dyDescent="0.25">
      <c r="L3420">
        <f t="shared" si="216"/>
        <v>0</v>
      </c>
      <c r="M3420">
        <f t="shared" si="217"/>
        <v>1</v>
      </c>
      <c r="N3420">
        <f t="shared" si="218"/>
        <v>0</v>
      </c>
      <c r="O3420" t="str">
        <f t="shared" si="219"/>
        <v>Proposta Ok</v>
      </c>
    </row>
    <row r="3421" spans="12:15" x14ac:dyDescent="0.25">
      <c r="L3421">
        <f t="shared" si="216"/>
        <v>0</v>
      </c>
      <c r="M3421">
        <f t="shared" si="217"/>
        <v>1</v>
      </c>
      <c r="N3421">
        <f t="shared" si="218"/>
        <v>0</v>
      </c>
      <c r="O3421" t="str">
        <f t="shared" si="219"/>
        <v>Proposta Ok</v>
      </c>
    </row>
    <row r="3422" spans="12:15" x14ac:dyDescent="0.25">
      <c r="L3422">
        <f t="shared" si="216"/>
        <v>0</v>
      </c>
      <c r="M3422">
        <f t="shared" si="217"/>
        <v>1</v>
      </c>
      <c r="N3422">
        <f t="shared" si="218"/>
        <v>0</v>
      </c>
      <c r="O3422" t="str">
        <f t="shared" si="219"/>
        <v>Proposta Ok</v>
      </c>
    </row>
    <row r="3423" spans="12:15" x14ac:dyDescent="0.25">
      <c r="L3423">
        <f t="shared" si="216"/>
        <v>0</v>
      </c>
      <c r="M3423">
        <f t="shared" si="217"/>
        <v>1</v>
      </c>
      <c r="N3423">
        <f t="shared" si="218"/>
        <v>0</v>
      </c>
      <c r="O3423" t="str">
        <f t="shared" si="219"/>
        <v>Proposta Ok</v>
      </c>
    </row>
    <row r="3424" spans="12:15" x14ac:dyDescent="0.25">
      <c r="L3424">
        <f t="shared" si="216"/>
        <v>0</v>
      </c>
      <c r="M3424">
        <f t="shared" si="217"/>
        <v>1</v>
      </c>
      <c r="N3424">
        <f t="shared" si="218"/>
        <v>0</v>
      </c>
      <c r="O3424" t="str">
        <f t="shared" si="219"/>
        <v>Proposta Ok</v>
      </c>
    </row>
    <row r="3425" spans="12:15" x14ac:dyDescent="0.25">
      <c r="L3425">
        <f t="shared" si="216"/>
        <v>0</v>
      </c>
      <c r="M3425">
        <f t="shared" si="217"/>
        <v>1</v>
      </c>
      <c r="N3425">
        <f t="shared" si="218"/>
        <v>0</v>
      </c>
      <c r="O3425" t="str">
        <f t="shared" si="219"/>
        <v>Proposta Ok</v>
      </c>
    </row>
    <row r="3426" spans="12:15" x14ac:dyDescent="0.25">
      <c r="L3426">
        <f t="shared" si="216"/>
        <v>0</v>
      </c>
      <c r="M3426">
        <f t="shared" si="217"/>
        <v>1</v>
      </c>
      <c r="N3426">
        <f t="shared" si="218"/>
        <v>0</v>
      </c>
      <c r="O3426" t="str">
        <f t="shared" si="219"/>
        <v>Proposta Ok</v>
      </c>
    </row>
    <row r="3427" spans="12:15" x14ac:dyDescent="0.25">
      <c r="L3427">
        <f t="shared" si="216"/>
        <v>0</v>
      </c>
      <c r="M3427">
        <f t="shared" si="217"/>
        <v>1</v>
      </c>
      <c r="N3427">
        <f t="shared" si="218"/>
        <v>0</v>
      </c>
      <c r="O3427" t="str">
        <f t="shared" si="219"/>
        <v>Proposta Ok</v>
      </c>
    </row>
    <row r="3428" spans="12:15" x14ac:dyDescent="0.25">
      <c r="L3428">
        <f t="shared" si="216"/>
        <v>0</v>
      </c>
      <c r="M3428">
        <f t="shared" si="217"/>
        <v>1</v>
      </c>
      <c r="N3428">
        <f t="shared" si="218"/>
        <v>0</v>
      </c>
      <c r="O3428" t="str">
        <f t="shared" si="219"/>
        <v>Proposta Ok</v>
      </c>
    </row>
    <row r="3429" spans="12:15" x14ac:dyDescent="0.25">
      <c r="L3429">
        <f t="shared" si="216"/>
        <v>0</v>
      </c>
      <c r="M3429">
        <f t="shared" si="217"/>
        <v>1</v>
      </c>
      <c r="N3429">
        <f t="shared" si="218"/>
        <v>0</v>
      </c>
      <c r="O3429" t="str">
        <f t="shared" si="219"/>
        <v>Proposta Ok</v>
      </c>
    </row>
    <row r="3430" spans="12:15" x14ac:dyDescent="0.25">
      <c r="L3430">
        <f t="shared" si="216"/>
        <v>0</v>
      </c>
      <c r="M3430">
        <f t="shared" si="217"/>
        <v>1</v>
      </c>
      <c r="N3430">
        <f t="shared" si="218"/>
        <v>0</v>
      </c>
      <c r="O3430" t="str">
        <f t="shared" si="219"/>
        <v>Proposta Ok</v>
      </c>
    </row>
    <row r="3431" spans="12:15" x14ac:dyDescent="0.25">
      <c r="L3431">
        <f t="shared" si="216"/>
        <v>0</v>
      </c>
      <c r="M3431">
        <f t="shared" si="217"/>
        <v>1</v>
      </c>
      <c r="N3431">
        <f t="shared" si="218"/>
        <v>0</v>
      </c>
      <c r="O3431" t="str">
        <f t="shared" si="219"/>
        <v>Proposta Ok</v>
      </c>
    </row>
    <row r="3432" spans="12:15" x14ac:dyDescent="0.25">
      <c r="L3432">
        <f t="shared" si="216"/>
        <v>0</v>
      </c>
      <c r="M3432">
        <f t="shared" si="217"/>
        <v>1</v>
      </c>
      <c r="N3432">
        <f t="shared" si="218"/>
        <v>0</v>
      </c>
      <c r="O3432" t="str">
        <f t="shared" si="219"/>
        <v>Proposta Ok</v>
      </c>
    </row>
    <row r="3433" spans="12:15" x14ac:dyDescent="0.25">
      <c r="L3433">
        <f t="shared" si="216"/>
        <v>0</v>
      </c>
      <c r="M3433">
        <f t="shared" si="217"/>
        <v>1</v>
      </c>
      <c r="N3433">
        <f t="shared" si="218"/>
        <v>0</v>
      </c>
      <c r="O3433" t="str">
        <f t="shared" si="219"/>
        <v>Proposta Ok</v>
      </c>
    </row>
    <row r="3434" spans="12:15" x14ac:dyDescent="0.25">
      <c r="L3434">
        <f t="shared" si="216"/>
        <v>0</v>
      </c>
      <c r="M3434">
        <f t="shared" si="217"/>
        <v>1</v>
      </c>
      <c r="N3434">
        <f t="shared" si="218"/>
        <v>0</v>
      </c>
      <c r="O3434" t="str">
        <f t="shared" si="219"/>
        <v>Proposta Ok</v>
      </c>
    </row>
    <row r="3435" spans="12:15" x14ac:dyDescent="0.25">
      <c r="L3435">
        <f t="shared" si="216"/>
        <v>0</v>
      </c>
      <c r="M3435">
        <f t="shared" si="217"/>
        <v>1</v>
      </c>
      <c r="N3435">
        <f t="shared" si="218"/>
        <v>0</v>
      </c>
      <c r="O3435" t="str">
        <f t="shared" si="219"/>
        <v>Proposta Ok</v>
      </c>
    </row>
    <row r="3436" spans="12:15" x14ac:dyDescent="0.25">
      <c r="L3436">
        <f t="shared" si="216"/>
        <v>0</v>
      </c>
      <c r="M3436">
        <f t="shared" si="217"/>
        <v>1</v>
      </c>
      <c r="N3436">
        <f t="shared" si="218"/>
        <v>0</v>
      </c>
      <c r="O3436" t="str">
        <f t="shared" si="219"/>
        <v>Proposta Ok</v>
      </c>
    </row>
    <row r="3437" spans="12:15" x14ac:dyDescent="0.25">
      <c r="L3437">
        <f t="shared" si="216"/>
        <v>0</v>
      </c>
      <c r="M3437">
        <f t="shared" si="217"/>
        <v>1</v>
      </c>
      <c r="N3437">
        <f t="shared" si="218"/>
        <v>0</v>
      </c>
      <c r="O3437" t="str">
        <f t="shared" si="219"/>
        <v>Proposta Ok</v>
      </c>
    </row>
    <row r="3438" spans="12:15" x14ac:dyDescent="0.25">
      <c r="L3438">
        <f t="shared" si="216"/>
        <v>0</v>
      </c>
      <c r="M3438">
        <f t="shared" si="217"/>
        <v>1</v>
      </c>
      <c r="N3438">
        <f t="shared" si="218"/>
        <v>0</v>
      </c>
      <c r="O3438" t="str">
        <f t="shared" si="219"/>
        <v>Proposta Ok</v>
      </c>
    </row>
    <row r="3439" spans="12:15" x14ac:dyDescent="0.25">
      <c r="L3439">
        <f t="shared" si="216"/>
        <v>0</v>
      </c>
      <c r="M3439">
        <f t="shared" si="217"/>
        <v>1</v>
      </c>
      <c r="N3439">
        <f t="shared" si="218"/>
        <v>0</v>
      </c>
      <c r="O3439" t="str">
        <f t="shared" si="219"/>
        <v>Proposta Ok</v>
      </c>
    </row>
    <row r="3440" spans="12:15" x14ac:dyDescent="0.25">
      <c r="L3440">
        <f t="shared" si="216"/>
        <v>0</v>
      </c>
      <c r="M3440">
        <f t="shared" si="217"/>
        <v>1</v>
      </c>
      <c r="N3440">
        <f t="shared" si="218"/>
        <v>0</v>
      </c>
      <c r="O3440" t="str">
        <f t="shared" si="219"/>
        <v>Proposta Ok</v>
      </c>
    </row>
    <row r="3441" spans="12:15" x14ac:dyDescent="0.25">
      <c r="L3441">
        <f t="shared" si="216"/>
        <v>0</v>
      </c>
      <c r="M3441">
        <f t="shared" si="217"/>
        <v>1</v>
      </c>
      <c r="N3441">
        <f t="shared" si="218"/>
        <v>0</v>
      </c>
      <c r="O3441" t="str">
        <f t="shared" si="219"/>
        <v>Proposta Ok</v>
      </c>
    </row>
    <row r="3442" spans="12:15" x14ac:dyDescent="0.25">
      <c r="L3442">
        <f t="shared" si="216"/>
        <v>0</v>
      </c>
      <c r="M3442">
        <f t="shared" si="217"/>
        <v>1</v>
      </c>
      <c r="N3442">
        <f t="shared" si="218"/>
        <v>0</v>
      </c>
      <c r="O3442" t="str">
        <f t="shared" si="219"/>
        <v>Proposta Ok</v>
      </c>
    </row>
    <row r="3443" spans="12:15" x14ac:dyDescent="0.25">
      <c r="L3443">
        <f t="shared" si="216"/>
        <v>0</v>
      </c>
      <c r="M3443">
        <f t="shared" si="217"/>
        <v>1</v>
      </c>
      <c r="N3443">
        <f t="shared" si="218"/>
        <v>0</v>
      </c>
      <c r="O3443" t="str">
        <f t="shared" si="219"/>
        <v>Proposta Ok</v>
      </c>
    </row>
    <row r="3444" spans="12:15" x14ac:dyDescent="0.25">
      <c r="L3444">
        <f t="shared" si="216"/>
        <v>0</v>
      </c>
      <c r="M3444">
        <f t="shared" si="217"/>
        <v>1</v>
      </c>
      <c r="N3444">
        <f t="shared" si="218"/>
        <v>0</v>
      </c>
      <c r="O3444" t="str">
        <f t="shared" si="219"/>
        <v>Proposta Ok</v>
      </c>
    </row>
    <row r="3445" spans="12:15" x14ac:dyDescent="0.25">
      <c r="L3445">
        <f t="shared" si="216"/>
        <v>0</v>
      </c>
      <c r="M3445">
        <f t="shared" si="217"/>
        <v>1</v>
      </c>
      <c r="N3445">
        <f t="shared" si="218"/>
        <v>0</v>
      </c>
      <c r="O3445" t="str">
        <f t="shared" si="219"/>
        <v>Proposta Ok</v>
      </c>
    </row>
    <row r="3446" spans="12:15" x14ac:dyDescent="0.25">
      <c r="L3446">
        <f t="shared" si="216"/>
        <v>0</v>
      </c>
      <c r="M3446">
        <f t="shared" si="217"/>
        <v>1</v>
      </c>
      <c r="N3446">
        <f t="shared" si="218"/>
        <v>0</v>
      </c>
      <c r="O3446" t="str">
        <f t="shared" si="219"/>
        <v>Proposta Ok</v>
      </c>
    </row>
    <row r="3447" spans="12:15" x14ac:dyDescent="0.25">
      <c r="L3447">
        <f t="shared" si="216"/>
        <v>0</v>
      </c>
      <c r="M3447">
        <f t="shared" si="217"/>
        <v>1</v>
      </c>
      <c r="N3447">
        <f t="shared" si="218"/>
        <v>0</v>
      </c>
      <c r="O3447" t="str">
        <f t="shared" si="219"/>
        <v>Proposta Ok</v>
      </c>
    </row>
    <row r="3448" spans="12:15" x14ac:dyDescent="0.25">
      <c r="L3448">
        <f t="shared" si="216"/>
        <v>0</v>
      </c>
      <c r="M3448">
        <f t="shared" si="217"/>
        <v>1</v>
      </c>
      <c r="N3448">
        <f t="shared" si="218"/>
        <v>0</v>
      </c>
      <c r="O3448" t="str">
        <f t="shared" si="219"/>
        <v>Proposta Ok</v>
      </c>
    </row>
    <row r="3449" spans="12:15" x14ac:dyDescent="0.25">
      <c r="L3449">
        <f t="shared" si="216"/>
        <v>0</v>
      </c>
      <c r="M3449">
        <f t="shared" si="217"/>
        <v>1</v>
      </c>
      <c r="N3449">
        <f t="shared" si="218"/>
        <v>0</v>
      </c>
      <c r="O3449" t="str">
        <f t="shared" si="219"/>
        <v>Proposta Ok</v>
      </c>
    </row>
    <row r="3450" spans="12:15" x14ac:dyDescent="0.25">
      <c r="L3450">
        <f t="shared" si="216"/>
        <v>0</v>
      </c>
      <c r="M3450">
        <f t="shared" si="217"/>
        <v>1</v>
      </c>
      <c r="N3450">
        <f t="shared" si="218"/>
        <v>0</v>
      </c>
      <c r="O3450" t="str">
        <f t="shared" si="219"/>
        <v>Proposta Ok</v>
      </c>
    </row>
    <row r="3451" spans="12:15" x14ac:dyDescent="0.25">
      <c r="L3451">
        <f t="shared" si="216"/>
        <v>0</v>
      </c>
      <c r="M3451">
        <f t="shared" si="217"/>
        <v>1</v>
      </c>
      <c r="N3451">
        <f t="shared" si="218"/>
        <v>0</v>
      </c>
      <c r="O3451" t="str">
        <f t="shared" si="219"/>
        <v>Proposta Ok</v>
      </c>
    </row>
    <row r="3452" spans="12:15" x14ac:dyDescent="0.25">
      <c r="L3452">
        <f t="shared" si="216"/>
        <v>0</v>
      </c>
      <c r="M3452">
        <f t="shared" si="217"/>
        <v>1</v>
      </c>
      <c r="N3452">
        <f t="shared" si="218"/>
        <v>0</v>
      </c>
      <c r="O3452" t="str">
        <f t="shared" si="219"/>
        <v>Proposta Ok</v>
      </c>
    </row>
    <row r="3453" spans="12:15" x14ac:dyDescent="0.25">
      <c r="L3453">
        <f t="shared" si="216"/>
        <v>0</v>
      </c>
      <c r="M3453">
        <f t="shared" si="217"/>
        <v>1</v>
      </c>
      <c r="N3453">
        <f t="shared" si="218"/>
        <v>0</v>
      </c>
      <c r="O3453" t="str">
        <f t="shared" si="219"/>
        <v>Proposta Ok</v>
      </c>
    </row>
    <row r="3454" spans="12:15" x14ac:dyDescent="0.25">
      <c r="L3454">
        <f t="shared" si="216"/>
        <v>0</v>
      </c>
      <c r="M3454">
        <f t="shared" si="217"/>
        <v>1</v>
      </c>
      <c r="N3454">
        <f t="shared" si="218"/>
        <v>0</v>
      </c>
      <c r="O3454" t="str">
        <f t="shared" si="219"/>
        <v>Proposta Ok</v>
      </c>
    </row>
    <row r="3455" spans="12:15" x14ac:dyDescent="0.25">
      <c r="L3455">
        <f t="shared" si="216"/>
        <v>0</v>
      </c>
      <c r="M3455">
        <f t="shared" si="217"/>
        <v>1</v>
      </c>
      <c r="N3455">
        <f t="shared" si="218"/>
        <v>0</v>
      </c>
      <c r="O3455" t="str">
        <f t="shared" si="219"/>
        <v>Proposta Ok</v>
      </c>
    </row>
    <row r="3456" spans="12:15" x14ac:dyDescent="0.25">
      <c r="L3456">
        <f t="shared" si="216"/>
        <v>0</v>
      </c>
      <c r="M3456">
        <f t="shared" si="217"/>
        <v>1</v>
      </c>
      <c r="N3456">
        <f t="shared" si="218"/>
        <v>0</v>
      </c>
      <c r="O3456" t="str">
        <f t="shared" si="219"/>
        <v>Proposta Ok</v>
      </c>
    </row>
    <row r="3457" spans="12:15" x14ac:dyDescent="0.25">
      <c r="L3457">
        <f t="shared" si="216"/>
        <v>0</v>
      </c>
      <c r="M3457">
        <f t="shared" si="217"/>
        <v>1</v>
      </c>
      <c r="N3457">
        <f t="shared" si="218"/>
        <v>0</v>
      </c>
      <c r="O3457" t="str">
        <f t="shared" si="219"/>
        <v>Proposta Ok</v>
      </c>
    </row>
    <row r="3458" spans="12:15" x14ac:dyDescent="0.25">
      <c r="L3458">
        <f t="shared" si="216"/>
        <v>0</v>
      </c>
      <c r="M3458">
        <f t="shared" si="217"/>
        <v>1</v>
      </c>
      <c r="N3458">
        <f t="shared" si="218"/>
        <v>0</v>
      </c>
      <c r="O3458" t="str">
        <f t="shared" si="219"/>
        <v>Proposta Ok</v>
      </c>
    </row>
    <row r="3459" spans="12:15" x14ac:dyDescent="0.25">
      <c r="L3459">
        <f t="shared" si="216"/>
        <v>0</v>
      </c>
      <c r="M3459">
        <f t="shared" si="217"/>
        <v>1</v>
      </c>
      <c r="N3459">
        <f t="shared" si="218"/>
        <v>0</v>
      </c>
      <c r="O3459" t="str">
        <f t="shared" si="219"/>
        <v>Proposta Ok</v>
      </c>
    </row>
    <row r="3460" spans="12:15" x14ac:dyDescent="0.25">
      <c r="L3460">
        <f t="shared" si="216"/>
        <v>0</v>
      </c>
      <c r="M3460">
        <f t="shared" si="217"/>
        <v>1</v>
      </c>
      <c r="N3460">
        <f t="shared" si="218"/>
        <v>0</v>
      </c>
      <c r="O3460" t="str">
        <f t="shared" si="219"/>
        <v>Proposta Ok</v>
      </c>
    </row>
    <row r="3461" spans="12:15" x14ac:dyDescent="0.25">
      <c r="L3461">
        <f t="shared" si="216"/>
        <v>0</v>
      </c>
      <c r="M3461">
        <f t="shared" si="217"/>
        <v>1</v>
      </c>
      <c r="N3461">
        <f t="shared" si="218"/>
        <v>0</v>
      </c>
      <c r="O3461" t="str">
        <f t="shared" si="219"/>
        <v>Proposta Ok</v>
      </c>
    </row>
    <row r="3462" spans="12:15" x14ac:dyDescent="0.25">
      <c r="L3462">
        <f t="shared" si="216"/>
        <v>0</v>
      </c>
      <c r="M3462">
        <f t="shared" si="217"/>
        <v>1</v>
      </c>
      <c r="N3462">
        <f t="shared" si="218"/>
        <v>0</v>
      </c>
      <c r="O3462" t="str">
        <f t="shared" si="219"/>
        <v>Proposta Ok</v>
      </c>
    </row>
    <row r="3463" spans="12:15" x14ac:dyDescent="0.25">
      <c r="L3463">
        <f t="shared" si="216"/>
        <v>0</v>
      </c>
      <c r="M3463">
        <f t="shared" si="217"/>
        <v>1</v>
      </c>
      <c r="N3463">
        <f t="shared" si="218"/>
        <v>0</v>
      </c>
      <c r="O3463" t="str">
        <f t="shared" si="219"/>
        <v>Proposta Ok</v>
      </c>
    </row>
    <row r="3464" spans="12:15" x14ac:dyDescent="0.25">
      <c r="L3464">
        <f t="shared" si="216"/>
        <v>0</v>
      </c>
      <c r="M3464">
        <f t="shared" si="217"/>
        <v>1</v>
      </c>
      <c r="N3464">
        <f t="shared" si="218"/>
        <v>0</v>
      </c>
      <c r="O3464" t="str">
        <f t="shared" si="219"/>
        <v>Proposta Ok</v>
      </c>
    </row>
    <row r="3465" spans="12:15" x14ac:dyDescent="0.25">
      <c r="L3465">
        <f t="shared" si="216"/>
        <v>0</v>
      </c>
      <c r="M3465">
        <f t="shared" si="217"/>
        <v>1</v>
      </c>
      <c r="N3465">
        <f t="shared" si="218"/>
        <v>0</v>
      </c>
      <c r="O3465" t="str">
        <f t="shared" si="219"/>
        <v>Proposta Ok</v>
      </c>
    </row>
    <row r="3466" spans="12:15" x14ac:dyDescent="0.25">
      <c r="L3466">
        <f t="shared" si="216"/>
        <v>0</v>
      </c>
      <c r="M3466">
        <f t="shared" si="217"/>
        <v>1</v>
      </c>
      <c r="N3466">
        <f t="shared" si="218"/>
        <v>0</v>
      </c>
      <c r="O3466" t="str">
        <f t="shared" si="219"/>
        <v>Proposta Ok</v>
      </c>
    </row>
    <row r="3467" spans="12:15" x14ac:dyDescent="0.25">
      <c r="L3467">
        <f t="shared" si="216"/>
        <v>0</v>
      </c>
      <c r="M3467">
        <f t="shared" si="217"/>
        <v>1</v>
      </c>
      <c r="N3467">
        <f t="shared" si="218"/>
        <v>0</v>
      </c>
      <c r="O3467" t="str">
        <f t="shared" si="219"/>
        <v>Proposta Ok</v>
      </c>
    </row>
    <row r="3468" spans="12:15" x14ac:dyDescent="0.25">
      <c r="L3468">
        <f t="shared" si="216"/>
        <v>0</v>
      </c>
      <c r="M3468">
        <f t="shared" si="217"/>
        <v>1</v>
      </c>
      <c r="N3468">
        <f t="shared" si="218"/>
        <v>0</v>
      </c>
      <c r="O3468" t="str">
        <f t="shared" si="219"/>
        <v>Proposta Ok</v>
      </c>
    </row>
    <row r="3469" spans="12:15" x14ac:dyDescent="0.25">
      <c r="L3469">
        <f t="shared" si="216"/>
        <v>0</v>
      </c>
      <c r="M3469">
        <f t="shared" si="217"/>
        <v>1</v>
      </c>
      <c r="N3469">
        <f t="shared" si="218"/>
        <v>0</v>
      </c>
      <c r="O3469" t="str">
        <f t="shared" si="219"/>
        <v>Proposta Ok</v>
      </c>
    </row>
    <row r="3470" spans="12:15" x14ac:dyDescent="0.25">
      <c r="L3470">
        <f t="shared" si="216"/>
        <v>0</v>
      </c>
      <c r="M3470">
        <f t="shared" si="217"/>
        <v>1</v>
      </c>
      <c r="N3470">
        <f t="shared" si="218"/>
        <v>0</v>
      </c>
      <c r="O3470" t="str">
        <f t="shared" si="219"/>
        <v>Proposta Ok</v>
      </c>
    </row>
    <row r="3471" spans="12:15" x14ac:dyDescent="0.25">
      <c r="L3471">
        <f t="shared" si="216"/>
        <v>0</v>
      </c>
      <c r="M3471">
        <f t="shared" si="217"/>
        <v>1</v>
      </c>
      <c r="N3471">
        <f t="shared" si="218"/>
        <v>0</v>
      </c>
      <c r="O3471" t="str">
        <f t="shared" si="219"/>
        <v>Proposta Ok</v>
      </c>
    </row>
    <row r="3472" spans="12:15" x14ac:dyDescent="0.25">
      <c r="L3472">
        <f t="shared" si="216"/>
        <v>0</v>
      </c>
      <c r="M3472">
        <f t="shared" si="217"/>
        <v>1</v>
      </c>
      <c r="N3472">
        <f t="shared" si="218"/>
        <v>0</v>
      </c>
      <c r="O3472" t="str">
        <f t="shared" si="219"/>
        <v>Proposta Ok</v>
      </c>
    </row>
    <row r="3473" spans="12:15" x14ac:dyDescent="0.25">
      <c r="L3473">
        <f t="shared" si="216"/>
        <v>0</v>
      </c>
      <c r="M3473">
        <f t="shared" si="217"/>
        <v>1</v>
      </c>
      <c r="N3473">
        <f t="shared" si="218"/>
        <v>0</v>
      </c>
      <c r="O3473" t="str">
        <f t="shared" si="219"/>
        <v>Proposta Ok</v>
      </c>
    </row>
    <row r="3474" spans="12:15" x14ac:dyDescent="0.25">
      <c r="L3474">
        <f t="shared" si="216"/>
        <v>0</v>
      </c>
      <c r="M3474">
        <f t="shared" si="217"/>
        <v>1</v>
      </c>
      <c r="N3474">
        <f t="shared" si="218"/>
        <v>0</v>
      </c>
      <c r="O3474" t="str">
        <f t="shared" si="219"/>
        <v>Proposta Ok</v>
      </c>
    </row>
    <row r="3475" spans="12:15" x14ac:dyDescent="0.25">
      <c r="L3475">
        <f t="shared" si="216"/>
        <v>0</v>
      </c>
      <c r="M3475">
        <f t="shared" si="217"/>
        <v>1</v>
      </c>
      <c r="N3475">
        <f t="shared" si="218"/>
        <v>0</v>
      </c>
      <c r="O3475" t="str">
        <f t="shared" si="219"/>
        <v>Proposta Ok</v>
      </c>
    </row>
    <row r="3476" spans="12:15" x14ac:dyDescent="0.25">
      <c r="L3476">
        <f t="shared" si="216"/>
        <v>0</v>
      </c>
      <c r="M3476">
        <f t="shared" si="217"/>
        <v>1</v>
      </c>
      <c r="N3476">
        <f t="shared" si="218"/>
        <v>0</v>
      </c>
      <c r="O3476" t="str">
        <f t="shared" si="219"/>
        <v>Proposta Ok</v>
      </c>
    </row>
    <row r="3477" spans="12:15" x14ac:dyDescent="0.25">
      <c r="L3477">
        <f t="shared" si="216"/>
        <v>0</v>
      </c>
      <c r="M3477">
        <f t="shared" si="217"/>
        <v>1</v>
      </c>
      <c r="N3477">
        <f t="shared" si="218"/>
        <v>0</v>
      </c>
      <c r="O3477" t="str">
        <f t="shared" si="219"/>
        <v>Proposta Ok</v>
      </c>
    </row>
    <row r="3478" spans="12:15" x14ac:dyDescent="0.25">
      <c r="L3478">
        <f t="shared" si="216"/>
        <v>0</v>
      </c>
      <c r="M3478">
        <f t="shared" si="217"/>
        <v>1</v>
      </c>
      <c r="N3478">
        <f t="shared" si="218"/>
        <v>0</v>
      </c>
      <c r="O3478" t="str">
        <f t="shared" si="219"/>
        <v>Proposta Ok</v>
      </c>
    </row>
    <row r="3479" spans="12:15" x14ac:dyDescent="0.25">
      <c r="L3479">
        <f t="shared" si="216"/>
        <v>0</v>
      </c>
      <c r="M3479">
        <f t="shared" si="217"/>
        <v>1</v>
      </c>
      <c r="N3479">
        <f t="shared" si="218"/>
        <v>0</v>
      </c>
      <c r="O3479" t="str">
        <f t="shared" si="219"/>
        <v>Proposta Ok</v>
      </c>
    </row>
    <row r="3480" spans="12:15" x14ac:dyDescent="0.25">
      <c r="L3480">
        <f t="shared" si="216"/>
        <v>0</v>
      </c>
      <c r="M3480">
        <f t="shared" si="217"/>
        <v>1</v>
      </c>
      <c r="N3480">
        <f t="shared" si="218"/>
        <v>0</v>
      </c>
      <c r="O3480" t="str">
        <f t="shared" si="219"/>
        <v>Proposta Ok</v>
      </c>
    </row>
    <row r="3481" spans="12:15" x14ac:dyDescent="0.25">
      <c r="L3481">
        <f t="shared" si="216"/>
        <v>0</v>
      </c>
      <c r="M3481">
        <f t="shared" si="217"/>
        <v>1</v>
      </c>
      <c r="N3481">
        <f t="shared" si="218"/>
        <v>0</v>
      </c>
      <c r="O3481" t="str">
        <f t="shared" si="219"/>
        <v>Proposta Ok</v>
      </c>
    </row>
    <row r="3482" spans="12:15" x14ac:dyDescent="0.25">
      <c r="L3482">
        <f t="shared" si="216"/>
        <v>0</v>
      </c>
      <c r="M3482">
        <f t="shared" si="217"/>
        <v>1</v>
      </c>
      <c r="N3482">
        <f t="shared" si="218"/>
        <v>0</v>
      </c>
      <c r="O3482" t="str">
        <f t="shared" si="219"/>
        <v>Proposta Ok</v>
      </c>
    </row>
    <row r="3483" spans="12:15" x14ac:dyDescent="0.25">
      <c r="L3483">
        <f t="shared" ref="L3483:L3546" si="220">IF(OR(I3483="Termo OK (Exceção)",I3483="Termo OK"),1,0)</f>
        <v>0</v>
      </c>
      <c r="M3483">
        <f t="shared" ref="M3483:M3546" si="221">IF(OR(I3483="Termo OK (Exceção)",I3483="Termo OK"),0,1)</f>
        <v>1</v>
      </c>
      <c r="N3483">
        <f t="shared" ref="N3483:N3546" si="222">IF(J3483="SIM",1,0)</f>
        <v>0</v>
      </c>
      <c r="O3483" t="str">
        <f t="shared" ref="O3483:O3546" si="223">IF(SUMIFS(M:M,A:A,A3483)&gt;0,"Proposta não Ok","Proposta Ok")</f>
        <v>Proposta Ok</v>
      </c>
    </row>
    <row r="3484" spans="12:15" x14ac:dyDescent="0.25">
      <c r="L3484">
        <f t="shared" si="220"/>
        <v>0</v>
      </c>
      <c r="M3484">
        <f t="shared" si="221"/>
        <v>1</v>
      </c>
      <c r="N3484">
        <f t="shared" si="222"/>
        <v>0</v>
      </c>
      <c r="O3484" t="str">
        <f t="shared" si="223"/>
        <v>Proposta Ok</v>
      </c>
    </row>
    <row r="3485" spans="12:15" x14ac:dyDescent="0.25">
      <c r="L3485">
        <f t="shared" si="220"/>
        <v>0</v>
      </c>
      <c r="M3485">
        <f t="shared" si="221"/>
        <v>1</v>
      </c>
      <c r="N3485">
        <f t="shared" si="222"/>
        <v>0</v>
      </c>
      <c r="O3485" t="str">
        <f t="shared" si="223"/>
        <v>Proposta Ok</v>
      </c>
    </row>
    <row r="3486" spans="12:15" x14ac:dyDescent="0.25">
      <c r="L3486">
        <f t="shared" si="220"/>
        <v>0</v>
      </c>
      <c r="M3486">
        <f t="shared" si="221"/>
        <v>1</v>
      </c>
      <c r="N3486">
        <f t="shared" si="222"/>
        <v>0</v>
      </c>
      <c r="O3486" t="str">
        <f t="shared" si="223"/>
        <v>Proposta Ok</v>
      </c>
    </row>
    <row r="3487" spans="12:15" x14ac:dyDescent="0.25">
      <c r="L3487">
        <f t="shared" si="220"/>
        <v>0</v>
      </c>
      <c r="M3487">
        <f t="shared" si="221"/>
        <v>1</v>
      </c>
      <c r="N3487">
        <f t="shared" si="222"/>
        <v>0</v>
      </c>
      <c r="O3487" t="str">
        <f t="shared" si="223"/>
        <v>Proposta Ok</v>
      </c>
    </row>
    <row r="3488" spans="12:15" x14ac:dyDescent="0.25">
      <c r="L3488">
        <f t="shared" si="220"/>
        <v>0</v>
      </c>
      <c r="M3488">
        <f t="shared" si="221"/>
        <v>1</v>
      </c>
      <c r="N3488">
        <f t="shared" si="222"/>
        <v>0</v>
      </c>
      <c r="O3488" t="str">
        <f t="shared" si="223"/>
        <v>Proposta Ok</v>
      </c>
    </row>
    <row r="3489" spans="12:15" x14ac:dyDescent="0.25">
      <c r="L3489">
        <f t="shared" si="220"/>
        <v>0</v>
      </c>
      <c r="M3489">
        <f t="shared" si="221"/>
        <v>1</v>
      </c>
      <c r="N3489">
        <f t="shared" si="222"/>
        <v>0</v>
      </c>
      <c r="O3489" t="str">
        <f t="shared" si="223"/>
        <v>Proposta Ok</v>
      </c>
    </row>
    <row r="3490" spans="12:15" x14ac:dyDescent="0.25">
      <c r="L3490">
        <f t="shared" si="220"/>
        <v>0</v>
      </c>
      <c r="M3490">
        <f t="shared" si="221"/>
        <v>1</v>
      </c>
      <c r="N3490">
        <f t="shared" si="222"/>
        <v>0</v>
      </c>
      <c r="O3490" t="str">
        <f t="shared" si="223"/>
        <v>Proposta Ok</v>
      </c>
    </row>
    <row r="3491" spans="12:15" x14ac:dyDescent="0.25">
      <c r="L3491">
        <f t="shared" si="220"/>
        <v>0</v>
      </c>
      <c r="M3491">
        <f t="shared" si="221"/>
        <v>1</v>
      </c>
      <c r="N3491">
        <f t="shared" si="222"/>
        <v>0</v>
      </c>
      <c r="O3491" t="str">
        <f t="shared" si="223"/>
        <v>Proposta Ok</v>
      </c>
    </row>
    <row r="3492" spans="12:15" x14ac:dyDescent="0.25">
      <c r="L3492">
        <f t="shared" si="220"/>
        <v>0</v>
      </c>
      <c r="M3492">
        <f t="shared" si="221"/>
        <v>1</v>
      </c>
      <c r="N3492">
        <f t="shared" si="222"/>
        <v>0</v>
      </c>
      <c r="O3492" t="str">
        <f t="shared" si="223"/>
        <v>Proposta Ok</v>
      </c>
    </row>
    <row r="3493" spans="12:15" x14ac:dyDescent="0.25">
      <c r="L3493">
        <f t="shared" si="220"/>
        <v>0</v>
      </c>
      <c r="M3493">
        <f t="shared" si="221"/>
        <v>1</v>
      </c>
      <c r="N3493">
        <f t="shared" si="222"/>
        <v>0</v>
      </c>
      <c r="O3493" t="str">
        <f t="shared" si="223"/>
        <v>Proposta Ok</v>
      </c>
    </row>
    <row r="3494" spans="12:15" x14ac:dyDescent="0.25">
      <c r="L3494">
        <f t="shared" si="220"/>
        <v>0</v>
      </c>
      <c r="M3494">
        <f t="shared" si="221"/>
        <v>1</v>
      </c>
      <c r="N3494">
        <f t="shared" si="222"/>
        <v>0</v>
      </c>
      <c r="O3494" t="str">
        <f t="shared" si="223"/>
        <v>Proposta Ok</v>
      </c>
    </row>
    <row r="3495" spans="12:15" x14ac:dyDescent="0.25">
      <c r="L3495">
        <f t="shared" si="220"/>
        <v>0</v>
      </c>
      <c r="M3495">
        <f t="shared" si="221"/>
        <v>1</v>
      </c>
      <c r="N3495">
        <f t="shared" si="222"/>
        <v>0</v>
      </c>
      <c r="O3495" t="str">
        <f t="shared" si="223"/>
        <v>Proposta Ok</v>
      </c>
    </row>
    <row r="3496" spans="12:15" x14ac:dyDescent="0.25">
      <c r="L3496">
        <f t="shared" si="220"/>
        <v>0</v>
      </c>
      <c r="M3496">
        <f t="shared" si="221"/>
        <v>1</v>
      </c>
      <c r="N3496">
        <f t="shared" si="222"/>
        <v>0</v>
      </c>
      <c r="O3496" t="str">
        <f t="shared" si="223"/>
        <v>Proposta Ok</v>
      </c>
    </row>
    <row r="3497" spans="12:15" x14ac:dyDescent="0.25">
      <c r="L3497">
        <f t="shared" si="220"/>
        <v>0</v>
      </c>
      <c r="M3497">
        <f t="shared" si="221"/>
        <v>1</v>
      </c>
      <c r="N3497">
        <f t="shared" si="222"/>
        <v>0</v>
      </c>
      <c r="O3497" t="str">
        <f t="shared" si="223"/>
        <v>Proposta Ok</v>
      </c>
    </row>
    <row r="3498" spans="12:15" x14ac:dyDescent="0.25">
      <c r="L3498">
        <f t="shared" si="220"/>
        <v>0</v>
      </c>
      <c r="M3498">
        <f t="shared" si="221"/>
        <v>1</v>
      </c>
      <c r="N3498">
        <f t="shared" si="222"/>
        <v>0</v>
      </c>
      <c r="O3498" t="str">
        <f t="shared" si="223"/>
        <v>Proposta Ok</v>
      </c>
    </row>
    <row r="3499" spans="12:15" x14ac:dyDescent="0.25">
      <c r="L3499">
        <f t="shared" si="220"/>
        <v>0</v>
      </c>
      <c r="M3499">
        <f t="shared" si="221"/>
        <v>1</v>
      </c>
      <c r="N3499">
        <f t="shared" si="222"/>
        <v>0</v>
      </c>
      <c r="O3499" t="str">
        <f t="shared" si="223"/>
        <v>Proposta Ok</v>
      </c>
    </row>
    <row r="3500" spans="12:15" x14ac:dyDescent="0.25">
      <c r="L3500">
        <f t="shared" si="220"/>
        <v>0</v>
      </c>
      <c r="M3500">
        <f t="shared" si="221"/>
        <v>1</v>
      </c>
      <c r="N3500">
        <f t="shared" si="222"/>
        <v>0</v>
      </c>
      <c r="O3500" t="str">
        <f t="shared" si="223"/>
        <v>Proposta Ok</v>
      </c>
    </row>
    <row r="3501" spans="12:15" x14ac:dyDescent="0.25">
      <c r="L3501">
        <f t="shared" si="220"/>
        <v>0</v>
      </c>
      <c r="M3501">
        <f t="shared" si="221"/>
        <v>1</v>
      </c>
      <c r="N3501">
        <f t="shared" si="222"/>
        <v>0</v>
      </c>
      <c r="O3501" t="str">
        <f t="shared" si="223"/>
        <v>Proposta Ok</v>
      </c>
    </row>
    <row r="3502" spans="12:15" x14ac:dyDescent="0.25">
      <c r="L3502">
        <f t="shared" si="220"/>
        <v>0</v>
      </c>
      <c r="M3502">
        <f t="shared" si="221"/>
        <v>1</v>
      </c>
      <c r="N3502">
        <f t="shared" si="222"/>
        <v>0</v>
      </c>
      <c r="O3502" t="str">
        <f t="shared" si="223"/>
        <v>Proposta Ok</v>
      </c>
    </row>
    <row r="3503" spans="12:15" x14ac:dyDescent="0.25">
      <c r="L3503">
        <f t="shared" si="220"/>
        <v>0</v>
      </c>
      <c r="M3503">
        <f t="shared" si="221"/>
        <v>1</v>
      </c>
      <c r="N3503">
        <f t="shared" si="222"/>
        <v>0</v>
      </c>
      <c r="O3503" t="str">
        <f t="shared" si="223"/>
        <v>Proposta Ok</v>
      </c>
    </row>
    <row r="3504" spans="12:15" x14ac:dyDescent="0.25">
      <c r="L3504">
        <f t="shared" si="220"/>
        <v>0</v>
      </c>
      <c r="M3504">
        <f t="shared" si="221"/>
        <v>1</v>
      </c>
      <c r="N3504">
        <f t="shared" si="222"/>
        <v>0</v>
      </c>
      <c r="O3504" t="str">
        <f t="shared" si="223"/>
        <v>Proposta Ok</v>
      </c>
    </row>
    <row r="3505" spans="12:15" x14ac:dyDescent="0.25">
      <c r="L3505">
        <f t="shared" si="220"/>
        <v>0</v>
      </c>
      <c r="M3505">
        <f t="shared" si="221"/>
        <v>1</v>
      </c>
      <c r="N3505">
        <f t="shared" si="222"/>
        <v>0</v>
      </c>
      <c r="O3505" t="str">
        <f t="shared" si="223"/>
        <v>Proposta Ok</v>
      </c>
    </row>
    <row r="3506" spans="12:15" x14ac:dyDescent="0.25">
      <c r="L3506">
        <f t="shared" si="220"/>
        <v>0</v>
      </c>
      <c r="M3506">
        <f t="shared" si="221"/>
        <v>1</v>
      </c>
      <c r="N3506">
        <f t="shared" si="222"/>
        <v>0</v>
      </c>
      <c r="O3506" t="str">
        <f t="shared" si="223"/>
        <v>Proposta Ok</v>
      </c>
    </row>
    <row r="3507" spans="12:15" x14ac:dyDescent="0.25">
      <c r="L3507">
        <f t="shared" si="220"/>
        <v>0</v>
      </c>
      <c r="M3507">
        <f t="shared" si="221"/>
        <v>1</v>
      </c>
      <c r="N3507">
        <f t="shared" si="222"/>
        <v>0</v>
      </c>
      <c r="O3507" t="str">
        <f t="shared" si="223"/>
        <v>Proposta Ok</v>
      </c>
    </row>
    <row r="3508" spans="12:15" x14ac:dyDescent="0.25">
      <c r="L3508">
        <f t="shared" si="220"/>
        <v>0</v>
      </c>
      <c r="M3508">
        <f t="shared" si="221"/>
        <v>1</v>
      </c>
      <c r="N3508">
        <f t="shared" si="222"/>
        <v>0</v>
      </c>
      <c r="O3508" t="str">
        <f t="shared" si="223"/>
        <v>Proposta Ok</v>
      </c>
    </row>
    <row r="3509" spans="12:15" x14ac:dyDescent="0.25">
      <c r="L3509">
        <f t="shared" si="220"/>
        <v>0</v>
      </c>
      <c r="M3509">
        <f t="shared" si="221"/>
        <v>1</v>
      </c>
      <c r="N3509">
        <f t="shared" si="222"/>
        <v>0</v>
      </c>
      <c r="O3509" t="str">
        <f t="shared" si="223"/>
        <v>Proposta Ok</v>
      </c>
    </row>
    <row r="3510" spans="12:15" x14ac:dyDescent="0.25">
      <c r="L3510">
        <f t="shared" si="220"/>
        <v>0</v>
      </c>
      <c r="M3510">
        <f t="shared" si="221"/>
        <v>1</v>
      </c>
      <c r="N3510">
        <f t="shared" si="222"/>
        <v>0</v>
      </c>
      <c r="O3510" t="str">
        <f t="shared" si="223"/>
        <v>Proposta Ok</v>
      </c>
    </row>
    <row r="3511" spans="12:15" x14ac:dyDescent="0.25">
      <c r="L3511">
        <f t="shared" si="220"/>
        <v>0</v>
      </c>
      <c r="M3511">
        <f t="shared" si="221"/>
        <v>1</v>
      </c>
      <c r="N3511">
        <f t="shared" si="222"/>
        <v>0</v>
      </c>
      <c r="O3511" t="str">
        <f t="shared" si="223"/>
        <v>Proposta Ok</v>
      </c>
    </row>
    <row r="3512" spans="12:15" x14ac:dyDescent="0.25">
      <c r="L3512">
        <f t="shared" si="220"/>
        <v>0</v>
      </c>
      <c r="M3512">
        <f t="shared" si="221"/>
        <v>1</v>
      </c>
      <c r="N3512">
        <f t="shared" si="222"/>
        <v>0</v>
      </c>
      <c r="O3512" t="str">
        <f t="shared" si="223"/>
        <v>Proposta Ok</v>
      </c>
    </row>
    <row r="3513" spans="12:15" x14ac:dyDescent="0.25">
      <c r="L3513">
        <f t="shared" si="220"/>
        <v>0</v>
      </c>
      <c r="M3513">
        <f t="shared" si="221"/>
        <v>1</v>
      </c>
      <c r="N3513">
        <f t="shared" si="222"/>
        <v>0</v>
      </c>
      <c r="O3513" t="str">
        <f t="shared" si="223"/>
        <v>Proposta Ok</v>
      </c>
    </row>
    <row r="3514" spans="12:15" x14ac:dyDescent="0.25">
      <c r="L3514">
        <f t="shared" si="220"/>
        <v>0</v>
      </c>
      <c r="M3514">
        <f t="shared" si="221"/>
        <v>1</v>
      </c>
      <c r="N3514">
        <f t="shared" si="222"/>
        <v>0</v>
      </c>
      <c r="O3514" t="str">
        <f t="shared" si="223"/>
        <v>Proposta Ok</v>
      </c>
    </row>
    <row r="3515" spans="12:15" x14ac:dyDescent="0.25">
      <c r="L3515">
        <f t="shared" si="220"/>
        <v>0</v>
      </c>
      <c r="M3515">
        <f t="shared" si="221"/>
        <v>1</v>
      </c>
      <c r="N3515">
        <f t="shared" si="222"/>
        <v>0</v>
      </c>
      <c r="O3515" t="str">
        <f t="shared" si="223"/>
        <v>Proposta Ok</v>
      </c>
    </row>
    <row r="3516" spans="12:15" x14ac:dyDescent="0.25">
      <c r="L3516">
        <f t="shared" si="220"/>
        <v>0</v>
      </c>
      <c r="M3516">
        <f t="shared" si="221"/>
        <v>1</v>
      </c>
      <c r="N3516">
        <f t="shared" si="222"/>
        <v>0</v>
      </c>
      <c r="O3516" t="str">
        <f t="shared" si="223"/>
        <v>Proposta Ok</v>
      </c>
    </row>
    <row r="3517" spans="12:15" x14ac:dyDescent="0.25">
      <c r="L3517">
        <f t="shared" si="220"/>
        <v>0</v>
      </c>
      <c r="M3517">
        <f t="shared" si="221"/>
        <v>1</v>
      </c>
      <c r="N3517">
        <f t="shared" si="222"/>
        <v>0</v>
      </c>
      <c r="O3517" t="str">
        <f t="shared" si="223"/>
        <v>Proposta Ok</v>
      </c>
    </row>
    <row r="3518" spans="12:15" x14ac:dyDescent="0.25">
      <c r="L3518">
        <f t="shared" si="220"/>
        <v>0</v>
      </c>
      <c r="M3518">
        <f t="shared" si="221"/>
        <v>1</v>
      </c>
      <c r="N3518">
        <f t="shared" si="222"/>
        <v>0</v>
      </c>
      <c r="O3518" t="str">
        <f t="shared" si="223"/>
        <v>Proposta Ok</v>
      </c>
    </row>
    <row r="3519" spans="12:15" x14ac:dyDescent="0.25">
      <c r="L3519">
        <f t="shared" si="220"/>
        <v>0</v>
      </c>
      <c r="M3519">
        <f t="shared" si="221"/>
        <v>1</v>
      </c>
      <c r="N3519">
        <f t="shared" si="222"/>
        <v>0</v>
      </c>
      <c r="O3519" t="str">
        <f t="shared" si="223"/>
        <v>Proposta Ok</v>
      </c>
    </row>
    <row r="3520" spans="12:15" x14ac:dyDescent="0.25">
      <c r="L3520">
        <f t="shared" si="220"/>
        <v>0</v>
      </c>
      <c r="M3520">
        <f t="shared" si="221"/>
        <v>1</v>
      </c>
      <c r="N3520">
        <f t="shared" si="222"/>
        <v>0</v>
      </c>
      <c r="O3520" t="str">
        <f t="shared" si="223"/>
        <v>Proposta Ok</v>
      </c>
    </row>
    <row r="3521" spans="12:15" x14ac:dyDescent="0.25">
      <c r="L3521">
        <f t="shared" si="220"/>
        <v>0</v>
      </c>
      <c r="M3521">
        <f t="shared" si="221"/>
        <v>1</v>
      </c>
      <c r="N3521">
        <f t="shared" si="222"/>
        <v>0</v>
      </c>
      <c r="O3521" t="str">
        <f t="shared" si="223"/>
        <v>Proposta Ok</v>
      </c>
    </row>
    <row r="3522" spans="12:15" x14ac:dyDescent="0.25">
      <c r="L3522">
        <f t="shared" si="220"/>
        <v>0</v>
      </c>
      <c r="M3522">
        <f t="shared" si="221"/>
        <v>1</v>
      </c>
      <c r="N3522">
        <f t="shared" si="222"/>
        <v>0</v>
      </c>
      <c r="O3522" t="str">
        <f t="shared" si="223"/>
        <v>Proposta Ok</v>
      </c>
    </row>
    <row r="3523" spans="12:15" x14ac:dyDescent="0.25">
      <c r="L3523">
        <f t="shared" si="220"/>
        <v>0</v>
      </c>
      <c r="M3523">
        <f t="shared" si="221"/>
        <v>1</v>
      </c>
      <c r="N3523">
        <f t="shared" si="222"/>
        <v>0</v>
      </c>
      <c r="O3523" t="str">
        <f t="shared" si="223"/>
        <v>Proposta Ok</v>
      </c>
    </row>
    <row r="3524" spans="12:15" x14ac:dyDescent="0.25">
      <c r="L3524">
        <f t="shared" si="220"/>
        <v>0</v>
      </c>
      <c r="M3524">
        <f t="shared" si="221"/>
        <v>1</v>
      </c>
      <c r="N3524">
        <f t="shared" si="222"/>
        <v>0</v>
      </c>
      <c r="O3524" t="str">
        <f t="shared" si="223"/>
        <v>Proposta Ok</v>
      </c>
    </row>
    <row r="3525" spans="12:15" x14ac:dyDescent="0.25">
      <c r="L3525">
        <f t="shared" si="220"/>
        <v>0</v>
      </c>
      <c r="M3525">
        <f t="shared" si="221"/>
        <v>1</v>
      </c>
      <c r="N3525">
        <f t="shared" si="222"/>
        <v>0</v>
      </c>
      <c r="O3525" t="str">
        <f t="shared" si="223"/>
        <v>Proposta Ok</v>
      </c>
    </row>
    <row r="3526" spans="12:15" x14ac:dyDescent="0.25">
      <c r="L3526">
        <f t="shared" si="220"/>
        <v>0</v>
      </c>
      <c r="M3526">
        <f t="shared" si="221"/>
        <v>1</v>
      </c>
      <c r="N3526">
        <f t="shared" si="222"/>
        <v>0</v>
      </c>
      <c r="O3526" t="str">
        <f t="shared" si="223"/>
        <v>Proposta Ok</v>
      </c>
    </row>
    <row r="3527" spans="12:15" x14ac:dyDescent="0.25">
      <c r="L3527">
        <f t="shared" si="220"/>
        <v>0</v>
      </c>
      <c r="M3527">
        <f t="shared" si="221"/>
        <v>1</v>
      </c>
      <c r="N3527">
        <f t="shared" si="222"/>
        <v>0</v>
      </c>
      <c r="O3527" t="str">
        <f t="shared" si="223"/>
        <v>Proposta Ok</v>
      </c>
    </row>
    <row r="3528" spans="12:15" x14ac:dyDescent="0.25">
      <c r="L3528">
        <f t="shared" si="220"/>
        <v>0</v>
      </c>
      <c r="M3528">
        <f t="shared" si="221"/>
        <v>1</v>
      </c>
      <c r="N3528">
        <f t="shared" si="222"/>
        <v>0</v>
      </c>
      <c r="O3528" t="str">
        <f t="shared" si="223"/>
        <v>Proposta Ok</v>
      </c>
    </row>
    <row r="3529" spans="12:15" x14ac:dyDescent="0.25">
      <c r="L3529">
        <f t="shared" si="220"/>
        <v>0</v>
      </c>
      <c r="M3529">
        <f t="shared" si="221"/>
        <v>1</v>
      </c>
      <c r="N3529">
        <f t="shared" si="222"/>
        <v>0</v>
      </c>
      <c r="O3529" t="str">
        <f t="shared" si="223"/>
        <v>Proposta Ok</v>
      </c>
    </row>
    <row r="3530" spans="12:15" x14ac:dyDescent="0.25">
      <c r="L3530">
        <f t="shared" si="220"/>
        <v>0</v>
      </c>
      <c r="M3530">
        <f t="shared" si="221"/>
        <v>1</v>
      </c>
      <c r="N3530">
        <f t="shared" si="222"/>
        <v>0</v>
      </c>
      <c r="O3530" t="str">
        <f t="shared" si="223"/>
        <v>Proposta Ok</v>
      </c>
    </row>
    <row r="3531" spans="12:15" x14ac:dyDescent="0.25">
      <c r="L3531">
        <f t="shared" si="220"/>
        <v>0</v>
      </c>
      <c r="M3531">
        <f t="shared" si="221"/>
        <v>1</v>
      </c>
      <c r="N3531">
        <f t="shared" si="222"/>
        <v>0</v>
      </c>
      <c r="O3531" t="str">
        <f t="shared" si="223"/>
        <v>Proposta Ok</v>
      </c>
    </row>
    <row r="3532" spans="12:15" x14ac:dyDescent="0.25">
      <c r="L3532">
        <f t="shared" si="220"/>
        <v>0</v>
      </c>
      <c r="M3532">
        <f t="shared" si="221"/>
        <v>1</v>
      </c>
      <c r="N3532">
        <f t="shared" si="222"/>
        <v>0</v>
      </c>
      <c r="O3532" t="str">
        <f t="shared" si="223"/>
        <v>Proposta Ok</v>
      </c>
    </row>
    <row r="3533" spans="12:15" x14ac:dyDescent="0.25">
      <c r="L3533">
        <f t="shared" si="220"/>
        <v>0</v>
      </c>
      <c r="M3533">
        <f t="shared" si="221"/>
        <v>1</v>
      </c>
      <c r="N3533">
        <f t="shared" si="222"/>
        <v>0</v>
      </c>
      <c r="O3533" t="str">
        <f t="shared" si="223"/>
        <v>Proposta Ok</v>
      </c>
    </row>
    <row r="3534" spans="12:15" x14ac:dyDescent="0.25">
      <c r="L3534">
        <f t="shared" si="220"/>
        <v>0</v>
      </c>
      <c r="M3534">
        <f t="shared" si="221"/>
        <v>1</v>
      </c>
      <c r="N3534">
        <f t="shared" si="222"/>
        <v>0</v>
      </c>
      <c r="O3534" t="str">
        <f t="shared" si="223"/>
        <v>Proposta Ok</v>
      </c>
    </row>
    <row r="3535" spans="12:15" x14ac:dyDescent="0.25">
      <c r="L3535">
        <f t="shared" si="220"/>
        <v>0</v>
      </c>
      <c r="M3535">
        <f t="shared" si="221"/>
        <v>1</v>
      </c>
      <c r="N3535">
        <f t="shared" si="222"/>
        <v>0</v>
      </c>
      <c r="O3535" t="str">
        <f t="shared" si="223"/>
        <v>Proposta Ok</v>
      </c>
    </row>
    <row r="3536" spans="12:15" x14ac:dyDescent="0.25">
      <c r="L3536">
        <f t="shared" si="220"/>
        <v>0</v>
      </c>
      <c r="M3536">
        <f t="shared" si="221"/>
        <v>1</v>
      </c>
      <c r="N3536">
        <f t="shared" si="222"/>
        <v>0</v>
      </c>
      <c r="O3536" t="str">
        <f t="shared" si="223"/>
        <v>Proposta Ok</v>
      </c>
    </row>
    <row r="3537" spans="12:15" x14ac:dyDescent="0.25">
      <c r="L3537">
        <f t="shared" si="220"/>
        <v>0</v>
      </c>
      <c r="M3537">
        <f t="shared" si="221"/>
        <v>1</v>
      </c>
      <c r="N3537">
        <f t="shared" si="222"/>
        <v>0</v>
      </c>
      <c r="O3537" t="str">
        <f t="shared" si="223"/>
        <v>Proposta Ok</v>
      </c>
    </row>
    <row r="3538" spans="12:15" x14ac:dyDescent="0.25">
      <c r="L3538">
        <f t="shared" si="220"/>
        <v>0</v>
      </c>
      <c r="M3538">
        <f t="shared" si="221"/>
        <v>1</v>
      </c>
      <c r="N3538">
        <f t="shared" si="222"/>
        <v>0</v>
      </c>
      <c r="O3538" t="str">
        <f t="shared" si="223"/>
        <v>Proposta Ok</v>
      </c>
    </row>
    <row r="3539" spans="12:15" x14ac:dyDescent="0.25">
      <c r="L3539">
        <f t="shared" si="220"/>
        <v>0</v>
      </c>
      <c r="M3539">
        <f t="shared" si="221"/>
        <v>1</v>
      </c>
      <c r="N3539">
        <f t="shared" si="222"/>
        <v>0</v>
      </c>
      <c r="O3539" t="str">
        <f t="shared" si="223"/>
        <v>Proposta Ok</v>
      </c>
    </row>
    <row r="3540" spans="12:15" x14ac:dyDescent="0.25">
      <c r="L3540">
        <f t="shared" si="220"/>
        <v>0</v>
      </c>
      <c r="M3540">
        <f t="shared" si="221"/>
        <v>1</v>
      </c>
      <c r="N3540">
        <f t="shared" si="222"/>
        <v>0</v>
      </c>
      <c r="O3540" t="str">
        <f t="shared" si="223"/>
        <v>Proposta Ok</v>
      </c>
    </row>
    <row r="3541" spans="12:15" x14ac:dyDescent="0.25">
      <c r="L3541">
        <f t="shared" si="220"/>
        <v>0</v>
      </c>
      <c r="M3541">
        <f t="shared" si="221"/>
        <v>1</v>
      </c>
      <c r="N3541">
        <f t="shared" si="222"/>
        <v>0</v>
      </c>
      <c r="O3541" t="str">
        <f t="shared" si="223"/>
        <v>Proposta Ok</v>
      </c>
    </row>
    <row r="3542" spans="12:15" x14ac:dyDescent="0.25">
      <c r="L3542">
        <f t="shared" si="220"/>
        <v>0</v>
      </c>
      <c r="M3542">
        <f t="shared" si="221"/>
        <v>1</v>
      </c>
      <c r="N3542">
        <f t="shared" si="222"/>
        <v>0</v>
      </c>
      <c r="O3542" t="str">
        <f t="shared" si="223"/>
        <v>Proposta Ok</v>
      </c>
    </row>
    <row r="3543" spans="12:15" x14ac:dyDescent="0.25">
      <c r="L3543">
        <f t="shared" si="220"/>
        <v>0</v>
      </c>
      <c r="M3543">
        <f t="shared" si="221"/>
        <v>1</v>
      </c>
      <c r="N3543">
        <f t="shared" si="222"/>
        <v>0</v>
      </c>
      <c r="O3543" t="str">
        <f t="shared" si="223"/>
        <v>Proposta Ok</v>
      </c>
    </row>
    <row r="3544" spans="12:15" x14ac:dyDescent="0.25">
      <c r="L3544">
        <f t="shared" si="220"/>
        <v>0</v>
      </c>
      <c r="M3544">
        <f t="shared" si="221"/>
        <v>1</v>
      </c>
      <c r="N3544">
        <f t="shared" si="222"/>
        <v>0</v>
      </c>
      <c r="O3544" t="str">
        <f t="shared" si="223"/>
        <v>Proposta Ok</v>
      </c>
    </row>
    <row r="3545" spans="12:15" x14ac:dyDescent="0.25">
      <c r="L3545">
        <f t="shared" si="220"/>
        <v>0</v>
      </c>
      <c r="M3545">
        <f t="shared" si="221"/>
        <v>1</v>
      </c>
      <c r="N3545">
        <f t="shared" si="222"/>
        <v>0</v>
      </c>
      <c r="O3545" t="str">
        <f t="shared" si="223"/>
        <v>Proposta Ok</v>
      </c>
    </row>
    <row r="3546" spans="12:15" x14ac:dyDescent="0.25">
      <c r="L3546">
        <f t="shared" si="220"/>
        <v>0</v>
      </c>
      <c r="M3546">
        <f t="shared" si="221"/>
        <v>1</v>
      </c>
      <c r="N3546">
        <f t="shared" si="222"/>
        <v>0</v>
      </c>
      <c r="O3546" t="str">
        <f t="shared" si="223"/>
        <v>Proposta Ok</v>
      </c>
    </row>
    <row r="3547" spans="12:15" x14ac:dyDescent="0.25">
      <c r="L3547">
        <f t="shared" ref="L3547:L3610" si="224">IF(OR(I3547="Termo OK (Exceção)",I3547="Termo OK"),1,0)</f>
        <v>0</v>
      </c>
      <c r="M3547">
        <f t="shared" ref="M3547:M3610" si="225">IF(OR(I3547="Termo OK (Exceção)",I3547="Termo OK"),0,1)</f>
        <v>1</v>
      </c>
      <c r="N3547">
        <f t="shared" ref="N3547:N3610" si="226">IF(J3547="SIM",1,0)</f>
        <v>0</v>
      </c>
      <c r="O3547" t="str">
        <f t="shared" ref="O3547:O3610" si="227">IF(SUMIFS(M:M,A:A,A3547)&gt;0,"Proposta não Ok","Proposta Ok")</f>
        <v>Proposta Ok</v>
      </c>
    </row>
    <row r="3548" spans="12:15" x14ac:dyDescent="0.25">
      <c r="L3548">
        <f t="shared" si="224"/>
        <v>0</v>
      </c>
      <c r="M3548">
        <f t="shared" si="225"/>
        <v>1</v>
      </c>
      <c r="N3548">
        <f t="shared" si="226"/>
        <v>0</v>
      </c>
      <c r="O3548" t="str">
        <f t="shared" si="227"/>
        <v>Proposta Ok</v>
      </c>
    </row>
    <row r="3549" spans="12:15" x14ac:dyDescent="0.25">
      <c r="L3549">
        <f t="shared" si="224"/>
        <v>0</v>
      </c>
      <c r="M3549">
        <f t="shared" si="225"/>
        <v>1</v>
      </c>
      <c r="N3549">
        <f t="shared" si="226"/>
        <v>0</v>
      </c>
      <c r="O3549" t="str">
        <f t="shared" si="227"/>
        <v>Proposta Ok</v>
      </c>
    </row>
    <row r="3550" spans="12:15" x14ac:dyDescent="0.25">
      <c r="L3550">
        <f t="shared" si="224"/>
        <v>0</v>
      </c>
      <c r="M3550">
        <f t="shared" si="225"/>
        <v>1</v>
      </c>
      <c r="N3550">
        <f t="shared" si="226"/>
        <v>0</v>
      </c>
      <c r="O3550" t="str">
        <f t="shared" si="227"/>
        <v>Proposta Ok</v>
      </c>
    </row>
    <row r="3551" spans="12:15" x14ac:dyDescent="0.25">
      <c r="L3551">
        <f t="shared" si="224"/>
        <v>0</v>
      </c>
      <c r="M3551">
        <f t="shared" si="225"/>
        <v>1</v>
      </c>
      <c r="N3551">
        <f t="shared" si="226"/>
        <v>0</v>
      </c>
      <c r="O3551" t="str">
        <f t="shared" si="227"/>
        <v>Proposta Ok</v>
      </c>
    </row>
    <row r="3552" spans="12:15" x14ac:dyDescent="0.25">
      <c r="L3552">
        <f t="shared" si="224"/>
        <v>0</v>
      </c>
      <c r="M3552">
        <f t="shared" si="225"/>
        <v>1</v>
      </c>
      <c r="N3552">
        <f t="shared" si="226"/>
        <v>0</v>
      </c>
      <c r="O3552" t="str">
        <f t="shared" si="227"/>
        <v>Proposta Ok</v>
      </c>
    </row>
    <row r="3553" spans="12:15" x14ac:dyDescent="0.25">
      <c r="L3553">
        <f t="shared" si="224"/>
        <v>0</v>
      </c>
      <c r="M3553">
        <f t="shared" si="225"/>
        <v>1</v>
      </c>
      <c r="N3553">
        <f t="shared" si="226"/>
        <v>0</v>
      </c>
      <c r="O3553" t="str">
        <f t="shared" si="227"/>
        <v>Proposta Ok</v>
      </c>
    </row>
    <row r="3554" spans="12:15" x14ac:dyDescent="0.25">
      <c r="L3554">
        <f t="shared" si="224"/>
        <v>0</v>
      </c>
      <c r="M3554">
        <f t="shared" si="225"/>
        <v>1</v>
      </c>
      <c r="N3554">
        <f t="shared" si="226"/>
        <v>0</v>
      </c>
      <c r="O3554" t="str">
        <f t="shared" si="227"/>
        <v>Proposta Ok</v>
      </c>
    </row>
    <row r="3555" spans="12:15" x14ac:dyDescent="0.25">
      <c r="L3555">
        <f t="shared" si="224"/>
        <v>0</v>
      </c>
      <c r="M3555">
        <f t="shared" si="225"/>
        <v>1</v>
      </c>
      <c r="N3555">
        <f t="shared" si="226"/>
        <v>0</v>
      </c>
      <c r="O3555" t="str">
        <f t="shared" si="227"/>
        <v>Proposta Ok</v>
      </c>
    </row>
    <row r="3556" spans="12:15" x14ac:dyDescent="0.25">
      <c r="L3556">
        <f t="shared" si="224"/>
        <v>0</v>
      </c>
      <c r="M3556">
        <f t="shared" si="225"/>
        <v>1</v>
      </c>
      <c r="N3556">
        <f t="shared" si="226"/>
        <v>0</v>
      </c>
      <c r="O3556" t="str">
        <f t="shared" si="227"/>
        <v>Proposta Ok</v>
      </c>
    </row>
    <row r="3557" spans="12:15" x14ac:dyDescent="0.25">
      <c r="L3557">
        <f t="shared" si="224"/>
        <v>0</v>
      </c>
      <c r="M3557">
        <f t="shared" si="225"/>
        <v>1</v>
      </c>
      <c r="N3557">
        <f t="shared" si="226"/>
        <v>0</v>
      </c>
      <c r="O3557" t="str">
        <f t="shared" si="227"/>
        <v>Proposta Ok</v>
      </c>
    </row>
    <row r="3558" spans="12:15" x14ac:dyDescent="0.25">
      <c r="L3558">
        <f t="shared" si="224"/>
        <v>0</v>
      </c>
      <c r="M3558">
        <f t="shared" si="225"/>
        <v>1</v>
      </c>
      <c r="N3558">
        <f t="shared" si="226"/>
        <v>0</v>
      </c>
      <c r="O3558" t="str">
        <f t="shared" si="227"/>
        <v>Proposta Ok</v>
      </c>
    </row>
    <row r="3559" spans="12:15" x14ac:dyDescent="0.25">
      <c r="L3559">
        <f t="shared" si="224"/>
        <v>0</v>
      </c>
      <c r="M3559">
        <f t="shared" si="225"/>
        <v>1</v>
      </c>
      <c r="N3559">
        <f t="shared" si="226"/>
        <v>0</v>
      </c>
      <c r="O3559" t="str">
        <f t="shared" si="227"/>
        <v>Proposta Ok</v>
      </c>
    </row>
    <row r="3560" spans="12:15" x14ac:dyDescent="0.25">
      <c r="L3560">
        <f t="shared" si="224"/>
        <v>0</v>
      </c>
      <c r="M3560">
        <f t="shared" si="225"/>
        <v>1</v>
      </c>
      <c r="N3560">
        <f t="shared" si="226"/>
        <v>0</v>
      </c>
      <c r="O3560" t="str">
        <f t="shared" si="227"/>
        <v>Proposta Ok</v>
      </c>
    </row>
    <row r="3561" spans="12:15" x14ac:dyDescent="0.25">
      <c r="L3561">
        <f t="shared" si="224"/>
        <v>0</v>
      </c>
      <c r="M3561">
        <f t="shared" si="225"/>
        <v>1</v>
      </c>
      <c r="N3561">
        <f t="shared" si="226"/>
        <v>0</v>
      </c>
      <c r="O3561" t="str">
        <f t="shared" si="227"/>
        <v>Proposta Ok</v>
      </c>
    </row>
    <row r="3562" spans="12:15" x14ac:dyDescent="0.25">
      <c r="L3562">
        <f t="shared" si="224"/>
        <v>0</v>
      </c>
      <c r="M3562">
        <f t="shared" si="225"/>
        <v>1</v>
      </c>
      <c r="N3562">
        <f t="shared" si="226"/>
        <v>0</v>
      </c>
      <c r="O3562" t="str">
        <f t="shared" si="227"/>
        <v>Proposta Ok</v>
      </c>
    </row>
    <row r="3563" spans="12:15" x14ac:dyDescent="0.25">
      <c r="L3563">
        <f t="shared" si="224"/>
        <v>0</v>
      </c>
      <c r="M3563">
        <f t="shared" si="225"/>
        <v>1</v>
      </c>
      <c r="N3563">
        <f t="shared" si="226"/>
        <v>0</v>
      </c>
      <c r="O3563" t="str">
        <f t="shared" si="227"/>
        <v>Proposta Ok</v>
      </c>
    </row>
    <row r="3564" spans="12:15" x14ac:dyDescent="0.25">
      <c r="L3564">
        <f t="shared" si="224"/>
        <v>0</v>
      </c>
      <c r="M3564">
        <f t="shared" si="225"/>
        <v>1</v>
      </c>
      <c r="N3564">
        <f t="shared" si="226"/>
        <v>0</v>
      </c>
      <c r="O3564" t="str">
        <f t="shared" si="227"/>
        <v>Proposta Ok</v>
      </c>
    </row>
    <row r="3565" spans="12:15" x14ac:dyDescent="0.25">
      <c r="L3565">
        <f t="shared" si="224"/>
        <v>0</v>
      </c>
      <c r="M3565">
        <f t="shared" si="225"/>
        <v>1</v>
      </c>
      <c r="N3565">
        <f t="shared" si="226"/>
        <v>0</v>
      </c>
      <c r="O3565" t="str">
        <f t="shared" si="227"/>
        <v>Proposta Ok</v>
      </c>
    </row>
    <row r="3566" spans="12:15" x14ac:dyDescent="0.25">
      <c r="L3566">
        <f t="shared" si="224"/>
        <v>0</v>
      </c>
      <c r="M3566">
        <f t="shared" si="225"/>
        <v>1</v>
      </c>
      <c r="N3566">
        <f t="shared" si="226"/>
        <v>0</v>
      </c>
      <c r="O3566" t="str">
        <f t="shared" si="227"/>
        <v>Proposta Ok</v>
      </c>
    </row>
    <row r="3567" spans="12:15" x14ac:dyDescent="0.25">
      <c r="L3567">
        <f t="shared" si="224"/>
        <v>0</v>
      </c>
      <c r="M3567">
        <f t="shared" si="225"/>
        <v>1</v>
      </c>
      <c r="N3567">
        <f t="shared" si="226"/>
        <v>0</v>
      </c>
      <c r="O3567" t="str">
        <f t="shared" si="227"/>
        <v>Proposta Ok</v>
      </c>
    </row>
    <row r="3568" spans="12:15" x14ac:dyDescent="0.25">
      <c r="L3568">
        <f t="shared" si="224"/>
        <v>0</v>
      </c>
      <c r="M3568">
        <f t="shared" si="225"/>
        <v>1</v>
      </c>
      <c r="N3568">
        <f t="shared" si="226"/>
        <v>0</v>
      </c>
      <c r="O3568" t="str">
        <f t="shared" si="227"/>
        <v>Proposta Ok</v>
      </c>
    </row>
    <row r="3569" spans="12:15" x14ac:dyDescent="0.25">
      <c r="L3569">
        <f t="shared" si="224"/>
        <v>0</v>
      </c>
      <c r="M3569">
        <f t="shared" si="225"/>
        <v>1</v>
      </c>
      <c r="N3569">
        <f t="shared" si="226"/>
        <v>0</v>
      </c>
      <c r="O3569" t="str">
        <f t="shared" si="227"/>
        <v>Proposta Ok</v>
      </c>
    </row>
    <row r="3570" spans="12:15" x14ac:dyDescent="0.25">
      <c r="L3570">
        <f t="shared" si="224"/>
        <v>0</v>
      </c>
      <c r="M3570">
        <f t="shared" si="225"/>
        <v>1</v>
      </c>
      <c r="N3570">
        <f t="shared" si="226"/>
        <v>0</v>
      </c>
      <c r="O3570" t="str">
        <f t="shared" si="227"/>
        <v>Proposta Ok</v>
      </c>
    </row>
    <row r="3571" spans="12:15" x14ac:dyDescent="0.25">
      <c r="L3571">
        <f t="shared" si="224"/>
        <v>0</v>
      </c>
      <c r="M3571">
        <f t="shared" si="225"/>
        <v>1</v>
      </c>
      <c r="N3571">
        <f t="shared" si="226"/>
        <v>0</v>
      </c>
      <c r="O3571" t="str">
        <f t="shared" si="227"/>
        <v>Proposta Ok</v>
      </c>
    </row>
    <row r="3572" spans="12:15" x14ac:dyDescent="0.25">
      <c r="L3572">
        <f t="shared" si="224"/>
        <v>0</v>
      </c>
      <c r="M3572">
        <f t="shared" si="225"/>
        <v>1</v>
      </c>
      <c r="N3572">
        <f t="shared" si="226"/>
        <v>0</v>
      </c>
      <c r="O3572" t="str">
        <f t="shared" si="227"/>
        <v>Proposta Ok</v>
      </c>
    </row>
    <row r="3573" spans="12:15" x14ac:dyDescent="0.25">
      <c r="L3573">
        <f t="shared" si="224"/>
        <v>0</v>
      </c>
      <c r="M3573">
        <f t="shared" si="225"/>
        <v>1</v>
      </c>
      <c r="N3573">
        <f t="shared" si="226"/>
        <v>0</v>
      </c>
      <c r="O3573" t="str">
        <f t="shared" si="227"/>
        <v>Proposta Ok</v>
      </c>
    </row>
    <row r="3574" spans="12:15" x14ac:dyDescent="0.25">
      <c r="L3574">
        <f t="shared" si="224"/>
        <v>0</v>
      </c>
      <c r="M3574">
        <f t="shared" si="225"/>
        <v>1</v>
      </c>
      <c r="N3574">
        <f t="shared" si="226"/>
        <v>0</v>
      </c>
      <c r="O3574" t="str">
        <f t="shared" si="227"/>
        <v>Proposta Ok</v>
      </c>
    </row>
    <row r="3575" spans="12:15" x14ac:dyDescent="0.25">
      <c r="L3575">
        <f t="shared" si="224"/>
        <v>0</v>
      </c>
      <c r="M3575">
        <f t="shared" si="225"/>
        <v>1</v>
      </c>
      <c r="N3575">
        <f t="shared" si="226"/>
        <v>0</v>
      </c>
      <c r="O3575" t="str">
        <f t="shared" si="227"/>
        <v>Proposta Ok</v>
      </c>
    </row>
    <row r="3576" spans="12:15" x14ac:dyDescent="0.25">
      <c r="L3576">
        <f t="shared" si="224"/>
        <v>0</v>
      </c>
      <c r="M3576">
        <f t="shared" si="225"/>
        <v>1</v>
      </c>
      <c r="N3576">
        <f t="shared" si="226"/>
        <v>0</v>
      </c>
      <c r="O3576" t="str">
        <f t="shared" si="227"/>
        <v>Proposta Ok</v>
      </c>
    </row>
    <row r="3577" spans="12:15" x14ac:dyDescent="0.25">
      <c r="L3577">
        <f t="shared" si="224"/>
        <v>0</v>
      </c>
      <c r="M3577">
        <f t="shared" si="225"/>
        <v>1</v>
      </c>
      <c r="N3577">
        <f t="shared" si="226"/>
        <v>0</v>
      </c>
      <c r="O3577" t="str">
        <f t="shared" si="227"/>
        <v>Proposta Ok</v>
      </c>
    </row>
    <row r="3578" spans="12:15" x14ac:dyDescent="0.25">
      <c r="L3578">
        <f t="shared" si="224"/>
        <v>0</v>
      </c>
      <c r="M3578">
        <f t="shared" si="225"/>
        <v>1</v>
      </c>
      <c r="N3578">
        <f t="shared" si="226"/>
        <v>0</v>
      </c>
      <c r="O3578" t="str">
        <f t="shared" si="227"/>
        <v>Proposta Ok</v>
      </c>
    </row>
    <row r="3579" spans="12:15" x14ac:dyDescent="0.25">
      <c r="L3579">
        <f t="shared" si="224"/>
        <v>0</v>
      </c>
      <c r="M3579">
        <f t="shared" si="225"/>
        <v>1</v>
      </c>
      <c r="N3579">
        <f t="shared" si="226"/>
        <v>0</v>
      </c>
      <c r="O3579" t="str">
        <f t="shared" si="227"/>
        <v>Proposta Ok</v>
      </c>
    </row>
    <row r="3580" spans="12:15" x14ac:dyDescent="0.25">
      <c r="L3580">
        <f t="shared" si="224"/>
        <v>0</v>
      </c>
      <c r="M3580">
        <f t="shared" si="225"/>
        <v>1</v>
      </c>
      <c r="N3580">
        <f t="shared" si="226"/>
        <v>0</v>
      </c>
      <c r="O3580" t="str">
        <f t="shared" si="227"/>
        <v>Proposta Ok</v>
      </c>
    </row>
    <row r="3581" spans="12:15" x14ac:dyDescent="0.25">
      <c r="L3581">
        <f t="shared" si="224"/>
        <v>0</v>
      </c>
      <c r="M3581">
        <f t="shared" si="225"/>
        <v>1</v>
      </c>
      <c r="N3581">
        <f t="shared" si="226"/>
        <v>0</v>
      </c>
      <c r="O3581" t="str">
        <f t="shared" si="227"/>
        <v>Proposta Ok</v>
      </c>
    </row>
    <row r="3582" spans="12:15" x14ac:dyDescent="0.25">
      <c r="L3582">
        <f t="shared" si="224"/>
        <v>0</v>
      </c>
      <c r="M3582">
        <f t="shared" si="225"/>
        <v>1</v>
      </c>
      <c r="N3582">
        <f t="shared" si="226"/>
        <v>0</v>
      </c>
      <c r="O3582" t="str">
        <f t="shared" si="227"/>
        <v>Proposta Ok</v>
      </c>
    </row>
    <row r="3583" spans="12:15" x14ac:dyDescent="0.25">
      <c r="L3583">
        <f t="shared" si="224"/>
        <v>0</v>
      </c>
      <c r="M3583">
        <f t="shared" si="225"/>
        <v>1</v>
      </c>
      <c r="N3583">
        <f t="shared" si="226"/>
        <v>0</v>
      </c>
      <c r="O3583" t="str">
        <f t="shared" si="227"/>
        <v>Proposta Ok</v>
      </c>
    </row>
    <row r="3584" spans="12:15" x14ac:dyDescent="0.25">
      <c r="L3584">
        <f t="shared" si="224"/>
        <v>0</v>
      </c>
      <c r="M3584">
        <f t="shared" si="225"/>
        <v>1</v>
      </c>
      <c r="N3584">
        <f t="shared" si="226"/>
        <v>0</v>
      </c>
      <c r="O3584" t="str">
        <f t="shared" si="227"/>
        <v>Proposta Ok</v>
      </c>
    </row>
    <row r="3585" spans="12:15" x14ac:dyDescent="0.25">
      <c r="L3585">
        <f t="shared" si="224"/>
        <v>0</v>
      </c>
      <c r="M3585">
        <f t="shared" si="225"/>
        <v>1</v>
      </c>
      <c r="N3585">
        <f t="shared" si="226"/>
        <v>0</v>
      </c>
      <c r="O3585" t="str">
        <f t="shared" si="227"/>
        <v>Proposta Ok</v>
      </c>
    </row>
    <row r="3586" spans="12:15" x14ac:dyDescent="0.25">
      <c r="L3586">
        <f t="shared" si="224"/>
        <v>0</v>
      </c>
      <c r="M3586">
        <f t="shared" si="225"/>
        <v>1</v>
      </c>
      <c r="N3586">
        <f t="shared" si="226"/>
        <v>0</v>
      </c>
      <c r="O3586" t="str">
        <f t="shared" si="227"/>
        <v>Proposta Ok</v>
      </c>
    </row>
    <row r="3587" spans="12:15" x14ac:dyDescent="0.25">
      <c r="L3587">
        <f t="shared" si="224"/>
        <v>0</v>
      </c>
      <c r="M3587">
        <f t="shared" si="225"/>
        <v>1</v>
      </c>
      <c r="N3587">
        <f t="shared" si="226"/>
        <v>0</v>
      </c>
      <c r="O3587" t="str">
        <f t="shared" si="227"/>
        <v>Proposta Ok</v>
      </c>
    </row>
    <row r="3588" spans="12:15" x14ac:dyDescent="0.25">
      <c r="L3588">
        <f t="shared" si="224"/>
        <v>0</v>
      </c>
      <c r="M3588">
        <f t="shared" si="225"/>
        <v>1</v>
      </c>
      <c r="N3588">
        <f t="shared" si="226"/>
        <v>0</v>
      </c>
      <c r="O3588" t="str">
        <f t="shared" si="227"/>
        <v>Proposta Ok</v>
      </c>
    </row>
    <row r="3589" spans="12:15" x14ac:dyDescent="0.25">
      <c r="L3589">
        <f t="shared" si="224"/>
        <v>0</v>
      </c>
      <c r="M3589">
        <f t="shared" si="225"/>
        <v>1</v>
      </c>
      <c r="N3589">
        <f t="shared" si="226"/>
        <v>0</v>
      </c>
      <c r="O3589" t="str">
        <f t="shared" si="227"/>
        <v>Proposta Ok</v>
      </c>
    </row>
    <row r="3590" spans="12:15" x14ac:dyDescent="0.25">
      <c r="L3590">
        <f t="shared" si="224"/>
        <v>0</v>
      </c>
      <c r="M3590">
        <f t="shared" si="225"/>
        <v>1</v>
      </c>
      <c r="N3590">
        <f t="shared" si="226"/>
        <v>0</v>
      </c>
      <c r="O3590" t="str">
        <f t="shared" si="227"/>
        <v>Proposta Ok</v>
      </c>
    </row>
    <row r="3591" spans="12:15" x14ac:dyDescent="0.25">
      <c r="L3591">
        <f t="shared" si="224"/>
        <v>0</v>
      </c>
      <c r="M3591">
        <f t="shared" si="225"/>
        <v>1</v>
      </c>
      <c r="N3591">
        <f t="shared" si="226"/>
        <v>0</v>
      </c>
      <c r="O3591" t="str">
        <f t="shared" si="227"/>
        <v>Proposta Ok</v>
      </c>
    </row>
    <row r="3592" spans="12:15" x14ac:dyDescent="0.25">
      <c r="L3592">
        <f t="shared" si="224"/>
        <v>0</v>
      </c>
      <c r="M3592">
        <f t="shared" si="225"/>
        <v>1</v>
      </c>
      <c r="N3592">
        <f t="shared" si="226"/>
        <v>0</v>
      </c>
      <c r="O3592" t="str">
        <f t="shared" si="227"/>
        <v>Proposta Ok</v>
      </c>
    </row>
    <row r="3593" spans="12:15" x14ac:dyDescent="0.25">
      <c r="L3593">
        <f t="shared" si="224"/>
        <v>0</v>
      </c>
      <c r="M3593">
        <f t="shared" si="225"/>
        <v>1</v>
      </c>
      <c r="N3593">
        <f t="shared" si="226"/>
        <v>0</v>
      </c>
      <c r="O3593" t="str">
        <f t="shared" si="227"/>
        <v>Proposta Ok</v>
      </c>
    </row>
    <row r="3594" spans="12:15" x14ac:dyDescent="0.25">
      <c r="L3594">
        <f t="shared" si="224"/>
        <v>0</v>
      </c>
      <c r="M3594">
        <f t="shared" si="225"/>
        <v>1</v>
      </c>
      <c r="N3594">
        <f t="shared" si="226"/>
        <v>0</v>
      </c>
      <c r="O3594" t="str">
        <f t="shared" si="227"/>
        <v>Proposta Ok</v>
      </c>
    </row>
    <row r="3595" spans="12:15" x14ac:dyDescent="0.25">
      <c r="L3595">
        <f t="shared" si="224"/>
        <v>0</v>
      </c>
      <c r="M3595">
        <f t="shared" si="225"/>
        <v>1</v>
      </c>
      <c r="N3595">
        <f t="shared" si="226"/>
        <v>0</v>
      </c>
      <c r="O3595" t="str">
        <f t="shared" si="227"/>
        <v>Proposta Ok</v>
      </c>
    </row>
    <row r="3596" spans="12:15" x14ac:dyDescent="0.25">
      <c r="L3596">
        <f t="shared" si="224"/>
        <v>0</v>
      </c>
      <c r="M3596">
        <f t="shared" si="225"/>
        <v>1</v>
      </c>
      <c r="N3596">
        <f t="shared" si="226"/>
        <v>0</v>
      </c>
      <c r="O3596" t="str">
        <f t="shared" si="227"/>
        <v>Proposta Ok</v>
      </c>
    </row>
    <row r="3597" spans="12:15" x14ac:dyDescent="0.25">
      <c r="L3597">
        <f t="shared" si="224"/>
        <v>0</v>
      </c>
      <c r="M3597">
        <f t="shared" si="225"/>
        <v>1</v>
      </c>
      <c r="N3597">
        <f t="shared" si="226"/>
        <v>0</v>
      </c>
      <c r="O3597" t="str">
        <f t="shared" si="227"/>
        <v>Proposta Ok</v>
      </c>
    </row>
    <row r="3598" spans="12:15" x14ac:dyDescent="0.25">
      <c r="L3598">
        <f t="shared" si="224"/>
        <v>0</v>
      </c>
      <c r="M3598">
        <f t="shared" si="225"/>
        <v>1</v>
      </c>
      <c r="N3598">
        <f t="shared" si="226"/>
        <v>0</v>
      </c>
      <c r="O3598" t="str">
        <f t="shared" si="227"/>
        <v>Proposta Ok</v>
      </c>
    </row>
    <row r="3599" spans="12:15" x14ac:dyDescent="0.25">
      <c r="L3599">
        <f t="shared" si="224"/>
        <v>0</v>
      </c>
      <c r="M3599">
        <f t="shared" si="225"/>
        <v>1</v>
      </c>
      <c r="N3599">
        <f t="shared" si="226"/>
        <v>0</v>
      </c>
      <c r="O3599" t="str">
        <f t="shared" si="227"/>
        <v>Proposta Ok</v>
      </c>
    </row>
    <row r="3600" spans="12:15" x14ac:dyDescent="0.25">
      <c r="L3600">
        <f t="shared" si="224"/>
        <v>0</v>
      </c>
      <c r="M3600">
        <f t="shared" si="225"/>
        <v>1</v>
      </c>
      <c r="N3600">
        <f t="shared" si="226"/>
        <v>0</v>
      </c>
      <c r="O3600" t="str">
        <f t="shared" si="227"/>
        <v>Proposta Ok</v>
      </c>
    </row>
    <row r="3601" spans="12:15" x14ac:dyDescent="0.25">
      <c r="L3601">
        <f t="shared" si="224"/>
        <v>0</v>
      </c>
      <c r="M3601">
        <f t="shared" si="225"/>
        <v>1</v>
      </c>
      <c r="N3601">
        <f t="shared" si="226"/>
        <v>0</v>
      </c>
      <c r="O3601" t="str">
        <f t="shared" si="227"/>
        <v>Proposta Ok</v>
      </c>
    </row>
    <row r="3602" spans="12:15" x14ac:dyDescent="0.25">
      <c r="L3602">
        <f t="shared" si="224"/>
        <v>0</v>
      </c>
      <c r="M3602">
        <f t="shared" si="225"/>
        <v>1</v>
      </c>
      <c r="N3602">
        <f t="shared" si="226"/>
        <v>0</v>
      </c>
      <c r="O3602" t="str">
        <f t="shared" si="227"/>
        <v>Proposta Ok</v>
      </c>
    </row>
    <row r="3603" spans="12:15" x14ac:dyDescent="0.25">
      <c r="L3603">
        <f t="shared" si="224"/>
        <v>0</v>
      </c>
      <c r="M3603">
        <f t="shared" si="225"/>
        <v>1</v>
      </c>
      <c r="N3603">
        <f t="shared" si="226"/>
        <v>0</v>
      </c>
      <c r="O3603" t="str">
        <f t="shared" si="227"/>
        <v>Proposta Ok</v>
      </c>
    </row>
    <row r="3604" spans="12:15" x14ac:dyDescent="0.25">
      <c r="L3604">
        <f t="shared" si="224"/>
        <v>0</v>
      </c>
      <c r="M3604">
        <f t="shared" si="225"/>
        <v>1</v>
      </c>
      <c r="N3604">
        <f t="shared" si="226"/>
        <v>0</v>
      </c>
      <c r="O3604" t="str">
        <f t="shared" si="227"/>
        <v>Proposta Ok</v>
      </c>
    </row>
    <row r="3605" spans="12:15" x14ac:dyDescent="0.25">
      <c r="L3605">
        <f t="shared" si="224"/>
        <v>0</v>
      </c>
      <c r="M3605">
        <f t="shared" si="225"/>
        <v>1</v>
      </c>
      <c r="N3605">
        <f t="shared" si="226"/>
        <v>0</v>
      </c>
      <c r="O3605" t="str">
        <f t="shared" si="227"/>
        <v>Proposta Ok</v>
      </c>
    </row>
    <row r="3606" spans="12:15" x14ac:dyDescent="0.25">
      <c r="L3606">
        <f t="shared" si="224"/>
        <v>0</v>
      </c>
      <c r="M3606">
        <f t="shared" si="225"/>
        <v>1</v>
      </c>
      <c r="N3606">
        <f t="shared" si="226"/>
        <v>0</v>
      </c>
      <c r="O3606" t="str">
        <f t="shared" si="227"/>
        <v>Proposta Ok</v>
      </c>
    </row>
    <row r="3607" spans="12:15" x14ac:dyDescent="0.25">
      <c r="L3607">
        <f t="shared" si="224"/>
        <v>0</v>
      </c>
      <c r="M3607">
        <f t="shared" si="225"/>
        <v>1</v>
      </c>
      <c r="N3607">
        <f t="shared" si="226"/>
        <v>0</v>
      </c>
      <c r="O3607" t="str">
        <f t="shared" si="227"/>
        <v>Proposta Ok</v>
      </c>
    </row>
    <row r="3608" spans="12:15" x14ac:dyDescent="0.25">
      <c r="L3608">
        <f t="shared" si="224"/>
        <v>0</v>
      </c>
      <c r="M3608">
        <f t="shared" si="225"/>
        <v>1</v>
      </c>
      <c r="N3608">
        <f t="shared" si="226"/>
        <v>0</v>
      </c>
      <c r="O3608" t="str">
        <f t="shared" si="227"/>
        <v>Proposta Ok</v>
      </c>
    </row>
    <row r="3609" spans="12:15" x14ac:dyDescent="0.25">
      <c r="L3609">
        <f t="shared" si="224"/>
        <v>0</v>
      </c>
      <c r="M3609">
        <f t="shared" si="225"/>
        <v>1</v>
      </c>
      <c r="N3609">
        <f t="shared" si="226"/>
        <v>0</v>
      </c>
      <c r="O3609" t="str">
        <f t="shared" si="227"/>
        <v>Proposta Ok</v>
      </c>
    </row>
    <row r="3610" spans="12:15" x14ac:dyDescent="0.25">
      <c r="L3610">
        <f t="shared" si="224"/>
        <v>0</v>
      </c>
      <c r="M3610">
        <f t="shared" si="225"/>
        <v>1</v>
      </c>
      <c r="N3610">
        <f t="shared" si="226"/>
        <v>0</v>
      </c>
      <c r="O3610" t="str">
        <f t="shared" si="227"/>
        <v>Proposta Ok</v>
      </c>
    </row>
    <row r="3611" spans="12:15" x14ac:dyDescent="0.25">
      <c r="L3611">
        <f t="shared" ref="L3611:L3674" si="228">IF(OR(I3611="Termo OK (Exceção)",I3611="Termo OK"),1,0)</f>
        <v>0</v>
      </c>
      <c r="M3611">
        <f t="shared" ref="M3611:M3674" si="229">IF(OR(I3611="Termo OK (Exceção)",I3611="Termo OK"),0,1)</f>
        <v>1</v>
      </c>
      <c r="N3611">
        <f t="shared" ref="N3611:N3674" si="230">IF(J3611="SIM",1,0)</f>
        <v>0</v>
      </c>
      <c r="O3611" t="str">
        <f t="shared" ref="O3611:O3674" si="231">IF(SUMIFS(M:M,A:A,A3611)&gt;0,"Proposta não Ok","Proposta Ok")</f>
        <v>Proposta Ok</v>
      </c>
    </row>
    <row r="3612" spans="12:15" x14ac:dyDescent="0.25">
      <c r="L3612">
        <f t="shared" si="228"/>
        <v>0</v>
      </c>
      <c r="M3612">
        <f t="shared" si="229"/>
        <v>1</v>
      </c>
      <c r="N3612">
        <f t="shared" si="230"/>
        <v>0</v>
      </c>
      <c r="O3612" t="str">
        <f t="shared" si="231"/>
        <v>Proposta Ok</v>
      </c>
    </row>
    <row r="3613" spans="12:15" x14ac:dyDescent="0.25">
      <c r="L3613">
        <f t="shared" si="228"/>
        <v>0</v>
      </c>
      <c r="M3613">
        <f t="shared" si="229"/>
        <v>1</v>
      </c>
      <c r="N3613">
        <f t="shared" si="230"/>
        <v>0</v>
      </c>
      <c r="O3613" t="str">
        <f t="shared" si="231"/>
        <v>Proposta Ok</v>
      </c>
    </row>
    <row r="3614" spans="12:15" x14ac:dyDescent="0.25">
      <c r="L3614">
        <f t="shared" si="228"/>
        <v>0</v>
      </c>
      <c r="M3614">
        <f t="shared" si="229"/>
        <v>1</v>
      </c>
      <c r="N3614">
        <f t="shared" si="230"/>
        <v>0</v>
      </c>
      <c r="O3614" t="str">
        <f t="shared" si="231"/>
        <v>Proposta Ok</v>
      </c>
    </row>
    <row r="3615" spans="12:15" x14ac:dyDescent="0.25">
      <c r="L3615">
        <f t="shared" si="228"/>
        <v>0</v>
      </c>
      <c r="M3615">
        <f t="shared" si="229"/>
        <v>1</v>
      </c>
      <c r="N3615">
        <f t="shared" si="230"/>
        <v>0</v>
      </c>
      <c r="O3615" t="str">
        <f t="shared" si="231"/>
        <v>Proposta Ok</v>
      </c>
    </row>
    <row r="3616" spans="12:15" x14ac:dyDescent="0.25">
      <c r="L3616">
        <f t="shared" si="228"/>
        <v>0</v>
      </c>
      <c r="M3616">
        <f t="shared" si="229"/>
        <v>1</v>
      </c>
      <c r="N3616">
        <f t="shared" si="230"/>
        <v>0</v>
      </c>
      <c r="O3616" t="str">
        <f t="shared" si="231"/>
        <v>Proposta Ok</v>
      </c>
    </row>
    <row r="3617" spans="12:15" x14ac:dyDescent="0.25">
      <c r="L3617">
        <f t="shared" si="228"/>
        <v>0</v>
      </c>
      <c r="M3617">
        <f t="shared" si="229"/>
        <v>1</v>
      </c>
      <c r="N3617">
        <f t="shared" si="230"/>
        <v>0</v>
      </c>
      <c r="O3617" t="str">
        <f t="shared" si="231"/>
        <v>Proposta Ok</v>
      </c>
    </row>
    <row r="3618" spans="12:15" x14ac:dyDescent="0.25">
      <c r="L3618">
        <f t="shared" si="228"/>
        <v>0</v>
      </c>
      <c r="M3618">
        <f t="shared" si="229"/>
        <v>1</v>
      </c>
      <c r="N3618">
        <f t="shared" si="230"/>
        <v>0</v>
      </c>
      <c r="O3618" t="str">
        <f t="shared" si="231"/>
        <v>Proposta Ok</v>
      </c>
    </row>
    <row r="3619" spans="12:15" x14ac:dyDescent="0.25">
      <c r="L3619">
        <f t="shared" si="228"/>
        <v>0</v>
      </c>
      <c r="M3619">
        <f t="shared" si="229"/>
        <v>1</v>
      </c>
      <c r="N3619">
        <f t="shared" si="230"/>
        <v>0</v>
      </c>
      <c r="O3619" t="str">
        <f t="shared" si="231"/>
        <v>Proposta Ok</v>
      </c>
    </row>
    <row r="3620" spans="12:15" x14ac:dyDescent="0.25">
      <c r="L3620">
        <f t="shared" si="228"/>
        <v>0</v>
      </c>
      <c r="M3620">
        <f t="shared" si="229"/>
        <v>1</v>
      </c>
      <c r="N3620">
        <f t="shared" si="230"/>
        <v>0</v>
      </c>
      <c r="O3620" t="str">
        <f t="shared" si="231"/>
        <v>Proposta Ok</v>
      </c>
    </row>
    <row r="3621" spans="12:15" x14ac:dyDescent="0.25">
      <c r="L3621">
        <f t="shared" si="228"/>
        <v>0</v>
      </c>
      <c r="M3621">
        <f t="shared" si="229"/>
        <v>1</v>
      </c>
      <c r="N3621">
        <f t="shared" si="230"/>
        <v>0</v>
      </c>
      <c r="O3621" t="str">
        <f t="shared" si="231"/>
        <v>Proposta Ok</v>
      </c>
    </row>
    <row r="3622" spans="12:15" x14ac:dyDescent="0.25">
      <c r="L3622">
        <f t="shared" si="228"/>
        <v>0</v>
      </c>
      <c r="M3622">
        <f t="shared" si="229"/>
        <v>1</v>
      </c>
      <c r="N3622">
        <f t="shared" si="230"/>
        <v>0</v>
      </c>
      <c r="O3622" t="str">
        <f t="shared" si="231"/>
        <v>Proposta Ok</v>
      </c>
    </row>
    <row r="3623" spans="12:15" x14ac:dyDescent="0.25">
      <c r="L3623">
        <f t="shared" si="228"/>
        <v>0</v>
      </c>
      <c r="M3623">
        <f t="shared" si="229"/>
        <v>1</v>
      </c>
      <c r="N3623">
        <f t="shared" si="230"/>
        <v>0</v>
      </c>
      <c r="O3623" t="str">
        <f t="shared" si="231"/>
        <v>Proposta Ok</v>
      </c>
    </row>
    <row r="3624" spans="12:15" x14ac:dyDescent="0.25">
      <c r="L3624">
        <f t="shared" si="228"/>
        <v>0</v>
      </c>
      <c r="M3624">
        <f t="shared" si="229"/>
        <v>1</v>
      </c>
      <c r="N3624">
        <f t="shared" si="230"/>
        <v>0</v>
      </c>
      <c r="O3624" t="str">
        <f t="shared" si="231"/>
        <v>Proposta Ok</v>
      </c>
    </row>
    <row r="3625" spans="12:15" x14ac:dyDescent="0.25">
      <c r="L3625">
        <f t="shared" si="228"/>
        <v>0</v>
      </c>
      <c r="M3625">
        <f t="shared" si="229"/>
        <v>1</v>
      </c>
      <c r="N3625">
        <f t="shared" si="230"/>
        <v>0</v>
      </c>
      <c r="O3625" t="str">
        <f t="shared" si="231"/>
        <v>Proposta Ok</v>
      </c>
    </row>
    <row r="3626" spans="12:15" x14ac:dyDescent="0.25">
      <c r="L3626">
        <f t="shared" si="228"/>
        <v>0</v>
      </c>
      <c r="M3626">
        <f t="shared" si="229"/>
        <v>1</v>
      </c>
      <c r="N3626">
        <f t="shared" si="230"/>
        <v>0</v>
      </c>
      <c r="O3626" t="str">
        <f t="shared" si="231"/>
        <v>Proposta Ok</v>
      </c>
    </row>
    <row r="3627" spans="12:15" x14ac:dyDescent="0.25">
      <c r="L3627">
        <f t="shared" si="228"/>
        <v>0</v>
      </c>
      <c r="M3627">
        <f t="shared" si="229"/>
        <v>1</v>
      </c>
      <c r="N3627">
        <f t="shared" si="230"/>
        <v>0</v>
      </c>
      <c r="O3627" t="str">
        <f t="shared" si="231"/>
        <v>Proposta Ok</v>
      </c>
    </row>
    <row r="3628" spans="12:15" x14ac:dyDescent="0.25">
      <c r="L3628">
        <f t="shared" si="228"/>
        <v>0</v>
      </c>
      <c r="M3628">
        <f t="shared" si="229"/>
        <v>1</v>
      </c>
      <c r="N3628">
        <f t="shared" si="230"/>
        <v>0</v>
      </c>
      <c r="O3628" t="str">
        <f t="shared" si="231"/>
        <v>Proposta Ok</v>
      </c>
    </row>
    <row r="3629" spans="12:15" x14ac:dyDescent="0.25">
      <c r="L3629">
        <f t="shared" si="228"/>
        <v>0</v>
      </c>
      <c r="M3629">
        <f t="shared" si="229"/>
        <v>1</v>
      </c>
      <c r="N3629">
        <f t="shared" si="230"/>
        <v>0</v>
      </c>
      <c r="O3629" t="str">
        <f t="shared" si="231"/>
        <v>Proposta Ok</v>
      </c>
    </row>
    <row r="3630" spans="12:15" x14ac:dyDescent="0.25">
      <c r="L3630">
        <f t="shared" si="228"/>
        <v>0</v>
      </c>
      <c r="M3630">
        <f t="shared" si="229"/>
        <v>1</v>
      </c>
      <c r="N3630">
        <f t="shared" si="230"/>
        <v>0</v>
      </c>
      <c r="O3630" t="str">
        <f t="shared" si="231"/>
        <v>Proposta Ok</v>
      </c>
    </row>
    <row r="3631" spans="12:15" x14ac:dyDescent="0.25">
      <c r="L3631">
        <f t="shared" si="228"/>
        <v>0</v>
      </c>
      <c r="M3631">
        <f t="shared" si="229"/>
        <v>1</v>
      </c>
      <c r="N3631">
        <f t="shared" si="230"/>
        <v>0</v>
      </c>
      <c r="O3631" t="str">
        <f t="shared" si="231"/>
        <v>Proposta Ok</v>
      </c>
    </row>
    <row r="3632" spans="12:15" x14ac:dyDescent="0.25">
      <c r="L3632">
        <f t="shared" si="228"/>
        <v>0</v>
      </c>
      <c r="M3632">
        <f t="shared" si="229"/>
        <v>1</v>
      </c>
      <c r="N3632">
        <f t="shared" si="230"/>
        <v>0</v>
      </c>
      <c r="O3632" t="str">
        <f t="shared" si="231"/>
        <v>Proposta Ok</v>
      </c>
    </row>
    <row r="3633" spans="12:15" x14ac:dyDescent="0.25">
      <c r="L3633">
        <f t="shared" si="228"/>
        <v>0</v>
      </c>
      <c r="M3633">
        <f t="shared" si="229"/>
        <v>1</v>
      </c>
      <c r="N3633">
        <f t="shared" si="230"/>
        <v>0</v>
      </c>
      <c r="O3633" t="str">
        <f t="shared" si="231"/>
        <v>Proposta Ok</v>
      </c>
    </row>
    <row r="3634" spans="12:15" x14ac:dyDescent="0.25">
      <c r="L3634">
        <f t="shared" si="228"/>
        <v>0</v>
      </c>
      <c r="M3634">
        <f t="shared" si="229"/>
        <v>1</v>
      </c>
      <c r="N3634">
        <f t="shared" si="230"/>
        <v>0</v>
      </c>
      <c r="O3634" t="str">
        <f t="shared" si="231"/>
        <v>Proposta Ok</v>
      </c>
    </row>
    <row r="3635" spans="12:15" x14ac:dyDescent="0.25">
      <c r="L3635">
        <f t="shared" si="228"/>
        <v>0</v>
      </c>
      <c r="M3635">
        <f t="shared" si="229"/>
        <v>1</v>
      </c>
      <c r="N3635">
        <f t="shared" si="230"/>
        <v>0</v>
      </c>
      <c r="O3635" t="str">
        <f t="shared" si="231"/>
        <v>Proposta Ok</v>
      </c>
    </row>
    <row r="3636" spans="12:15" x14ac:dyDescent="0.25">
      <c r="L3636">
        <f t="shared" si="228"/>
        <v>0</v>
      </c>
      <c r="M3636">
        <f t="shared" si="229"/>
        <v>1</v>
      </c>
      <c r="N3636">
        <f t="shared" si="230"/>
        <v>0</v>
      </c>
      <c r="O3636" t="str">
        <f t="shared" si="231"/>
        <v>Proposta Ok</v>
      </c>
    </row>
    <row r="3637" spans="12:15" x14ac:dyDescent="0.25">
      <c r="L3637">
        <f t="shared" si="228"/>
        <v>0</v>
      </c>
      <c r="M3637">
        <f t="shared" si="229"/>
        <v>1</v>
      </c>
      <c r="N3637">
        <f t="shared" si="230"/>
        <v>0</v>
      </c>
      <c r="O3637" t="str">
        <f t="shared" si="231"/>
        <v>Proposta Ok</v>
      </c>
    </row>
    <row r="3638" spans="12:15" x14ac:dyDescent="0.25">
      <c r="L3638">
        <f t="shared" si="228"/>
        <v>0</v>
      </c>
      <c r="M3638">
        <f t="shared" si="229"/>
        <v>1</v>
      </c>
      <c r="N3638">
        <f t="shared" si="230"/>
        <v>0</v>
      </c>
      <c r="O3638" t="str">
        <f t="shared" si="231"/>
        <v>Proposta Ok</v>
      </c>
    </row>
    <row r="3639" spans="12:15" x14ac:dyDescent="0.25">
      <c r="L3639">
        <f t="shared" si="228"/>
        <v>0</v>
      </c>
      <c r="M3639">
        <f t="shared" si="229"/>
        <v>1</v>
      </c>
      <c r="N3639">
        <f t="shared" si="230"/>
        <v>0</v>
      </c>
      <c r="O3639" t="str">
        <f t="shared" si="231"/>
        <v>Proposta Ok</v>
      </c>
    </row>
    <row r="3640" spans="12:15" x14ac:dyDescent="0.25">
      <c r="L3640">
        <f t="shared" si="228"/>
        <v>0</v>
      </c>
      <c r="M3640">
        <f t="shared" si="229"/>
        <v>1</v>
      </c>
      <c r="N3640">
        <f t="shared" si="230"/>
        <v>0</v>
      </c>
      <c r="O3640" t="str">
        <f t="shared" si="231"/>
        <v>Proposta Ok</v>
      </c>
    </row>
    <row r="3641" spans="12:15" x14ac:dyDescent="0.25">
      <c r="L3641">
        <f t="shared" si="228"/>
        <v>0</v>
      </c>
      <c r="M3641">
        <f t="shared" si="229"/>
        <v>1</v>
      </c>
      <c r="N3641">
        <f t="shared" si="230"/>
        <v>0</v>
      </c>
      <c r="O3641" t="str">
        <f t="shared" si="231"/>
        <v>Proposta Ok</v>
      </c>
    </row>
    <row r="3642" spans="12:15" x14ac:dyDescent="0.25">
      <c r="L3642">
        <f t="shared" si="228"/>
        <v>0</v>
      </c>
      <c r="M3642">
        <f t="shared" si="229"/>
        <v>1</v>
      </c>
      <c r="N3642">
        <f t="shared" si="230"/>
        <v>0</v>
      </c>
      <c r="O3642" t="str">
        <f t="shared" si="231"/>
        <v>Proposta Ok</v>
      </c>
    </row>
    <row r="3643" spans="12:15" x14ac:dyDescent="0.25">
      <c r="L3643">
        <f t="shared" si="228"/>
        <v>0</v>
      </c>
      <c r="M3643">
        <f t="shared" si="229"/>
        <v>1</v>
      </c>
      <c r="N3643">
        <f t="shared" si="230"/>
        <v>0</v>
      </c>
      <c r="O3643" t="str">
        <f t="shared" si="231"/>
        <v>Proposta Ok</v>
      </c>
    </row>
    <row r="3644" spans="12:15" x14ac:dyDescent="0.25">
      <c r="L3644">
        <f t="shared" si="228"/>
        <v>0</v>
      </c>
      <c r="M3644">
        <f t="shared" si="229"/>
        <v>1</v>
      </c>
      <c r="N3644">
        <f t="shared" si="230"/>
        <v>0</v>
      </c>
      <c r="O3644" t="str">
        <f t="shared" si="231"/>
        <v>Proposta Ok</v>
      </c>
    </row>
    <row r="3645" spans="12:15" x14ac:dyDescent="0.25">
      <c r="L3645">
        <f t="shared" si="228"/>
        <v>0</v>
      </c>
      <c r="M3645">
        <f t="shared" si="229"/>
        <v>1</v>
      </c>
      <c r="N3645">
        <f t="shared" si="230"/>
        <v>0</v>
      </c>
      <c r="O3645" t="str">
        <f t="shared" si="231"/>
        <v>Proposta Ok</v>
      </c>
    </row>
    <row r="3646" spans="12:15" x14ac:dyDescent="0.25">
      <c r="L3646">
        <f t="shared" si="228"/>
        <v>0</v>
      </c>
      <c r="M3646">
        <f t="shared" si="229"/>
        <v>1</v>
      </c>
      <c r="N3646">
        <f t="shared" si="230"/>
        <v>0</v>
      </c>
      <c r="O3646" t="str">
        <f t="shared" si="231"/>
        <v>Proposta Ok</v>
      </c>
    </row>
    <row r="3647" spans="12:15" x14ac:dyDescent="0.25">
      <c r="L3647">
        <f t="shared" si="228"/>
        <v>0</v>
      </c>
      <c r="M3647">
        <f t="shared" si="229"/>
        <v>1</v>
      </c>
      <c r="N3647">
        <f t="shared" si="230"/>
        <v>0</v>
      </c>
      <c r="O3647" t="str">
        <f t="shared" si="231"/>
        <v>Proposta Ok</v>
      </c>
    </row>
    <row r="3648" spans="12:15" x14ac:dyDescent="0.25">
      <c r="L3648">
        <f t="shared" si="228"/>
        <v>0</v>
      </c>
      <c r="M3648">
        <f t="shared" si="229"/>
        <v>1</v>
      </c>
      <c r="N3648">
        <f t="shared" si="230"/>
        <v>0</v>
      </c>
      <c r="O3648" t="str">
        <f t="shared" si="231"/>
        <v>Proposta Ok</v>
      </c>
    </row>
    <row r="3649" spans="12:15" x14ac:dyDescent="0.25">
      <c r="L3649">
        <f t="shared" si="228"/>
        <v>0</v>
      </c>
      <c r="M3649">
        <f t="shared" si="229"/>
        <v>1</v>
      </c>
      <c r="N3649">
        <f t="shared" si="230"/>
        <v>0</v>
      </c>
      <c r="O3649" t="str">
        <f t="shared" si="231"/>
        <v>Proposta Ok</v>
      </c>
    </row>
    <row r="3650" spans="12:15" x14ac:dyDescent="0.25">
      <c r="L3650">
        <f t="shared" si="228"/>
        <v>0</v>
      </c>
      <c r="M3650">
        <f t="shared" si="229"/>
        <v>1</v>
      </c>
      <c r="N3650">
        <f t="shared" si="230"/>
        <v>0</v>
      </c>
      <c r="O3650" t="str">
        <f t="shared" si="231"/>
        <v>Proposta Ok</v>
      </c>
    </row>
    <row r="3651" spans="12:15" x14ac:dyDescent="0.25">
      <c r="L3651">
        <f t="shared" si="228"/>
        <v>0</v>
      </c>
      <c r="M3651">
        <f t="shared" si="229"/>
        <v>1</v>
      </c>
      <c r="N3651">
        <f t="shared" si="230"/>
        <v>0</v>
      </c>
      <c r="O3651" t="str">
        <f t="shared" si="231"/>
        <v>Proposta Ok</v>
      </c>
    </row>
    <row r="3652" spans="12:15" x14ac:dyDescent="0.25">
      <c r="L3652">
        <f t="shared" si="228"/>
        <v>0</v>
      </c>
      <c r="M3652">
        <f t="shared" si="229"/>
        <v>1</v>
      </c>
      <c r="N3652">
        <f t="shared" si="230"/>
        <v>0</v>
      </c>
      <c r="O3652" t="str">
        <f t="shared" si="231"/>
        <v>Proposta Ok</v>
      </c>
    </row>
    <row r="3653" spans="12:15" x14ac:dyDescent="0.25">
      <c r="L3653">
        <f t="shared" si="228"/>
        <v>0</v>
      </c>
      <c r="M3653">
        <f t="shared" si="229"/>
        <v>1</v>
      </c>
      <c r="N3653">
        <f t="shared" si="230"/>
        <v>0</v>
      </c>
      <c r="O3653" t="str">
        <f t="shared" si="231"/>
        <v>Proposta Ok</v>
      </c>
    </row>
    <row r="3654" spans="12:15" x14ac:dyDescent="0.25">
      <c r="L3654">
        <f t="shared" si="228"/>
        <v>0</v>
      </c>
      <c r="M3654">
        <f t="shared" si="229"/>
        <v>1</v>
      </c>
      <c r="N3654">
        <f t="shared" si="230"/>
        <v>0</v>
      </c>
      <c r="O3654" t="str">
        <f t="shared" si="231"/>
        <v>Proposta Ok</v>
      </c>
    </row>
    <row r="3655" spans="12:15" x14ac:dyDescent="0.25">
      <c r="L3655">
        <f t="shared" si="228"/>
        <v>0</v>
      </c>
      <c r="M3655">
        <f t="shared" si="229"/>
        <v>1</v>
      </c>
      <c r="N3655">
        <f t="shared" si="230"/>
        <v>0</v>
      </c>
      <c r="O3655" t="str">
        <f t="shared" si="231"/>
        <v>Proposta Ok</v>
      </c>
    </row>
    <row r="3656" spans="12:15" x14ac:dyDescent="0.25">
      <c r="L3656">
        <f t="shared" si="228"/>
        <v>0</v>
      </c>
      <c r="M3656">
        <f t="shared" si="229"/>
        <v>1</v>
      </c>
      <c r="N3656">
        <f t="shared" si="230"/>
        <v>0</v>
      </c>
      <c r="O3656" t="str">
        <f t="shared" si="231"/>
        <v>Proposta Ok</v>
      </c>
    </row>
    <row r="3657" spans="12:15" x14ac:dyDescent="0.25">
      <c r="L3657">
        <f t="shared" si="228"/>
        <v>0</v>
      </c>
      <c r="M3657">
        <f t="shared" si="229"/>
        <v>1</v>
      </c>
      <c r="N3657">
        <f t="shared" si="230"/>
        <v>0</v>
      </c>
      <c r="O3657" t="str">
        <f t="shared" si="231"/>
        <v>Proposta Ok</v>
      </c>
    </row>
    <row r="3658" spans="12:15" x14ac:dyDescent="0.25">
      <c r="L3658">
        <f t="shared" si="228"/>
        <v>0</v>
      </c>
      <c r="M3658">
        <f t="shared" si="229"/>
        <v>1</v>
      </c>
      <c r="N3658">
        <f t="shared" si="230"/>
        <v>0</v>
      </c>
      <c r="O3658" t="str">
        <f t="shared" si="231"/>
        <v>Proposta Ok</v>
      </c>
    </row>
    <row r="3659" spans="12:15" x14ac:dyDescent="0.25">
      <c r="L3659">
        <f t="shared" si="228"/>
        <v>0</v>
      </c>
      <c r="M3659">
        <f t="shared" si="229"/>
        <v>1</v>
      </c>
      <c r="N3659">
        <f t="shared" si="230"/>
        <v>0</v>
      </c>
      <c r="O3659" t="str">
        <f t="shared" si="231"/>
        <v>Proposta Ok</v>
      </c>
    </row>
    <row r="3660" spans="12:15" x14ac:dyDescent="0.25">
      <c r="L3660">
        <f t="shared" si="228"/>
        <v>0</v>
      </c>
      <c r="M3660">
        <f t="shared" si="229"/>
        <v>1</v>
      </c>
      <c r="N3660">
        <f t="shared" si="230"/>
        <v>0</v>
      </c>
      <c r="O3660" t="str">
        <f t="shared" si="231"/>
        <v>Proposta Ok</v>
      </c>
    </row>
    <row r="3661" spans="12:15" x14ac:dyDescent="0.25">
      <c r="L3661">
        <f t="shared" si="228"/>
        <v>0</v>
      </c>
      <c r="M3661">
        <f t="shared" si="229"/>
        <v>1</v>
      </c>
      <c r="N3661">
        <f t="shared" si="230"/>
        <v>0</v>
      </c>
      <c r="O3661" t="str">
        <f t="shared" si="231"/>
        <v>Proposta Ok</v>
      </c>
    </row>
    <row r="3662" spans="12:15" x14ac:dyDescent="0.25">
      <c r="L3662">
        <f t="shared" si="228"/>
        <v>0</v>
      </c>
      <c r="M3662">
        <f t="shared" si="229"/>
        <v>1</v>
      </c>
      <c r="N3662">
        <f t="shared" si="230"/>
        <v>0</v>
      </c>
      <c r="O3662" t="str">
        <f t="shared" si="231"/>
        <v>Proposta Ok</v>
      </c>
    </row>
    <row r="3663" spans="12:15" x14ac:dyDescent="0.25">
      <c r="L3663">
        <f t="shared" si="228"/>
        <v>0</v>
      </c>
      <c r="M3663">
        <f t="shared" si="229"/>
        <v>1</v>
      </c>
      <c r="N3663">
        <f t="shared" si="230"/>
        <v>0</v>
      </c>
      <c r="O3663" t="str">
        <f t="shared" si="231"/>
        <v>Proposta Ok</v>
      </c>
    </row>
    <row r="3664" spans="12:15" x14ac:dyDescent="0.25">
      <c r="L3664">
        <f t="shared" si="228"/>
        <v>0</v>
      </c>
      <c r="M3664">
        <f t="shared" si="229"/>
        <v>1</v>
      </c>
      <c r="N3664">
        <f t="shared" si="230"/>
        <v>0</v>
      </c>
      <c r="O3664" t="str">
        <f t="shared" si="231"/>
        <v>Proposta Ok</v>
      </c>
    </row>
    <row r="3665" spans="12:15" x14ac:dyDescent="0.25">
      <c r="L3665">
        <f t="shared" si="228"/>
        <v>0</v>
      </c>
      <c r="M3665">
        <f t="shared" si="229"/>
        <v>1</v>
      </c>
      <c r="N3665">
        <f t="shared" si="230"/>
        <v>0</v>
      </c>
      <c r="O3665" t="str">
        <f t="shared" si="231"/>
        <v>Proposta Ok</v>
      </c>
    </row>
    <row r="3666" spans="12:15" x14ac:dyDescent="0.25">
      <c r="L3666">
        <f t="shared" si="228"/>
        <v>0</v>
      </c>
      <c r="M3666">
        <f t="shared" si="229"/>
        <v>1</v>
      </c>
      <c r="N3666">
        <f t="shared" si="230"/>
        <v>0</v>
      </c>
      <c r="O3666" t="str">
        <f t="shared" si="231"/>
        <v>Proposta Ok</v>
      </c>
    </row>
    <row r="3667" spans="12:15" x14ac:dyDescent="0.25">
      <c r="L3667">
        <f t="shared" si="228"/>
        <v>0</v>
      </c>
      <c r="M3667">
        <f t="shared" si="229"/>
        <v>1</v>
      </c>
      <c r="N3667">
        <f t="shared" si="230"/>
        <v>0</v>
      </c>
      <c r="O3667" t="str">
        <f t="shared" si="231"/>
        <v>Proposta Ok</v>
      </c>
    </row>
    <row r="3668" spans="12:15" x14ac:dyDescent="0.25">
      <c r="L3668">
        <f t="shared" si="228"/>
        <v>0</v>
      </c>
      <c r="M3668">
        <f t="shared" si="229"/>
        <v>1</v>
      </c>
      <c r="N3668">
        <f t="shared" si="230"/>
        <v>0</v>
      </c>
      <c r="O3668" t="str">
        <f t="shared" si="231"/>
        <v>Proposta Ok</v>
      </c>
    </row>
    <row r="3669" spans="12:15" x14ac:dyDescent="0.25">
      <c r="L3669">
        <f t="shared" si="228"/>
        <v>0</v>
      </c>
      <c r="M3669">
        <f t="shared" si="229"/>
        <v>1</v>
      </c>
      <c r="N3669">
        <f t="shared" si="230"/>
        <v>0</v>
      </c>
      <c r="O3669" t="str">
        <f t="shared" si="231"/>
        <v>Proposta Ok</v>
      </c>
    </row>
    <row r="3670" spans="12:15" x14ac:dyDescent="0.25">
      <c r="L3670">
        <f t="shared" si="228"/>
        <v>0</v>
      </c>
      <c r="M3670">
        <f t="shared" si="229"/>
        <v>1</v>
      </c>
      <c r="N3670">
        <f t="shared" si="230"/>
        <v>0</v>
      </c>
      <c r="O3670" t="str">
        <f t="shared" si="231"/>
        <v>Proposta Ok</v>
      </c>
    </row>
    <row r="3671" spans="12:15" x14ac:dyDescent="0.25">
      <c r="L3671">
        <f t="shared" si="228"/>
        <v>0</v>
      </c>
      <c r="M3671">
        <f t="shared" si="229"/>
        <v>1</v>
      </c>
      <c r="N3671">
        <f t="shared" si="230"/>
        <v>0</v>
      </c>
      <c r="O3671" t="str">
        <f t="shared" si="231"/>
        <v>Proposta Ok</v>
      </c>
    </row>
    <row r="3672" spans="12:15" x14ac:dyDescent="0.25">
      <c r="L3672">
        <f t="shared" si="228"/>
        <v>0</v>
      </c>
      <c r="M3672">
        <f t="shared" si="229"/>
        <v>1</v>
      </c>
      <c r="N3672">
        <f t="shared" si="230"/>
        <v>0</v>
      </c>
      <c r="O3672" t="str">
        <f t="shared" si="231"/>
        <v>Proposta Ok</v>
      </c>
    </row>
    <row r="3673" spans="12:15" x14ac:dyDescent="0.25">
      <c r="L3673">
        <f t="shared" si="228"/>
        <v>0</v>
      </c>
      <c r="M3673">
        <f t="shared" si="229"/>
        <v>1</v>
      </c>
      <c r="N3673">
        <f t="shared" si="230"/>
        <v>0</v>
      </c>
      <c r="O3673" t="str">
        <f t="shared" si="231"/>
        <v>Proposta Ok</v>
      </c>
    </row>
    <row r="3674" spans="12:15" x14ac:dyDescent="0.25">
      <c r="L3674">
        <f t="shared" si="228"/>
        <v>0</v>
      </c>
      <c r="M3674">
        <f t="shared" si="229"/>
        <v>1</v>
      </c>
      <c r="N3674">
        <f t="shared" si="230"/>
        <v>0</v>
      </c>
      <c r="O3674" t="str">
        <f t="shared" si="231"/>
        <v>Proposta Ok</v>
      </c>
    </row>
    <row r="3675" spans="12:15" x14ac:dyDescent="0.25">
      <c r="L3675">
        <f t="shared" ref="L3675:L3738" si="232">IF(OR(I3675="Termo OK (Exceção)",I3675="Termo OK"),1,0)</f>
        <v>0</v>
      </c>
      <c r="M3675">
        <f t="shared" ref="M3675:M3738" si="233">IF(OR(I3675="Termo OK (Exceção)",I3675="Termo OK"),0,1)</f>
        <v>1</v>
      </c>
      <c r="N3675">
        <f t="shared" ref="N3675:N3738" si="234">IF(J3675="SIM",1,0)</f>
        <v>0</v>
      </c>
      <c r="O3675" t="str">
        <f t="shared" ref="O3675:O3738" si="235">IF(SUMIFS(M:M,A:A,A3675)&gt;0,"Proposta não Ok","Proposta Ok")</f>
        <v>Proposta Ok</v>
      </c>
    </row>
    <row r="3676" spans="12:15" x14ac:dyDescent="0.25">
      <c r="L3676">
        <f t="shared" si="232"/>
        <v>0</v>
      </c>
      <c r="M3676">
        <f t="shared" si="233"/>
        <v>1</v>
      </c>
      <c r="N3676">
        <f t="shared" si="234"/>
        <v>0</v>
      </c>
      <c r="O3676" t="str">
        <f t="shared" si="235"/>
        <v>Proposta Ok</v>
      </c>
    </row>
    <row r="3677" spans="12:15" x14ac:dyDescent="0.25">
      <c r="L3677">
        <f t="shared" si="232"/>
        <v>0</v>
      </c>
      <c r="M3677">
        <f t="shared" si="233"/>
        <v>1</v>
      </c>
      <c r="N3677">
        <f t="shared" si="234"/>
        <v>0</v>
      </c>
      <c r="O3677" t="str">
        <f t="shared" si="235"/>
        <v>Proposta Ok</v>
      </c>
    </row>
    <row r="3678" spans="12:15" x14ac:dyDescent="0.25">
      <c r="L3678">
        <f t="shared" si="232"/>
        <v>0</v>
      </c>
      <c r="M3678">
        <f t="shared" si="233"/>
        <v>1</v>
      </c>
      <c r="N3678">
        <f t="shared" si="234"/>
        <v>0</v>
      </c>
      <c r="O3678" t="str">
        <f t="shared" si="235"/>
        <v>Proposta Ok</v>
      </c>
    </row>
    <row r="3679" spans="12:15" x14ac:dyDescent="0.25">
      <c r="L3679">
        <f t="shared" si="232"/>
        <v>0</v>
      </c>
      <c r="M3679">
        <f t="shared" si="233"/>
        <v>1</v>
      </c>
      <c r="N3679">
        <f t="shared" si="234"/>
        <v>0</v>
      </c>
      <c r="O3679" t="str">
        <f t="shared" si="235"/>
        <v>Proposta Ok</v>
      </c>
    </row>
    <row r="3680" spans="12:15" x14ac:dyDescent="0.25">
      <c r="L3680">
        <f t="shared" si="232"/>
        <v>0</v>
      </c>
      <c r="M3680">
        <f t="shared" si="233"/>
        <v>1</v>
      </c>
      <c r="N3680">
        <f t="shared" si="234"/>
        <v>0</v>
      </c>
      <c r="O3680" t="str">
        <f t="shared" si="235"/>
        <v>Proposta Ok</v>
      </c>
    </row>
    <row r="3681" spans="12:15" x14ac:dyDescent="0.25">
      <c r="L3681">
        <f t="shared" si="232"/>
        <v>0</v>
      </c>
      <c r="M3681">
        <f t="shared" si="233"/>
        <v>1</v>
      </c>
      <c r="N3681">
        <f t="shared" si="234"/>
        <v>0</v>
      </c>
      <c r="O3681" t="str">
        <f t="shared" si="235"/>
        <v>Proposta Ok</v>
      </c>
    </row>
    <row r="3682" spans="12:15" x14ac:dyDescent="0.25">
      <c r="L3682">
        <f t="shared" si="232"/>
        <v>0</v>
      </c>
      <c r="M3682">
        <f t="shared" si="233"/>
        <v>1</v>
      </c>
      <c r="N3682">
        <f t="shared" si="234"/>
        <v>0</v>
      </c>
      <c r="O3682" t="str">
        <f t="shared" si="235"/>
        <v>Proposta Ok</v>
      </c>
    </row>
    <row r="3683" spans="12:15" x14ac:dyDescent="0.25">
      <c r="L3683">
        <f t="shared" si="232"/>
        <v>0</v>
      </c>
      <c r="M3683">
        <f t="shared" si="233"/>
        <v>1</v>
      </c>
      <c r="N3683">
        <f t="shared" si="234"/>
        <v>0</v>
      </c>
      <c r="O3683" t="str">
        <f t="shared" si="235"/>
        <v>Proposta Ok</v>
      </c>
    </row>
    <row r="3684" spans="12:15" x14ac:dyDescent="0.25">
      <c r="L3684">
        <f t="shared" si="232"/>
        <v>0</v>
      </c>
      <c r="M3684">
        <f t="shared" si="233"/>
        <v>1</v>
      </c>
      <c r="N3684">
        <f t="shared" si="234"/>
        <v>0</v>
      </c>
      <c r="O3684" t="str">
        <f t="shared" si="235"/>
        <v>Proposta Ok</v>
      </c>
    </row>
    <row r="3685" spans="12:15" x14ac:dyDescent="0.25">
      <c r="L3685">
        <f t="shared" si="232"/>
        <v>0</v>
      </c>
      <c r="M3685">
        <f t="shared" si="233"/>
        <v>1</v>
      </c>
      <c r="N3685">
        <f t="shared" si="234"/>
        <v>0</v>
      </c>
      <c r="O3685" t="str">
        <f t="shared" si="235"/>
        <v>Proposta Ok</v>
      </c>
    </row>
    <row r="3686" spans="12:15" x14ac:dyDescent="0.25">
      <c r="L3686">
        <f t="shared" si="232"/>
        <v>0</v>
      </c>
      <c r="M3686">
        <f t="shared" si="233"/>
        <v>1</v>
      </c>
      <c r="N3686">
        <f t="shared" si="234"/>
        <v>0</v>
      </c>
      <c r="O3686" t="str">
        <f t="shared" si="235"/>
        <v>Proposta Ok</v>
      </c>
    </row>
    <row r="3687" spans="12:15" x14ac:dyDescent="0.25">
      <c r="L3687">
        <f t="shared" si="232"/>
        <v>0</v>
      </c>
      <c r="M3687">
        <f t="shared" si="233"/>
        <v>1</v>
      </c>
      <c r="N3687">
        <f t="shared" si="234"/>
        <v>0</v>
      </c>
      <c r="O3687" t="str">
        <f t="shared" si="235"/>
        <v>Proposta Ok</v>
      </c>
    </row>
    <row r="3688" spans="12:15" x14ac:dyDescent="0.25">
      <c r="L3688">
        <f t="shared" si="232"/>
        <v>0</v>
      </c>
      <c r="M3688">
        <f t="shared" si="233"/>
        <v>1</v>
      </c>
      <c r="N3688">
        <f t="shared" si="234"/>
        <v>0</v>
      </c>
      <c r="O3688" t="str">
        <f t="shared" si="235"/>
        <v>Proposta Ok</v>
      </c>
    </row>
    <row r="3689" spans="12:15" x14ac:dyDescent="0.25">
      <c r="L3689">
        <f t="shared" si="232"/>
        <v>0</v>
      </c>
      <c r="M3689">
        <f t="shared" si="233"/>
        <v>1</v>
      </c>
      <c r="N3689">
        <f t="shared" si="234"/>
        <v>0</v>
      </c>
      <c r="O3689" t="str">
        <f t="shared" si="235"/>
        <v>Proposta Ok</v>
      </c>
    </row>
    <row r="3690" spans="12:15" x14ac:dyDescent="0.25">
      <c r="L3690">
        <f t="shared" si="232"/>
        <v>0</v>
      </c>
      <c r="M3690">
        <f t="shared" si="233"/>
        <v>1</v>
      </c>
      <c r="N3690">
        <f t="shared" si="234"/>
        <v>0</v>
      </c>
      <c r="O3690" t="str">
        <f t="shared" si="235"/>
        <v>Proposta Ok</v>
      </c>
    </row>
    <row r="3691" spans="12:15" x14ac:dyDescent="0.25">
      <c r="L3691">
        <f t="shared" si="232"/>
        <v>0</v>
      </c>
      <c r="M3691">
        <f t="shared" si="233"/>
        <v>1</v>
      </c>
      <c r="N3691">
        <f t="shared" si="234"/>
        <v>0</v>
      </c>
      <c r="O3691" t="str">
        <f t="shared" si="235"/>
        <v>Proposta Ok</v>
      </c>
    </row>
    <row r="3692" spans="12:15" x14ac:dyDescent="0.25">
      <c r="L3692">
        <f t="shared" si="232"/>
        <v>0</v>
      </c>
      <c r="M3692">
        <f t="shared" si="233"/>
        <v>1</v>
      </c>
      <c r="N3692">
        <f t="shared" si="234"/>
        <v>0</v>
      </c>
      <c r="O3692" t="str">
        <f t="shared" si="235"/>
        <v>Proposta Ok</v>
      </c>
    </row>
    <row r="3693" spans="12:15" x14ac:dyDescent="0.25">
      <c r="L3693">
        <f t="shared" si="232"/>
        <v>0</v>
      </c>
      <c r="M3693">
        <f t="shared" si="233"/>
        <v>1</v>
      </c>
      <c r="N3693">
        <f t="shared" si="234"/>
        <v>0</v>
      </c>
      <c r="O3693" t="str">
        <f t="shared" si="235"/>
        <v>Proposta Ok</v>
      </c>
    </row>
    <row r="3694" spans="12:15" x14ac:dyDescent="0.25">
      <c r="L3694">
        <f t="shared" si="232"/>
        <v>0</v>
      </c>
      <c r="M3694">
        <f t="shared" si="233"/>
        <v>1</v>
      </c>
      <c r="N3694">
        <f t="shared" si="234"/>
        <v>0</v>
      </c>
      <c r="O3694" t="str">
        <f t="shared" si="235"/>
        <v>Proposta Ok</v>
      </c>
    </row>
    <row r="3695" spans="12:15" x14ac:dyDescent="0.25">
      <c r="L3695">
        <f t="shared" si="232"/>
        <v>0</v>
      </c>
      <c r="M3695">
        <f t="shared" si="233"/>
        <v>1</v>
      </c>
      <c r="N3695">
        <f t="shared" si="234"/>
        <v>0</v>
      </c>
      <c r="O3695" t="str">
        <f t="shared" si="235"/>
        <v>Proposta Ok</v>
      </c>
    </row>
    <row r="3696" spans="12:15" x14ac:dyDescent="0.25">
      <c r="L3696">
        <f t="shared" si="232"/>
        <v>0</v>
      </c>
      <c r="M3696">
        <f t="shared" si="233"/>
        <v>1</v>
      </c>
      <c r="N3696">
        <f t="shared" si="234"/>
        <v>0</v>
      </c>
      <c r="O3696" t="str">
        <f t="shared" si="235"/>
        <v>Proposta Ok</v>
      </c>
    </row>
    <row r="3697" spans="12:15" x14ac:dyDescent="0.25">
      <c r="L3697">
        <f t="shared" si="232"/>
        <v>0</v>
      </c>
      <c r="M3697">
        <f t="shared" si="233"/>
        <v>1</v>
      </c>
      <c r="N3697">
        <f t="shared" si="234"/>
        <v>0</v>
      </c>
      <c r="O3697" t="str">
        <f t="shared" si="235"/>
        <v>Proposta Ok</v>
      </c>
    </row>
    <row r="3698" spans="12:15" x14ac:dyDescent="0.25">
      <c r="L3698">
        <f t="shared" si="232"/>
        <v>0</v>
      </c>
      <c r="M3698">
        <f t="shared" si="233"/>
        <v>1</v>
      </c>
      <c r="N3698">
        <f t="shared" si="234"/>
        <v>0</v>
      </c>
      <c r="O3698" t="str">
        <f t="shared" si="235"/>
        <v>Proposta Ok</v>
      </c>
    </row>
    <row r="3699" spans="12:15" x14ac:dyDescent="0.25">
      <c r="L3699">
        <f t="shared" si="232"/>
        <v>0</v>
      </c>
      <c r="M3699">
        <f t="shared" si="233"/>
        <v>1</v>
      </c>
      <c r="N3699">
        <f t="shared" si="234"/>
        <v>0</v>
      </c>
      <c r="O3699" t="str">
        <f t="shared" si="235"/>
        <v>Proposta Ok</v>
      </c>
    </row>
    <row r="3700" spans="12:15" x14ac:dyDescent="0.25">
      <c r="L3700">
        <f t="shared" si="232"/>
        <v>0</v>
      </c>
      <c r="M3700">
        <f t="shared" si="233"/>
        <v>1</v>
      </c>
      <c r="N3700">
        <f t="shared" si="234"/>
        <v>0</v>
      </c>
      <c r="O3700" t="str">
        <f t="shared" si="235"/>
        <v>Proposta Ok</v>
      </c>
    </row>
    <row r="3701" spans="12:15" x14ac:dyDescent="0.25">
      <c r="L3701">
        <f t="shared" si="232"/>
        <v>0</v>
      </c>
      <c r="M3701">
        <f t="shared" si="233"/>
        <v>1</v>
      </c>
      <c r="N3701">
        <f t="shared" si="234"/>
        <v>0</v>
      </c>
      <c r="O3701" t="str">
        <f t="shared" si="235"/>
        <v>Proposta Ok</v>
      </c>
    </row>
    <row r="3702" spans="12:15" x14ac:dyDescent="0.25">
      <c r="L3702">
        <f t="shared" si="232"/>
        <v>0</v>
      </c>
      <c r="M3702">
        <f t="shared" si="233"/>
        <v>1</v>
      </c>
      <c r="N3702">
        <f t="shared" si="234"/>
        <v>0</v>
      </c>
      <c r="O3702" t="str">
        <f t="shared" si="235"/>
        <v>Proposta Ok</v>
      </c>
    </row>
    <row r="3703" spans="12:15" x14ac:dyDescent="0.25">
      <c r="L3703">
        <f t="shared" si="232"/>
        <v>0</v>
      </c>
      <c r="M3703">
        <f t="shared" si="233"/>
        <v>1</v>
      </c>
      <c r="N3703">
        <f t="shared" si="234"/>
        <v>0</v>
      </c>
      <c r="O3703" t="str">
        <f t="shared" si="235"/>
        <v>Proposta Ok</v>
      </c>
    </row>
    <row r="3704" spans="12:15" x14ac:dyDescent="0.25">
      <c r="L3704">
        <f t="shared" si="232"/>
        <v>0</v>
      </c>
      <c r="M3704">
        <f t="shared" si="233"/>
        <v>1</v>
      </c>
      <c r="N3704">
        <f t="shared" si="234"/>
        <v>0</v>
      </c>
      <c r="O3704" t="str">
        <f t="shared" si="235"/>
        <v>Proposta Ok</v>
      </c>
    </row>
    <row r="3705" spans="12:15" x14ac:dyDescent="0.25">
      <c r="L3705">
        <f t="shared" si="232"/>
        <v>0</v>
      </c>
      <c r="M3705">
        <f t="shared" si="233"/>
        <v>1</v>
      </c>
      <c r="N3705">
        <f t="shared" si="234"/>
        <v>0</v>
      </c>
      <c r="O3705" t="str">
        <f t="shared" si="235"/>
        <v>Proposta Ok</v>
      </c>
    </row>
    <row r="3706" spans="12:15" x14ac:dyDescent="0.25">
      <c r="L3706">
        <f t="shared" si="232"/>
        <v>0</v>
      </c>
      <c r="M3706">
        <f t="shared" si="233"/>
        <v>1</v>
      </c>
      <c r="N3706">
        <f t="shared" si="234"/>
        <v>0</v>
      </c>
      <c r="O3706" t="str">
        <f t="shared" si="235"/>
        <v>Proposta Ok</v>
      </c>
    </row>
    <row r="3707" spans="12:15" x14ac:dyDescent="0.25">
      <c r="L3707">
        <f t="shared" si="232"/>
        <v>0</v>
      </c>
      <c r="M3707">
        <f t="shared" si="233"/>
        <v>1</v>
      </c>
      <c r="N3707">
        <f t="shared" si="234"/>
        <v>0</v>
      </c>
      <c r="O3707" t="str">
        <f t="shared" si="235"/>
        <v>Proposta Ok</v>
      </c>
    </row>
    <row r="3708" spans="12:15" x14ac:dyDescent="0.25">
      <c r="L3708">
        <f t="shared" si="232"/>
        <v>0</v>
      </c>
      <c r="M3708">
        <f t="shared" si="233"/>
        <v>1</v>
      </c>
      <c r="N3708">
        <f t="shared" si="234"/>
        <v>0</v>
      </c>
      <c r="O3708" t="str">
        <f t="shared" si="235"/>
        <v>Proposta Ok</v>
      </c>
    </row>
    <row r="3709" spans="12:15" x14ac:dyDescent="0.25">
      <c r="L3709">
        <f t="shared" si="232"/>
        <v>0</v>
      </c>
      <c r="M3709">
        <f t="shared" si="233"/>
        <v>1</v>
      </c>
      <c r="N3709">
        <f t="shared" si="234"/>
        <v>0</v>
      </c>
      <c r="O3709" t="str">
        <f t="shared" si="235"/>
        <v>Proposta Ok</v>
      </c>
    </row>
    <row r="3710" spans="12:15" x14ac:dyDescent="0.25">
      <c r="L3710">
        <f t="shared" si="232"/>
        <v>0</v>
      </c>
      <c r="M3710">
        <f t="shared" si="233"/>
        <v>1</v>
      </c>
      <c r="N3710">
        <f t="shared" si="234"/>
        <v>0</v>
      </c>
      <c r="O3710" t="str">
        <f t="shared" si="235"/>
        <v>Proposta Ok</v>
      </c>
    </row>
    <row r="3711" spans="12:15" x14ac:dyDescent="0.25">
      <c r="L3711">
        <f t="shared" si="232"/>
        <v>0</v>
      </c>
      <c r="M3711">
        <f t="shared" si="233"/>
        <v>1</v>
      </c>
      <c r="N3711">
        <f t="shared" si="234"/>
        <v>0</v>
      </c>
      <c r="O3711" t="str">
        <f t="shared" si="235"/>
        <v>Proposta Ok</v>
      </c>
    </row>
    <row r="3712" spans="12:15" x14ac:dyDescent="0.25">
      <c r="L3712">
        <f t="shared" si="232"/>
        <v>0</v>
      </c>
      <c r="M3712">
        <f t="shared" si="233"/>
        <v>1</v>
      </c>
      <c r="N3712">
        <f t="shared" si="234"/>
        <v>0</v>
      </c>
      <c r="O3712" t="str">
        <f t="shared" si="235"/>
        <v>Proposta Ok</v>
      </c>
    </row>
    <row r="3713" spans="12:15" x14ac:dyDescent="0.25">
      <c r="L3713">
        <f t="shared" si="232"/>
        <v>0</v>
      </c>
      <c r="M3713">
        <f t="shared" si="233"/>
        <v>1</v>
      </c>
      <c r="N3713">
        <f t="shared" si="234"/>
        <v>0</v>
      </c>
      <c r="O3713" t="str">
        <f t="shared" si="235"/>
        <v>Proposta Ok</v>
      </c>
    </row>
    <row r="3714" spans="12:15" x14ac:dyDescent="0.25">
      <c r="L3714">
        <f t="shared" si="232"/>
        <v>0</v>
      </c>
      <c r="M3714">
        <f t="shared" si="233"/>
        <v>1</v>
      </c>
      <c r="N3714">
        <f t="shared" si="234"/>
        <v>0</v>
      </c>
      <c r="O3714" t="str">
        <f t="shared" si="235"/>
        <v>Proposta Ok</v>
      </c>
    </row>
    <row r="3715" spans="12:15" x14ac:dyDescent="0.25">
      <c r="L3715">
        <f t="shared" si="232"/>
        <v>0</v>
      </c>
      <c r="M3715">
        <f t="shared" si="233"/>
        <v>1</v>
      </c>
      <c r="N3715">
        <f t="shared" si="234"/>
        <v>0</v>
      </c>
      <c r="O3715" t="str">
        <f t="shared" si="235"/>
        <v>Proposta Ok</v>
      </c>
    </row>
    <row r="3716" spans="12:15" x14ac:dyDescent="0.25">
      <c r="L3716">
        <f t="shared" si="232"/>
        <v>0</v>
      </c>
      <c r="M3716">
        <f t="shared" si="233"/>
        <v>1</v>
      </c>
      <c r="N3716">
        <f t="shared" si="234"/>
        <v>0</v>
      </c>
      <c r="O3716" t="str">
        <f t="shared" si="235"/>
        <v>Proposta Ok</v>
      </c>
    </row>
    <row r="3717" spans="12:15" x14ac:dyDescent="0.25">
      <c r="L3717">
        <f t="shared" si="232"/>
        <v>0</v>
      </c>
      <c r="M3717">
        <f t="shared" si="233"/>
        <v>1</v>
      </c>
      <c r="N3717">
        <f t="shared" si="234"/>
        <v>0</v>
      </c>
      <c r="O3717" t="str">
        <f t="shared" si="235"/>
        <v>Proposta Ok</v>
      </c>
    </row>
    <row r="3718" spans="12:15" x14ac:dyDescent="0.25">
      <c r="L3718">
        <f t="shared" si="232"/>
        <v>0</v>
      </c>
      <c r="M3718">
        <f t="shared" si="233"/>
        <v>1</v>
      </c>
      <c r="N3718">
        <f t="shared" si="234"/>
        <v>0</v>
      </c>
      <c r="O3718" t="str">
        <f t="shared" si="235"/>
        <v>Proposta Ok</v>
      </c>
    </row>
    <row r="3719" spans="12:15" x14ac:dyDescent="0.25">
      <c r="L3719">
        <f t="shared" si="232"/>
        <v>0</v>
      </c>
      <c r="M3719">
        <f t="shared" si="233"/>
        <v>1</v>
      </c>
      <c r="N3719">
        <f t="shared" si="234"/>
        <v>0</v>
      </c>
      <c r="O3719" t="str">
        <f t="shared" si="235"/>
        <v>Proposta Ok</v>
      </c>
    </row>
    <row r="3720" spans="12:15" x14ac:dyDescent="0.25">
      <c r="L3720">
        <f t="shared" si="232"/>
        <v>0</v>
      </c>
      <c r="M3720">
        <f t="shared" si="233"/>
        <v>1</v>
      </c>
      <c r="N3720">
        <f t="shared" si="234"/>
        <v>0</v>
      </c>
      <c r="O3720" t="str">
        <f t="shared" si="235"/>
        <v>Proposta Ok</v>
      </c>
    </row>
    <row r="3721" spans="12:15" x14ac:dyDescent="0.25">
      <c r="L3721">
        <f t="shared" si="232"/>
        <v>0</v>
      </c>
      <c r="M3721">
        <f t="shared" si="233"/>
        <v>1</v>
      </c>
      <c r="N3721">
        <f t="shared" si="234"/>
        <v>0</v>
      </c>
      <c r="O3721" t="str">
        <f t="shared" si="235"/>
        <v>Proposta Ok</v>
      </c>
    </row>
    <row r="3722" spans="12:15" x14ac:dyDescent="0.25">
      <c r="L3722">
        <f t="shared" si="232"/>
        <v>0</v>
      </c>
      <c r="M3722">
        <f t="shared" si="233"/>
        <v>1</v>
      </c>
      <c r="N3722">
        <f t="shared" si="234"/>
        <v>0</v>
      </c>
      <c r="O3722" t="str">
        <f t="shared" si="235"/>
        <v>Proposta Ok</v>
      </c>
    </row>
    <row r="3723" spans="12:15" x14ac:dyDescent="0.25">
      <c r="L3723">
        <f t="shared" si="232"/>
        <v>0</v>
      </c>
      <c r="M3723">
        <f t="shared" si="233"/>
        <v>1</v>
      </c>
      <c r="N3723">
        <f t="shared" si="234"/>
        <v>0</v>
      </c>
      <c r="O3723" t="str">
        <f t="shared" si="235"/>
        <v>Proposta Ok</v>
      </c>
    </row>
    <row r="3724" spans="12:15" x14ac:dyDescent="0.25">
      <c r="L3724">
        <f t="shared" si="232"/>
        <v>0</v>
      </c>
      <c r="M3724">
        <f t="shared" si="233"/>
        <v>1</v>
      </c>
      <c r="N3724">
        <f t="shared" si="234"/>
        <v>0</v>
      </c>
      <c r="O3724" t="str">
        <f t="shared" si="235"/>
        <v>Proposta Ok</v>
      </c>
    </row>
    <row r="3725" spans="12:15" x14ac:dyDescent="0.25">
      <c r="L3725">
        <f t="shared" si="232"/>
        <v>0</v>
      </c>
      <c r="M3725">
        <f t="shared" si="233"/>
        <v>1</v>
      </c>
      <c r="N3725">
        <f t="shared" si="234"/>
        <v>0</v>
      </c>
      <c r="O3725" t="str">
        <f t="shared" si="235"/>
        <v>Proposta Ok</v>
      </c>
    </row>
    <row r="3726" spans="12:15" x14ac:dyDescent="0.25">
      <c r="L3726">
        <f t="shared" si="232"/>
        <v>0</v>
      </c>
      <c r="M3726">
        <f t="shared" si="233"/>
        <v>1</v>
      </c>
      <c r="N3726">
        <f t="shared" si="234"/>
        <v>0</v>
      </c>
      <c r="O3726" t="str">
        <f t="shared" si="235"/>
        <v>Proposta Ok</v>
      </c>
    </row>
    <row r="3727" spans="12:15" x14ac:dyDescent="0.25">
      <c r="L3727">
        <f t="shared" si="232"/>
        <v>0</v>
      </c>
      <c r="M3727">
        <f t="shared" si="233"/>
        <v>1</v>
      </c>
      <c r="N3727">
        <f t="shared" si="234"/>
        <v>0</v>
      </c>
      <c r="O3727" t="str">
        <f t="shared" si="235"/>
        <v>Proposta Ok</v>
      </c>
    </row>
    <row r="3728" spans="12:15" x14ac:dyDescent="0.25">
      <c r="L3728">
        <f t="shared" si="232"/>
        <v>0</v>
      </c>
      <c r="M3728">
        <f t="shared" si="233"/>
        <v>1</v>
      </c>
      <c r="N3728">
        <f t="shared" si="234"/>
        <v>0</v>
      </c>
      <c r="O3728" t="str">
        <f t="shared" si="235"/>
        <v>Proposta Ok</v>
      </c>
    </row>
    <row r="3729" spans="12:15" x14ac:dyDescent="0.25">
      <c r="L3729">
        <f t="shared" si="232"/>
        <v>0</v>
      </c>
      <c r="M3729">
        <f t="shared" si="233"/>
        <v>1</v>
      </c>
      <c r="N3729">
        <f t="shared" si="234"/>
        <v>0</v>
      </c>
      <c r="O3729" t="str">
        <f t="shared" si="235"/>
        <v>Proposta Ok</v>
      </c>
    </row>
    <row r="3730" spans="12:15" x14ac:dyDescent="0.25">
      <c r="L3730">
        <f t="shared" si="232"/>
        <v>0</v>
      </c>
      <c r="M3730">
        <f t="shared" si="233"/>
        <v>1</v>
      </c>
      <c r="N3730">
        <f t="shared" si="234"/>
        <v>0</v>
      </c>
      <c r="O3730" t="str">
        <f t="shared" si="235"/>
        <v>Proposta Ok</v>
      </c>
    </row>
    <row r="3731" spans="12:15" x14ac:dyDescent="0.25">
      <c r="L3731">
        <f t="shared" si="232"/>
        <v>0</v>
      </c>
      <c r="M3731">
        <f t="shared" si="233"/>
        <v>1</v>
      </c>
      <c r="N3731">
        <f t="shared" si="234"/>
        <v>0</v>
      </c>
      <c r="O3731" t="str">
        <f t="shared" si="235"/>
        <v>Proposta Ok</v>
      </c>
    </row>
    <row r="3732" spans="12:15" x14ac:dyDescent="0.25">
      <c r="L3732">
        <f t="shared" si="232"/>
        <v>0</v>
      </c>
      <c r="M3732">
        <f t="shared" si="233"/>
        <v>1</v>
      </c>
      <c r="N3732">
        <f t="shared" si="234"/>
        <v>0</v>
      </c>
      <c r="O3732" t="str">
        <f t="shared" si="235"/>
        <v>Proposta Ok</v>
      </c>
    </row>
    <row r="3733" spans="12:15" x14ac:dyDescent="0.25">
      <c r="L3733">
        <f t="shared" si="232"/>
        <v>0</v>
      </c>
      <c r="M3733">
        <f t="shared" si="233"/>
        <v>1</v>
      </c>
      <c r="N3733">
        <f t="shared" si="234"/>
        <v>0</v>
      </c>
      <c r="O3733" t="str">
        <f t="shared" si="235"/>
        <v>Proposta Ok</v>
      </c>
    </row>
    <row r="3734" spans="12:15" x14ac:dyDescent="0.25">
      <c r="L3734">
        <f t="shared" si="232"/>
        <v>0</v>
      </c>
      <c r="M3734">
        <f t="shared" si="233"/>
        <v>1</v>
      </c>
      <c r="N3734">
        <f t="shared" si="234"/>
        <v>0</v>
      </c>
      <c r="O3734" t="str">
        <f t="shared" si="235"/>
        <v>Proposta Ok</v>
      </c>
    </row>
    <row r="3735" spans="12:15" x14ac:dyDescent="0.25">
      <c r="L3735">
        <f t="shared" si="232"/>
        <v>0</v>
      </c>
      <c r="M3735">
        <f t="shared" si="233"/>
        <v>1</v>
      </c>
      <c r="N3735">
        <f t="shared" si="234"/>
        <v>0</v>
      </c>
      <c r="O3735" t="str">
        <f t="shared" si="235"/>
        <v>Proposta Ok</v>
      </c>
    </row>
    <row r="3736" spans="12:15" x14ac:dyDescent="0.25">
      <c r="L3736">
        <f t="shared" si="232"/>
        <v>0</v>
      </c>
      <c r="M3736">
        <f t="shared" si="233"/>
        <v>1</v>
      </c>
      <c r="N3736">
        <f t="shared" si="234"/>
        <v>0</v>
      </c>
      <c r="O3736" t="str">
        <f t="shared" si="235"/>
        <v>Proposta Ok</v>
      </c>
    </row>
    <row r="3737" spans="12:15" x14ac:dyDescent="0.25">
      <c r="L3737">
        <f t="shared" si="232"/>
        <v>0</v>
      </c>
      <c r="M3737">
        <f t="shared" si="233"/>
        <v>1</v>
      </c>
      <c r="N3737">
        <f t="shared" si="234"/>
        <v>0</v>
      </c>
      <c r="O3737" t="str">
        <f t="shared" si="235"/>
        <v>Proposta Ok</v>
      </c>
    </row>
    <row r="3738" spans="12:15" x14ac:dyDescent="0.25">
      <c r="L3738">
        <f t="shared" si="232"/>
        <v>0</v>
      </c>
      <c r="M3738">
        <f t="shared" si="233"/>
        <v>1</v>
      </c>
      <c r="N3738">
        <f t="shared" si="234"/>
        <v>0</v>
      </c>
      <c r="O3738" t="str">
        <f t="shared" si="235"/>
        <v>Proposta Ok</v>
      </c>
    </row>
    <row r="3739" spans="12:15" x14ac:dyDescent="0.25">
      <c r="L3739">
        <f t="shared" ref="L3739:L3802" si="236">IF(OR(I3739="Termo OK (Exceção)",I3739="Termo OK"),1,0)</f>
        <v>0</v>
      </c>
      <c r="M3739">
        <f t="shared" ref="M3739:M3802" si="237">IF(OR(I3739="Termo OK (Exceção)",I3739="Termo OK"),0,1)</f>
        <v>1</v>
      </c>
      <c r="N3739">
        <f t="shared" ref="N3739:N3802" si="238">IF(J3739="SIM",1,0)</f>
        <v>0</v>
      </c>
      <c r="O3739" t="str">
        <f t="shared" ref="O3739:O3802" si="239">IF(SUMIFS(M:M,A:A,A3739)&gt;0,"Proposta não Ok","Proposta Ok")</f>
        <v>Proposta Ok</v>
      </c>
    </row>
    <row r="3740" spans="12:15" x14ac:dyDescent="0.25">
      <c r="L3740">
        <f t="shared" si="236"/>
        <v>0</v>
      </c>
      <c r="M3740">
        <f t="shared" si="237"/>
        <v>1</v>
      </c>
      <c r="N3740">
        <f t="shared" si="238"/>
        <v>0</v>
      </c>
      <c r="O3740" t="str">
        <f t="shared" si="239"/>
        <v>Proposta Ok</v>
      </c>
    </row>
    <row r="3741" spans="12:15" x14ac:dyDescent="0.25">
      <c r="L3741">
        <f t="shared" si="236"/>
        <v>0</v>
      </c>
      <c r="M3741">
        <f t="shared" si="237"/>
        <v>1</v>
      </c>
      <c r="N3741">
        <f t="shared" si="238"/>
        <v>0</v>
      </c>
      <c r="O3741" t="str">
        <f t="shared" si="239"/>
        <v>Proposta Ok</v>
      </c>
    </row>
    <row r="3742" spans="12:15" x14ac:dyDescent="0.25">
      <c r="L3742">
        <f t="shared" si="236"/>
        <v>0</v>
      </c>
      <c r="M3742">
        <f t="shared" si="237"/>
        <v>1</v>
      </c>
      <c r="N3742">
        <f t="shared" si="238"/>
        <v>0</v>
      </c>
      <c r="O3742" t="str">
        <f t="shared" si="239"/>
        <v>Proposta Ok</v>
      </c>
    </row>
    <row r="3743" spans="12:15" x14ac:dyDescent="0.25">
      <c r="L3743">
        <f t="shared" si="236"/>
        <v>0</v>
      </c>
      <c r="M3743">
        <f t="shared" si="237"/>
        <v>1</v>
      </c>
      <c r="N3743">
        <f t="shared" si="238"/>
        <v>0</v>
      </c>
      <c r="O3743" t="str">
        <f t="shared" si="239"/>
        <v>Proposta Ok</v>
      </c>
    </row>
    <row r="3744" spans="12:15" x14ac:dyDescent="0.25">
      <c r="L3744">
        <f t="shared" si="236"/>
        <v>0</v>
      </c>
      <c r="M3744">
        <f t="shared" si="237"/>
        <v>1</v>
      </c>
      <c r="N3744">
        <f t="shared" si="238"/>
        <v>0</v>
      </c>
      <c r="O3744" t="str">
        <f t="shared" si="239"/>
        <v>Proposta Ok</v>
      </c>
    </row>
    <row r="3745" spans="12:15" x14ac:dyDescent="0.25">
      <c r="L3745">
        <f t="shared" si="236"/>
        <v>0</v>
      </c>
      <c r="M3745">
        <f t="shared" si="237"/>
        <v>1</v>
      </c>
      <c r="N3745">
        <f t="shared" si="238"/>
        <v>0</v>
      </c>
      <c r="O3745" t="str">
        <f t="shared" si="239"/>
        <v>Proposta Ok</v>
      </c>
    </row>
    <row r="3746" spans="12:15" x14ac:dyDescent="0.25">
      <c r="L3746">
        <f t="shared" si="236"/>
        <v>0</v>
      </c>
      <c r="M3746">
        <f t="shared" si="237"/>
        <v>1</v>
      </c>
      <c r="N3746">
        <f t="shared" si="238"/>
        <v>0</v>
      </c>
      <c r="O3746" t="str">
        <f t="shared" si="239"/>
        <v>Proposta Ok</v>
      </c>
    </row>
    <row r="3747" spans="12:15" x14ac:dyDescent="0.25">
      <c r="L3747">
        <f t="shared" si="236"/>
        <v>0</v>
      </c>
      <c r="M3747">
        <f t="shared" si="237"/>
        <v>1</v>
      </c>
      <c r="N3747">
        <f t="shared" si="238"/>
        <v>0</v>
      </c>
      <c r="O3747" t="str">
        <f t="shared" si="239"/>
        <v>Proposta Ok</v>
      </c>
    </row>
    <row r="3748" spans="12:15" x14ac:dyDescent="0.25">
      <c r="L3748">
        <f t="shared" si="236"/>
        <v>0</v>
      </c>
      <c r="M3748">
        <f t="shared" si="237"/>
        <v>1</v>
      </c>
      <c r="N3748">
        <f t="shared" si="238"/>
        <v>0</v>
      </c>
      <c r="O3748" t="str">
        <f t="shared" si="239"/>
        <v>Proposta Ok</v>
      </c>
    </row>
    <row r="3749" spans="12:15" x14ac:dyDescent="0.25">
      <c r="L3749">
        <f t="shared" si="236"/>
        <v>0</v>
      </c>
      <c r="M3749">
        <f t="shared" si="237"/>
        <v>1</v>
      </c>
      <c r="N3749">
        <f t="shared" si="238"/>
        <v>0</v>
      </c>
      <c r="O3749" t="str">
        <f t="shared" si="239"/>
        <v>Proposta Ok</v>
      </c>
    </row>
    <row r="3750" spans="12:15" x14ac:dyDescent="0.25">
      <c r="L3750">
        <f t="shared" si="236"/>
        <v>0</v>
      </c>
      <c r="M3750">
        <f t="shared" si="237"/>
        <v>1</v>
      </c>
      <c r="N3750">
        <f t="shared" si="238"/>
        <v>0</v>
      </c>
      <c r="O3750" t="str">
        <f t="shared" si="239"/>
        <v>Proposta Ok</v>
      </c>
    </row>
    <row r="3751" spans="12:15" x14ac:dyDescent="0.25">
      <c r="L3751">
        <f t="shared" si="236"/>
        <v>0</v>
      </c>
      <c r="M3751">
        <f t="shared" si="237"/>
        <v>1</v>
      </c>
      <c r="N3751">
        <f t="shared" si="238"/>
        <v>0</v>
      </c>
      <c r="O3751" t="str">
        <f t="shared" si="239"/>
        <v>Proposta Ok</v>
      </c>
    </row>
    <row r="3752" spans="12:15" x14ac:dyDescent="0.25">
      <c r="L3752">
        <f t="shared" si="236"/>
        <v>0</v>
      </c>
      <c r="M3752">
        <f t="shared" si="237"/>
        <v>1</v>
      </c>
      <c r="N3752">
        <f t="shared" si="238"/>
        <v>0</v>
      </c>
      <c r="O3752" t="str">
        <f t="shared" si="239"/>
        <v>Proposta Ok</v>
      </c>
    </row>
    <row r="3753" spans="12:15" x14ac:dyDescent="0.25">
      <c r="L3753">
        <f t="shared" si="236"/>
        <v>0</v>
      </c>
      <c r="M3753">
        <f t="shared" si="237"/>
        <v>1</v>
      </c>
      <c r="N3753">
        <f t="shared" si="238"/>
        <v>0</v>
      </c>
      <c r="O3753" t="str">
        <f t="shared" si="239"/>
        <v>Proposta Ok</v>
      </c>
    </row>
    <row r="3754" spans="12:15" x14ac:dyDescent="0.25">
      <c r="L3754">
        <f t="shared" si="236"/>
        <v>0</v>
      </c>
      <c r="M3754">
        <f t="shared" si="237"/>
        <v>1</v>
      </c>
      <c r="N3754">
        <f t="shared" si="238"/>
        <v>0</v>
      </c>
      <c r="O3754" t="str">
        <f t="shared" si="239"/>
        <v>Proposta Ok</v>
      </c>
    </row>
    <row r="3755" spans="12:15" x14ac:dyDescent="0.25">
      <c r="L3755">
        <f t="shared" si="236"/>
        <v>0</v>
      </c>
      <c r="M3755">
        <f t="shared" si="237"/>
        <v>1</v>
      </c>
      <c r="N3755">
        <f t="shared" si="238"/>
        <v>0</v>
      </c>
      <c r="O3755" t="str">
        <f t="shared" si="239"/>
        <v>Proposta Ok</v>
      </c>
    </row>
    <row r="3756" spans="12:15" x14ac:dyDescent="0.25">
      <c r="L3756">
        <f t="shared" si="236"/>
        <v>0</v>
      </c>
      <c r="M3756">
        <f t="shared" si="237"/>
        <v>1</v>
      </c>
      <c r="N3756">
        <f t="shared" si="238"/>
        <v>0</v>
      </c>
      <c r="O3756" t="str">
        <f t="shared" si="239"/>
        <v>Proposta Ok</v>
      </c>
    </row>
    <row r="3757" spans="12:15" x14ac:dyDescent="0.25">
      <c r="L3757">
        <f t="shared" si="236"/>
        <v>0</v>
      </c>
      <c r="M3757">
        <f t="shared" si="237"/>
        <v>1</v>
      </c>
      <c r="N3757">
        <f t="shared" si="238"/>
        <v>0</v>
      </c>
      <c r="O3757" t="str">
        <f t="shared" si="239"/>
        <v>Proposta Ok</v>
      </c>
    </row>
    <row r="3758" spans="12:15" x14ac:dyDescent="0.25">
      <c r="L3758">
        <f t="shared" si="236"/>
        <v>0</v>
      </c>
      <c r="M3758">
        <f t="shared" si="237"/>
        <v>1</v>
      </c>
      <c r="N3758">
        <f t="shared" si="238"/>
        <v>0</v>
      </c>
      <c r="O3758" t="str">
        <f t="shared" si="239"/>
        <v>Proposta Ok</v>
      </c>
    </row>
    <row r="3759" spans="12:15" x14ac:dyDescent="0.25">
      <c r="L3759">
        <f t="shared" si="236"/>
        <v>0</v>
      </c>
      <c r="M3759">
        <f t="shared" si="237"/>
        <v>1</v>
      </c>
      <c r="N3759">
        <f t="shared" si="238"/>
        <v>0</v>
      </c>
      <c r="O3759" t="str">
        <f t="shared" si="239"/>
        <v>Proposta Ok</v>
      </c>
    </row>
    <row r="3760" spans="12:15" x14ac:dyDescent="0.25">
      <c r="L3760">
        <f t="shared" si="236"/>
        <v>0</v>
      </c>
      <c r="M3760">
        <f t="shared" si="237"/>
        <v>1</v>
      </c>
      <c r="N3760">
        <f t="shared" si="238"/>
        <v>0</v>
      </c>
      <c r="O3760" t="str">
        <f t="shared" si="239"/>
        <v>Proposta Ok</v>
      </c>
    </row>
    <row r="3761" spans="12:15" x14ac:dyDescent="0.25">
      <c r="L3761">
        <f t="shared" si="236"/>
        <v>0</v>
      </c>
      <c r="M3761">
        <f t="shared" si="237"/>
        <v>1</v>
      </c>
      <c r="N3761">
        <f t="shared" si="238"/>
        <v>0</v>
      </c>
      <c r="O3761" t="str">
        <f t="shared" si="239"/>
        <v>Proposta Ok</v>
      </c>
    </row>
    <row r="3762" spans="12:15" x14ac:dyDescent="0.25">
      <c r="L3762">
        <f t="shared" si="236"/>
        <v>0</v>
      </c>
      <c r="M3762">
        <f t="shared" si="237"/>
        <v>1</v>
      </c>
      <c r="N3762">
        <f t="shared" si="238"/>
        <v>0</v>
      </c>
      <c r="O3762" t="str">
        <f t="shared" si="239"/>
        <v>Proposta Ok</v>
      </c>
    </row>
    <row r="3763" spans="12:15" x14ac:dyDescent="0.25">
      <c r="L3763">
        <f t="shared" si="236"/>
        <v>0</v>
      </c>
      <c r="M3763">
        <f t="shared" si="237"/>
        <v>1</v>
      </c>
      <c r="N3763">
        <f t="shared" si="238"/>
        <v>0</v>
      </c>
      <c r="O3763" t="str">
        <f t="shared" si="239"/>
        <v>Proposta Ok</v>
      </c>
    </row>
    <row r="3764" spans="12:15" x14ac:dyDescent="0.25">
      <c r="L3764">
        <f t="shared" si="236"/>
        <v>0</v>
      </c>
      <c r="M3764">
        <f t="shared" si="237"/>
        <v>1</v>
      </c>
      <c r="N3764">
        <f t="shared" si="238"/>
        <v>0</v>
      </c>
      <c r="O3764" t="str">
        <f t="shared" si="239"/>
        <v>Proposta Ok</v>
      </c>
    </row>
    <row r="3765" spans="12:15" x14ac:dyDescent="0.25">
      <c r="L3765">
        <f t="shared" si="236"/>
        <v>0</v>
      </c>
      <c r="M3765">
        <f t="shared" si="237"/>
        <v>1</v>
      </c>
      <c r="N3765">
        <f t="shared" si="238"/>
        <v>0</v>
      </c>
      <c r="O3765" t="str">
        <f t="shared" si="239"/>
        <v>Proposta Ok</v>
      </c>
    </row>
    <row r="3766" spans="12:15" x14ac:dyDescent="0.25">
      <c r="L3766">
        <f t="shared" si="236"/>
        <v>0</v>
      </c>
      <c r="M3766">
        <f t="shared" si="237"/>
        <v>1</v>
      </c>
      <c r="N3766">
        <f t="shared" si="238"/>
        <v>0</v>
      </c>
      <c r="O3766" t="str">
        <f t="shared" si="239"/>
        <v>Proposta Ok</v>
      </c>
    </row>
    <row r="3767" spans="12:15" x14ac:dyDescent="0.25">
      <c r="L3767">
        <f t="shared" si="236"/>
        <v>0</v>
      </c>
      <c r="M3767">
        <f t="shared" si="237"/>
        <v>1</v>
      </c>
      <c r="N3767">
        <f t="shared" si="238"/>
        <v>0</v>
      </c>
      <c r="O3767" t="str">
        <f t="shared" si="239"/>
        <v>Proposta Ok</v>
      </c>
    </row>
    <row r="3768" spans="12:15" x14ac:dyDescent="0.25">
      <c r="L3768">
        <f t="shared" si="236"/>
        <v>0</v>
      </c>
      <c r="M3768">
        <f t="shared" si="237"/>
        <v>1</v>
      </c>
      <c r="N3768">
        <f t="shared" si="238"/>
        <v>0</v>
      </c>
      <c r="O3768" t="str">
        <f t="shared" si="239"/>
        <v>Proposta Ok</v>
      </c>
    </row>
    <row r="3769" spans="12:15" x14ac:dyDescent="0.25">
      <c r="L3769">
        <f t="shared" si="236"/>
        <v>0</v>
      </c>
      <c r="M3769">
        <f t="shared" si="237"/>
        <v>1</v>
      </c>
      <c r="N3769">
        <f t="shared" si="238"/>
        <v>0</v>
      </c>
      <c r="O3769" t="str">
        <f t="shared" si="239"/>
        <v>Proposta Ok</v>
      </c>
    </row>
    <row r="3770" spans="12:15" x14ac:dyDescent="0.25">
      <c r="L3770">
        <f t="shared" si="236"/>
        <v>0</v>
      </c>
      <c r="M3770">
        <f t="shared" si="237"/>
        <v>1</v>
      </c>
      <c r="N3770">
        <f t="shared" si="238"/>
        <v>0</v>
      </c>
      <c r="O3770" t="str">
        <f t="shared" si="239"/>
        <v>Proposta Ok</v>
      </c>
    </row>
    <row r="3771" spans="12:15" x14ac:dyDescent="0.25">
      <c r="L3771">
        <f t="shared" si="236"/>
        <v>0</v>
      </c>
      <c r="M3771">
        <f t="shared" si="237"/>
        <v>1</v>
      </c>
      <c r="N3771">
        <f t="shared" si="238"/>
        <v>0</v>
      </c>
      <c r="O3771" t="str">
        <f t="shared" si="239"/>
        <v>Proposta Ok</v>
      </c>
    </row>
    <row r="3772" spans="12:15" x14ac:dyDescent="0.25">
      <c r="L3772">
        <f t="shared" si="236"/>
        <v>0</v>
      </c>
      <c r="M3772">
        <f t="shared" si="237"/>
        <v>1</v>
      </c>
      <c r="N3772">
        <f t="shared" si="238"/>
        <v>0</v>
      </c>
      <c r="O3772" t="str">
        <f t="shared" si="239"/>
        <v>Proposta Ok</v>
      </c>
    </row>
    <row r="3773" spans="12:15" x14ac:dyDescent="0.25">
      <c r="L3773">
        <f t="shared" si="236"/>
        <v>0</v>
      </c>
      <c r="M3773">
        <f t="shared" si="237"/>
        <v>1</v>
      </c>
      <c r="N3773">
        <f t="shared" si="238"/>
        <v>0</v>
      </c>
      <c r="O3773" t="str">
        <f t="shared" si="239"/>
        <v>Proposta Ok</v>
      </c>
    </row>
    <row r="3774" spans="12:15" x14ac:dyDescent="0.25">
      <c r="L3774">
        <f t="shared" si="236"/>
        <v>0</v>
      </c>
      <c r="M3774">
        <f t="shared" si="237"/>
        <v>1</v>
      </c>
      <c r="N3774">
        <f t="shared" si="238"/>
        <v>0</v>
      </c>
      <c r="O3774" t="str">
        <f t="shared" si="239"/>
        <v>Proposta Ok</v>
      </c>
    </row>
    <row r="3775" spans="12:15" x14ac:dyDescent="0.25">
      <c r="L3775">
        <f t="shared" si="236"/>
        <v>0</v>
      </c>
      <c r="M3775">
        <f t="shared" si="237"/>
        <v>1</v>
      </c>
      <c r="N3775">
        <f t="shared" si="238"/>
        <v>0</v>
      </c>
      <c r="O3775" t="str">
        <f t="shared" si="239"/>
        <v>Proposta Ok</v>
      </c>
    </row>
    <row r="3776" spans="12:15" x14ac:dyDescent="0.25">
      <c r="L3776">
        <f t="shared" si="236"/>
        <v>0</v>
      </c>
      <c r="M3776">
        <f t="shared" si="237"/>
        <v>1</v>
      </c>
      <c r="N3776">
        <f t="shared" si="238"/>
        <v>0</v>
      </c>
      <c r="O3776" t="str">
        <f t="shared" si="239"/>
        <v>Proposta Ok</v>
      </c>
    </row>
    <row r="3777" spans="12:15" x14ac:dyDescent="0.25">
      <c r="L3777">
        <f t="shared" si="236"/>
        <v>0</v>
      </c>
      <c r="M3777">
        <f t="shared" si="237"/>
        <v>1</v>
      </c>
      <c r="N3777">
        <f t="shared" si="238"/>
        <v>0</v>
      </c>
      <c r="O3777" t="str">
        <f t="shared" si="239"/>
        <v>Proposta Ok</v>
      </c>
    </row>
    <row r="3778" spans="12:15" x14ac:dyDescent="0.25">
      <c r="L3778">
        <f t="shared" si="236"/>
        <v>0</v>
      </c>
      <c r="M3778">
        <f t="shared" si="237"/>
        <v>1</v>
      </c>
      <c r="N3778">
        <f t="shared" si="238"/>
        <v>0</v>
      </c>
      <c r="O3778" t="str">
        <f t="shared" si="239"/>
        <v>Proposta Ok</v>
      </c>
    </row>
    <row r="3779" spans="12:15" x14ac:dyDescent="0.25">
      <c r="L3779">
        <f t="shared" si="236"/>
        <v>0</v>
      </c>
      <c r="M3779">
        <f t="shared" si="237"/>
        <v>1</v>
      </c>
      <c r="N3779">
        <f t="shared" si="238"/>
        <v>0</v>
      </c>
      <c r="O3779" t="str">
        <f t="shared" si="239"/>
        <v>Proposta Ok</v>
      </c>
    </row>
    <row r="3780" spans="12:15" x14ac:dyDescent="0.25">
      <c r="L3780">
        <f t="shared" si="236"/>
        <v>0</v>
      </c>
      <c r="M3780">
        <f t="shared" si="237"/>
        <v>1</v>
      </c>
      <c r="N3780">
        <f t="shared" si="238"/>
        <v>0</v>
      </c>
      <c r="O3780" t="str">
        <f t="shared" si="239"/>
        <v>Proposta Ok</v>
      </c>
    </row>
    <row r="3781" spans="12:15" x14ac:dyDescent="0.25">
      <c r="L3781">
        <f t="shared" si="236"/>
        <v>0</v>
      </c>
      <c r="M3781">
        <f t="shared" si="237"/>
        <v>1</v>
      </c>
      <c r="N3781">
        <f t="shared" si="238"/>
        <v>0</v>
      </c>
      <c r="O3781" t="str">
        <f t="shared" si="239"/>
        <v>Proposta Ok</v>
      </c>
    </row>
    <row r="3782" spans="12:15" x14ac:dyDescent="0.25">
      <c r="L3782">
        <f t="shared" si="236"/>
        <v>0</v>
      </c>
      <c r="M3782">
        <f t="shared" si="237"/>
        <v>1</v>
      </c>
      <c r="N3782">
        <f t="shared" si="238"/>
        <v>0</v>
      </c>
      <c r="O3782" t="str">
        <f t="shared" si="239"/>
        <v>Proposta Ok</v>
      </c>
    </row>
    <row r="3783" spans="12:15" x14ac:dyDescent="0.25">
      <c r="L3783">
        <f t="shared" si="236"/>
        <v>0</v>
      </c>
      <c r="M3783">
        <f t="shared" si="237"/>
        <v>1</v>
      </c>
      <c r="N3783">
        <f t="shared" si="238"/>
        <v>0</v>
      </c>
      <c r="O3783" t="str">
        <f t="shared" si="239"/>
        <v>Proposta Ok</v>
      </c>
    </row>
    <row r="3784" spans="12:15" x14ac:dyDescent="0.25">
      <c r="L3784">
        <f t="shared" si="236"/>
        <v>0</v>
      </c>
      <c r="M3784">
        <f t="shared" si="237"/>
        <v>1</v>
      </c>
      <c r="N3784">
        <f t="shared" si="238"/>
        <v>0</v>
      </c>
      <c r="O3784" t="str">
        <f t="shared" si="239"/>
        <v>Proposta Ok</v>
      </c>
    </row>
    <row r="3785" spans="12:15" x14ac:dyDescent="0.25">
      <c r="L3785">
        <f t="shared" si="236"/>
        <v>0</v>
      </c>
      <c r="M3785">
        <f t="shared" si="237"/>
        <v>1</v>
      </c>
      <c r="N3785">
        <f t="shared" si="238"/>
        <v>0</v>
      </c>
      <c r="O3785" t="str">
        <f t="shared" si="239"/>
        <v>Proposta Ok</v>
      </c>
    </row>
    <row r="3786" spans="12:15" x14ac:dyDescent="0.25">
      <c r="L3786">
        <f t="shared" si="236"/>
        <v>0</v>
      </c>
      <c r="M3786">
        <f t="shared" si="237"/>
        <v>1</v>
      </c>
      <c r="N3786">
        <f t="shared" si="238"/>
        <v>0</v>
      </c>
      <c r="O3786" t="str">
        <f t="shared" si="239"/>
        <v>Proposta Ok</v>
      </c>
    </row>
    <row r="3787" spans="12:15" x14ac:dyDescent="0.25">
      <c r="L3787">
        <f t="shared" si="236"/>
        <v>0</v>
      </c>
      <c r="M3787">
        <f t="shared" si="237"/>
        <v>1</v>
      </c>
      <c r="N3787">
        <f t="shared" si="238"/>
        <v>0</v>
      </c>
      <c r="O3787" t="str">
        <f t="shared" si="239"/>
        <v>Proposta Ok</v>
      </c>
    </row>
    <row r="3788" spans="12:15" x14ac:dyDescent="0.25">
      <c r="L3788">
        <f t="shared" si="236"/>
        <v>0</v>
      </c>
      <c r="M3788">
        <f t="shared" si="237"/>
        <v>1</v>
      </c>
      <c r="N3788">
        <f t="shared" si="238"/>
        <v>0</v>
      </c>
      <c r="O3788" t="str">
        <f t="shared" si="239"/>
        <v>Proposta Ok</v>
      </c>
    </row>
    <row r="3789" spans="12:15" x14ac:dyDescent="0.25">
      <c r="L3789">
        <f t="shared" si="236"/>
        <v>0</v>
      </c>
      <c r="M3789">
        <f t="shared" si="237"/>
        <v>1</v>
      </c>
      <c r="N3789">
        <f t="shared" si="238"/>
        <v>0</v>
      </c>
      <c r="O3789" t="str">
        <f t="shared" si="239"/>
        <v>Proposta Ok</v>
      </c>
    </row>
    <row r="3790" spans="12:15" x14ac:dyDescent="0.25">
      <c r="L3790">
        <f t="shared" si="236"/>
        <v>0</v>
      </c>
      <c r="M3790">
        <f t="shared" si="237"/>
        <v>1</v>
      </c>
      <c r="N3790">
        <f t="shared" si="238"/>
        <v>0</v>
      </c>
      <c r="O3790" t="str">
        <f t="shared" si="239"/>
        <v>Proposta Ok</v>
      </c>
    </row>
    <row r="3791" spans="12:15" x14ac:dyDescent="0.25">
      <c r="L3791">
        <f t="shared" si="236"/>
        <v>0</v>
      </c>
      <c r="M3791">
        <f t="shared" si="237"/>
        <v>1</v>
      </c>
      <c r="N3791">
        <f t="shared" si="238"/>
        <v>0</v>
      </c>
      <c r="O3791" t="str">
        <f t="shared" si="239"/>
        <v>Proposta Ok</v>
      </c>
    </row>
    <row r="3792" spans="12:15" x14ac:dyDescent="0.25">
      <c r="L3792">
        <f t="shared" si="236"/>
        <v>0</v>
      </c>
      <c r="M3792">
        <f t="shared" si="237"/>
        <v>1</v>
      </c>
      <c r="N3792">
        <f t="shared" si="238"/>
        <v>0</v>
      </c>
      <c r="O3792" t="str">
        <f t="shared" si="239"/>
        <v>Proposta Ok</v>
      </c>
    </row>
    <row r="3793" spans="12:15" x14ac:dyDescent="0.25">
      <c r="L3793">
        <f t="shared" si="236"/>
        <v>0</v>
      </c>
      <c r="M3793">
        <f t="shared" si="237"/>
        <v>1</v>
      </c>
      <c r="N3793">
        <f t="shared" si="238"/>
        <v>0</v>
      </c>
      <c r="O3793" t="str">
        <f t="shared" si="239"/>
        <v>Proposta Ok</v>
      </c>
    </row>
    <row r="3794" spans="12:15" x14ac:dyDescent="0.25">
      <c r="L3794">
        <f t="shared" si="236"/>
        <v>0</v>
      </c>
      <c r="M3794">
        <f t="shared" si="237"/>
        <v>1</v>
      </c>
      <c r="N3794">
        <f t="shared" si="238"/>
        <v>0</v>
      </c>
      <c r="O3794" t="str">
        <f t="shared" si="239"/>
        <v>Proposta Ok</v>
      </c>
    </row>
    <row r="3795" spans="12:15" x14ac:dyDescent="0.25">
      <c r="L3795">
        <f t="shared" si="236"/>
        <v>0</v>
      </c>
      <c r="M3795">
        <f t="shared" si="237"/>
        <v>1</v>
      </c>
      <c r="N3795">
        <f t="shared" si="238"/>
        <v>0</v>
      </c>
      <c r="O3795" t="str">
        <f t="shared" si="239"/>
        <v>Proposta Ok</v>
      </c>
    </row>
    <row r="3796" spans="12:15" x14ac:dyDescent="0.25">
      <c r="L3796">
        <f t="shared" si="236"/>
        <v>0</v>
      </c>
      <c r="M3796">
        <f t="shared" si="237"/>
        <v>1</v>
      </c>
      <c r="N3796">
        <f t="shared" si="238"/>
        <v>0</v>
      </c>
      <c r="O3796" t="str">
        <f t="shared" si="239"/>
        <v>Proposta Ok</v>
      </c>
    </row>
    <row r="3797" spans="12:15" x14ac:dyDescent="0.25">
      <c r="L3797">
        <f t="shared" si="236"/>
        <v>0</v>
      </c>
      <c r="M3797">
        <f t="shared" si="237"/>
        <v>1</v>
      </c>
      <c r="N3797">
        <f t="shared" si="238"/>
        <v>0</v>
      </c>
      <c r="O3797" t="str">
        <f t="shared" si="239"/>
        <v>Proposta Ok</v>
      </c>
    </row>
    <row r="3798" spans="12:15" x14ac:dyDescent="0.25">
      <c r="L3798">
        <f t="shared" si="236"/>
        <v>0</v>
      </c>
      <c r="M3798">
        <f t="shared" si="237"/>
        <v>1</v>
      </c>
      <c r="N3798">
        <f t="shared" si="238"/>
        <v>0</v>
      </c>
      <c r="O3798" t="str">
        <f t="shared" si="239"/>
        <v>Proposta Ok</v>
      </c>
    </row>
    <row r="3799" spans="12:15" x14ac:dyDescent="0.25">
      <c r="L3799">
        <f t="shared" si="236"/>
        <v>0</v>
      </c>
      <c r="M3799">
        <f t="shared" si="237"/>
        <v>1</v>
      </c>
      <c r="N3799">
        <f t="shared" si="238"/>
        <v>0</v>
      </c>
      <c r="O3799" t="str">
        <f t="shared" si="239"/>
        <v>Proposta Ok</v>
      </c>
    </row>
    <row r="3800" spans="12:15" x14ac:dyDescent="0.25">
      <c r="L3800">
        <f t="shared" si="236"/>
        <v>0</v>
      </c>
      <c r="M3800">
        <f t="shared" si="237"/>
        <v>1</v>
      </c>
      <c r="N3800">
        <f t="shared" si="238"/>
        <v>0</v>
      </c>
      <c r="O3800" t="str">
        <f t="shared" si="239"/>
        <v>Proposta Ok</v>
      </c>
    </row>
    <row r="3801" spans="12:15" x14ac:dyDescent="0.25">
      <c r="L3801">
        <f t="shared" si="236"/>
        <v>0</v>
      </c>
      <c r="M3801">
        <f t="shared" si="237"/>
        <v>1</v>
      </c>
      <c r="N3801">
        <f t="shared" si="238"/>
        <v>0</v>
      </c>
      <c r="O3801" t="str">
        <f t="shared" si="239"/>
        <v>Proposta Ok</v>
      </c>
    </row>
    <row r="3802" spans="12:15" x14ac:dyDescent="0.25">
      <c r="L3802">
        <f t="shared" si="236"/>
        <v>0</v>
      </c>
      <c r="M3802">
        <f t="shared" si="237"/>
        <v>1</v>
      </c>
      <c r="N3802">
        <f t="shared" si="238"/>
        <v>0</v>
      </c>
      <c r="O3802" t="str">
        <f t="shared" si="239"/>
        <v>Proposta Ok</v>
      </c>
    </row>
    <row r="3803" spans="12:15" x14ac:dyDescent="0.25">
      <c r="L3803">
        <f t="shared" ref="L3803:L3866" si="240">IF(OR(I3803="Termo OK (Exceção)",I3803="Termo OK"),1,0)</f>
        <v>0</v>
      </c>
      <c r="M3803">
        <f t="shared" ref="M3803:M3866" si="241">IF(OR(I3803="Termo OK (Exceção)",I3803="Termo OK"),0,1)</f>
        <v>1</v>
      </c>
      <c r="N3803">
        <f t="shared" ref="N3803:N3866" si="242">IF(J3803="SIM",1,0)</f>
        <v>0</v>
      </c>
      <c r="O3803" t="str">
        <f t="shared" ref="O3803:O3866" si="243">IF(SUMIFS(M:M,A:A,A3803)&gt;0,"Proposta não Ok","Proposta Ok")</f>
        <v>Proposta Ok</v>
      </c>
    </row>
    <row r="3804" spans="12:15" x14ac:dyDescent="0.25">
      <c r="L3804">
        <f t="shared" si="240"/>
        <v>0</v>
      </c>
      <c r="M3804">
        <f t="shared" si="241"/>
        <v>1</v>
      </c>
      <c r="N3804">
        <f t="shared" si="242"/>
        <v>0</v>
      </c>
      <c r="O3804" t="str">
        <f t="shared" si="243"/>
        <v>Proposta Ok</v>
      </c>
    </row>
    <row r="3805" spans="12:15" x14ac:dyDescent="0.25">
      <c r="L3805">
        <f t="shared" si="240"/>
        <v>0</v>
      </c>
      <c r="M3805">
        <f t="shared" si="241"/>
        <v>1</v>
      </c>
      <c r="N3805">
        <f t="shared" si="242"/>
        <v>0</v>
      </c>
      <c r="O3805" t="str">
        <f t="shared" si="243"/>
        <v>Proposta Ok</v>
      </c>
    </row>
    <row r="3806" spans="12:15" x14ac:dyDescent="0.25">
      <c r="L3806">
        <f t="shared" si="240"/>
        <v>0</v>
      </c>
      <c r="M3806">
        <f t="shared" si="241"/>
        <v>1</v>
      </c>
      <c r="N3806">
        <f t="shared" si="242"/>
        <v>0</v>
      </c>
      <c r="O3806" t="str">
        <f t="shared" si="243"/>
        <v>Proposta Ok</v>
      </c>
    </row>
    <row r="3807" spans="12:15" x14ac:dyDescent="0.25">
      <c r="L3807">
        <f t="shared" si="240"/>
        <v>0</v>
      </c>
      <c r="M3807">
        <f t="shared" si="241"/>
        <v>1</v>
      </c>
      <c r="N3807">
        <f t="shared" si="242"/>
        <v>0</v>
      </c>
      <c r="O3807" t="str">
        <f t="shared" si="243"/>
        <v>Proposta Ok</v>
      </c>
    </row>
    <row r="3808" spans="12:15" x14ac:dyDescent="0.25">
      <c r="L3808">
        <f t="shared" si="240"/>
        <v>0</v>
      </c>
      <c r="M3808">
        <f t="shared" si="241"/>
        <v>1</v>
      </c>
      <c r="N3808">
        <f t="shared" si="242"/>
        <v>0</v>
      </c>
      <c r="O3808" t="str">
        <f t="shared" si="243"/>
        <v>Proposta Ok</v>
      </c>
    </row>
    <row r="3809" spans="12:15" x14ac:dyDescent="0.25">
      <c r="L3809">
        <f t="shared" si="240"/>
        <v>0</v>
      </c>
      <c r="M3809">
        <f t="shared" si="241"/>
        <v>1</v>
      </c>
      <c r="N3809">
        <f t="shared" si="242"/>
        <v>0</v>
      </c>
      <c r="O3809" t="str">
        <f t="shared" si="243"/>
        <v>Proposta Ok</v>
      </c>
    </row>
    <row r="3810" spans="12:15" x14ac:dyDescent="0.25">
      <c r="L3810">
        <f t="shared" si="240"/>
        <v>0</v>
      </c>
      <c r="M3810">
        <f t="shared" si="241"/>
        <v>1</v>
      </c>
      <c r="N3810">
        <f t="shared" si="242"/>
        <v>0</v>
      </c>
      <c r="O3810" t="str">
        <f t="shared" si="243"/>
        <v>Proposta Ok</v>
      </c>
    </row>
    <row r="3811" spans="12:15" x14ac:dyDescent="0.25">
      <c r="L3811">
        <f t="shared" si="240"/>
        <v>0</v>
      </c>
      <c r="M3811">
        <f t="shared" si="241"/>
        <v>1</v>
      </c>
      <c r="N3811">
        <f t="shared" si="242"/>
        <v>0</v>
      </c>
      <c r="O3811" t="str">
        <f t="shared" si="243"/>
        <v>Proposta Ok</v>
      </c>
    </row>
    <row r="3812" spans="12:15" x14ac:dyDescent="0.25">
      <c r="L3812">
        <f t="shared" si="240"/>
        <v>0</v>
      </c>
      <c r="M3812">
        <f t="shared" si="241"/>
        <v>1</v>
      </c>
      <c r="N3812">
        <f t="shared" si="242"/>
        <v>0</v>
      </c>
      <c r="O3812" t="str">
        <f t="shared" si="243"/>
        <v>Proposta Ok</v>
      </c>
    </row>
    <row r="3813" spans="12:15" x14ac:dyDescent="0.25">
      <c r="L3813">
        <f t="shared" si="240"/>
        <v>0</v>
      </c>
      <c r="M3813">
        <f t="shared" si="241"/>
        <v>1</v>
      </c>
      <c r="N3813">
        <f t="shared" si="242"/>
        <v>0</v>
      </c>
      <c r="O3813" t="str">
        <f t="shared" si="243"/>
        <v>Proposta Ok</v>
      </c>
    </row>
    <row r="3814" spans="12:15" x14ac:dyDescent="0.25">
      <c r="L3814">
        <f t="shared" si="240"/>
        <v>0</v>
      </c>
      <c r="M3814">
        <f t="shared" si="241"/>
        <v>1</v>
      </c>
      <c r="N3814">
        <f t="shared" si="242"/>
        <v>0</v>
      </c>
      <c r="O3814" t="str">
        <f t="shared" si="243"/>
        <v>Proposta Ok</v>
      </c>
    </row>
    <row r="3815" spans="12:15" x14ac:dyDescent="0.25">
      <c r="L3815">
        <f t="shared" si="240"/>
        <v>0</v>
      </c>
      <c r="M3815">
        <f t="shared" si="241"/>
        <v>1</v>
      </c>
      <c r="N3815">
        <f t="shared" si="242"/>
        <v>0</v>
      </c>
      <c r="O3815" t="str">
        <f t="shared" si="243"/>
        <v>Proposta Ok</v>
      </c>
    </row>
    <row r="3816" spans="12:15" x14ac:dyDescent="0.25">
      <c r="L3816">
        <f t="shared" si="240"/>
        <v>0</v>
      </c>
      <c r="M3816">
        <f t="shared" si="241"/>
        <v>1</v>
      </c>
      <c r="N3816">
        <f t="shared" si="242"/>
        <v>0</v>
      </c>
      <c r="O3816" t="str">
        <f t="shared" si="243"/>
        <v>Proposta Ok</v>
      </c>
    </row>
    <row r="3817" spans="12:15" x14ac:dyDescent="0.25">
      <c r="L3817">
        <f t="shared" si="240"/>
        <v>0</v>
      </c>
      <c r="M3817">
        <f t="shared" si="241"/>
        <v>1</v>
      </c>
      <c r="N3817">
        <f t="shared" si="242"/>
        <v>0</v>
      </c>
      <c r="O3817" t="str">
        <f t="shared" si="243"/>
        <v>Proposta Ok</v>
      </c>
    </row>
    <row r="3818" spans="12:15" x14ac:dyDescent="0.25">
      <c r="L3818">
        <f t="shared" si="240"/>
        <v>0</v>
      </c>
      <c r="M3818">
        <f t="shared" si="241"/>
        <v>1</v>
      </c>
      <c r="N3818">
        <f t="shared" si="242"/>
        <v>0</v>
      </c>
      <c r="O3818" t="str">
        <f t="shared" si="243"/>
        <v>Proposta Ok</v>
      </c>
    </row>
    <row r="3819" spans="12:15" x14ac:dyDescent="0.25">
      <c r="L3819">
        <f t="shared" si="240"/>
        <v>0</v>
      </c>
      <c r="M3819">
        <f t="shared" si="241"/>
        <v>1</v>
      </c>
      <c r="N3819">
        <f t="shared" si="242"/>
        <v>0</v>
      </c>
      <c r="O3819" t="str">
        <f t="shared" si="243"/>
        <v>Proposta Ok</v>
      </c>
    </row>
    <row r="3820" spans="12:15" x14ac:dyDescent="0.25">
      <c r="L3820">
        <f t="shared" si="240"/>
        <v>0</v>
      </c>
      <c r="M3820">
        <f t="shared" si="241"/>
        <v>1</v>
      </c>
      <c r="N3820">
        <f t="shared" si="242"/>
        <v>0</v>
      </c>
      <c r="O3820" t="str">
        <f t="shared" si="243"/>
        <v>Proposta Ok</v>
      </c>
    </row>
    <row r="3821" spans="12:15" x14ac:dyDescent="0.25">
      <c r="L3821">
        <f t="shared" si="240"/>
        <v>0</v>
      </c>
      <c r="M3821">
        <f t="shared" si="241"/>
        <v>1</v>
      </c>
      <c r="N3821">
        <f t="shared" si="242"/>
        <v>0</v>
      </c>
      <c r="O3821" t="str">
        <f t="shared" si="243"/>
        <v>Proposta Ok</v>
      </c>
    </row>
    <row r="3822" spans="12:15" x14ac:dyDescent="0.25">
      <c r="L3822">
        <f t="shared" si="240"/>
        <v>0</v>
      </c>
      <c r="M3822">
        <f t="shared" si="241"/>
        <v>1</v>
      </c>
      <c r="N3822">
        <f t="shared" si="242"/>
        <v>0</v>
      </c>
      <c r="O3822" t="str">
        <f t="shared" si="243"/>
        <v>Proposta Ok</v>
      </c>
    </row>
    <row r="3823" spans="12:15" x14ac:dyDescent="0.25">
      <c r="L3823">
        <f t="shared" si="240"/>
        <v>0</v>
      </c>
      <c r="M3823">
        <f t="shared" si="241"/>
        <v>1</v>
      </c>
      <c r="N3823">
        <f t="shared" si="242"/>
        <v>0</v>
      </c>
      <c r="O3823" t="str">
        <f t="shared" si="243"/>
        <v>Proposta Ok</v>
      </c>
    </row>
    <row r="3824" spans="12:15" x14ac:dyDescent="0.25">
      <c r="L3824">
        <f t="shared" si="240"/>
        <v>0</v>
      </c>
      <c r="M3824">
        <f t="shared" si="241"/>
        <v>1</v>
      </c>
      <c r="N3824">
        <f t="shared" si="242"/>
        <v>0</v>
      </c>
      <c r="O3824" t="str">
        <f t="shared" si="243"/>
        <v>Proposta Ok</v>
      </c>
    </row>
    <row r="3825" spans="12:15" x14ac:dyDescent="0.25">
      <c r="L3825">
        <f t="shared" si="240"/>
        <v>0</v>
      </c>
      <c r="M3825">
        <f t="shared" si="241"/>
        <v>1</v>
      </c>
      <c r="N3825">
        <f t="shared" si="242"/>
        <v>0</v>
      </c>
      <c r="O3825" t="str">
        <f t="shared" si="243"/>
        <v>Proposta Ok</v>
      </c>
    </row>
    <row r="3826" spans="12:15" x14ac:dyDescent="0.25">
      <c r="L3826">
        <f t="shared" si="240"/>
        <v>0</v>
      </c>
      <c r="M3826">
        <f t="shared" si="241"/>
        <v>1</v>
      </c>
      <c r="N3826">
        <f t="shared" si="242"/>
        <v>0</v>
      </c>
      <c r="O3826" t="str">
        <f t="shared" si="243"/>
        <v>Proposta Ok</v>
      </c>
    </row>
    <row r="3827" spans="12:15" x14ac:dyDescent="0.25">
      <c r="L3827">
        <f t="shared" si="240"/>
        <v>0</v>
      </c>
      <c r="M3827">
        <f t="shared" si="241"/>
        <v>1</v>
      </c>
      <c r="N3827">
        <f t="shared" si="242"/>
        <v>0</v>
      </c>
      <c r="O3827" t="str">
        <f t="shared" si="243"/>
        <v>Proposta Ok</v>
      </c>
    </row>
    <row r="3828" spans="12:15" x14ac:dyDescent="0.25">
      <c r="L3828">
        <f t="shared" si="240"/>
        <v>0</v>
      </c>
      <c r="M3828">
        <f t="shared" si="241"/>
        <v>1</v>
      </c>
      <c r="N3828">
        <f t="shared" si="242"/>
        <v>0</v>
      </c>
      <c r="O3828" t="str">
        <f t="shared" si="243"/>
        <v>Proposta Ok</v>
      </c>
    </row>
    <row r="3829" spans="12:15" x14ac:dyDescent="0.25">
      <c r="L3829">
        <f t="shared" si="240"/>
        <v>0</v>
      </c>
      <c r="M3829">
        <f t="shared" si="241"/>
        <v>1</v>
      </c>
      <c r="N3829">
        <f t="shared" si="242"/>
        <v>0</v>
      </c>
      <c r="O3829" t="str">
        <f t="shared" si="243"/>
        <v>Proposta Ok</v>
      </c>
    </row>
    <row r="3830" spans="12:15" x14ac:dyDescent="0.25">
      <c r="L3830">
        <f t="shared" si="240"/>
        <v>0</v>
      </c>
      <c r="M3830">
        <f t="shared" si="241"/>
        <v>1</v>
      </c>
      <c r="N3830">
        <f t="shared" si="242"/>
        <v>0</v>
      </c>
      <c r="O3830" t="str">
        <f t="shared" si="243"/>
        <v>Proposta Ok</v>
      </c>
    </row>
    <row r="3831" spans="12:15" x14ac:dyDescent="0.25">
      <c r="L3831">
        <f t="shared" si="240"/>
        <v>0</v>
      </c>
      <c r="M3831">
        <f t="shared" si="241"/>
        <v>1</v>
      </c>
      <c r="N3831">
        <f t="shared" si="242"/>
        <v>0</v>
      </c>
      <c r="O3831" t="str">
        <f t="shared" si="243"/>
        <v>Proposta Ok</v>
      </c>
    </row>
    <row r="3832" spans="12:15" x14ac:dyDescent="0.25">
      <c r="L3832">
        <f t="shared" si="240"/>
        <v>0</v>
      </c>
      <c r="M3832">
        <f t="shared" si="241"/>
        <v>1</v>
      </c>
      <c r="N3832">
        <f t="shared" si="242"/>
        <v>0</v>
      </c>
      <c r="O3832" t="str">
        <f t="shared" si="243"/>
        <v>Proposta Ok</v>
      </c>
    </row>
    <row r="3833" spans="12:15" x14ac:dyDescent="0.25">
      <c r="L3833">
        <f t="shared" si="240"/>
        <v>0</v>
      </c>
      <c r="M3833">
        <f t="shared" si="241"/>
        <v>1</v>
      </c>
      <c r="N3833">
        <f t="shared" si="242"/>
        <v>0</v>
      </c>
      <c r="O3833" t="str">
        <f t="shared" si="243"/>
        <v>Proposta Ok</v>
      </c>
    </row>
    <row r="3834" spans="12:15" x14ac:dyDescent="0.25">
      <c r="L3834">
        <f t="shared" si="240"/>
        <v>0</v>
      </c>
      <c r="M3834">
        <f t="shared" si="241"/>
        <v>1</v>
      </c>
      <c r="N3834">
        <f t="shared" si="242"/>
        <v>0</v>
      </c>
      <c r="O3834" t="str">
        <f t="shared" si="243"/>
        <v>Proposta Ok</v>
      </c>
    </row>
    <row r="3835" spans="12:15" x14ac:dyDescent="0.25">
      <c r="L3835">
        <f t="shared" si="240"/>
        <v>0</v>
      </c>
      <c r="M3835">
        <f t="shared" si="241"/>
        <v>1</v>
      </c>
      <c r="N3835">
        <f t="shared" si="242"/>
        <v>0</v>
      </c>
      <c r="O3835" t="str">
        <f t="shared" si="243"/>
        <v>Proposta Ok</v>
      </c>
    </row>
    <row r="3836" spans="12:15" x14ac:dyDescent="0.25">
      <c r="L3836">
        <f t="shared" si="240"/>
        <v>0</v>
      </c>
      <c r="M3836">
        <f t="shared" si="241"/>
        <v>1</v>
      </c>
      <c r="N3836">
        <f t="shared" si="242"/>
        <v>0</v>
      </c>
      <c r="O3836" t="str">
        <f t="shared" si="243"/>
        <v>Proposta Ok</v>
      </c>
    </row>
    <row r="3837" spans="12:15" x14ac:dyDescent="0.25">
      <c r="L3837">
        <f t="shared" si="240"/>
        <v>0</v>
      </c>
      <c r="M3837">
        <f t="shared" si="241"/>
        <v>1</v>
      </c>
      <c r="N3837">
        <f t="shared" si="242"/>
        <v>0</v>
      </c>
      <c r="O3837" t="str">
        <f t="shared" si="243"/>
        <v>Proposta Ok</v>
      </c>
    </row>
    <row r="3838" spans="12:15" x14ac:dyDescent="0.25">
      <c r="L3838">
        <f t="shared" si="240"/>
        <v>0</v>
      </c>
      <c r="M3838">
        <f t="shared" si="241"/>
        <v>1</v>
      </c>
      <c r="N3838">
        <f t="shared" si="242"/>
        <v>0</v>
      </c>
      <c r="O3838" t="str">
        <f t="shared" si="243"/>
        <v>Proposta Ok</v>
      </c>
    </row>
    <row r="3839" spans="12:15" x14ac:dyDescent="0.25">
      <c r="L3839">
        <f t="shared" si="240"/>
        <v>0</v>
      </c>
      <c r="M3839">
        <f t="shared" si="241"/>
        <v>1</v>
      </c>
      <c r="N3839">
        <f t="shared" si="242"/>
        <v>0</v>
      </c>
      <c r="O3839" t="str">
        <f t="shared" si="243"/>
        <v>Proposta Ok</v>
      </c>
    </row>
    <row r="3840" spans="12:15" x14ac:dyDescent="0.25">
      <c r="L3840">
        <f t="shared" si="240"/>
        <v>0</v>
      </c>
      <c r="M3840">
        <f t="shared" si="241"/>
        <v>1</v>
      </c>
      <c r="N3840">
        <f t="shared" si="242"/>
        <v>0</v>
      </c>
      <c r="O3840" t="str">
        <f t="shared" si="243"/>
        <v>Proposta Ok</v>
      </c>
    </row>
    <row r="3841" spans="12:15" x14ac:dyDescent="0.25">
      <c r="L3841">
        <f t="shared" si="240"/>
        <v>0</v>
      </c>
      <c r="M3841">
        <f t="shared" si="241"/>
        <v>1</v>
      </c>
      <c r="N3841">
        <f t="shared" si="242"/>
        <v>0</v>
      </c>
      <c r="O3841" t="str">
        <f t="shared" si="243"/>
        <v>Proposta Ok</v>
      </c>
    </row>
    <row r="3842" spans="12:15" x14ac:dyDescent="0.25">
      <c r="L3842">
        <f t="shared" si="240"/>
        <v>0</v>
      </c>
      <c r="M3842">
        <f t="shared" si="241"/>
        <v>1</v>
      </c>
      <c r="N3842">
        <f t="shared" si="242"/>
        <v>0</v>
      </c>
      <c r="O3842" t="str">
        <f t="shared" si="243"/>
        <v>Proposta Ok</v>
      </c>
    </row>
    <row r="3843" spans="12:15" x14ac:dyDescent="0.25">
      <c r="L3843">
        <f t="shared" si="240"/>
        <v>0</v>
      </c>
      <c r="M3843">
        <f t="shared" si="241"/>
        <v>1</v>
      </c>
      <c r="N3843">
        <f t="shared" si="242"/>
        <v>0</v>
      </c>
      <c r="O3843" t="str">
        <f t="shared" si="243"/>
        <v>Proposta Ok</v>
      </c>
    </row>
    <row r="3844" spans="12:15" x14ac:dyDescent="0.25">
      <c r="L3844">
        <f t="shared" si="240"/>
        <v>0</v>
      </c>
      <c r="M3844">
        <f t="shared" si="241"/>
        <v>1</v>
      </c>
      <c r="N3844">
        <f t="shared" si="242"/>
        <v>0</v>
      </c>
      <c r="O3844" t="str">
        <f t="shared" si="243"/>
        <v>Proposta Ok</v>
      </c>
    </row>
    <row r="3845" spans="12:15" x14ac:dyDescent="0.25">
      <c r="L3845">
        <f t="shared" si="240"/>
        <v>0</v>
      </c>
      <c r="M3845">
        <f t="shared" si="241"/>
        <v>1</v>
      </c>
      <c r="N3845">
        <f t="shared" si="242"/>
        <v>0</v>
      </c>
      <c r="O3845" t="str">
        <f t="shared" si="243"/>
        <v>Proposta Ok</v>
      </c>
    </row>
    <row r="3846" spans="12:15" x14ac:dyDescent="0.25">
      <c r="L3846">
        <f t="shared" si="240"/>
        <v>0</v>
      </c>
      <c r="M3846">
        <f t="shared" si="241"/>
        <v>1</v>
      </c>
      <c r="N3846">
        <f t="shared" si="242"/>
        <v>0</v>
      </c>
      <c r="O3846" t="str">
        <f t="shared" si="243"/>
        <v>Proposta Ok</v>
      </c>
    </row>
    <row r="3847" spans="12:15" x14ac:dyDescent="0.25">
      <c r="L3847">
        <f t="shared" si="240"/>
        <v>0</v>
      </c>
      <c r="M3847">
        <f t="shared" si="241"/>
        <v>1</v>
      </c>
      <c r="N3847">
        <f t="shared" si="242"/>
        <v>0</v>
      </c>
      <c r="O3847" t="str">
        <f t="shared" si="243"/>
        <v>Proposta Ok</v>
      </c>
    </row>
    <row r="3848" spans="12:15" x14ac:dyDescent="0.25">
      <c r="L3848">
        <f t="shared" si="240"/>
        <v>0</v>
      </c>
      <c r="M3848">
        <f t="shared" si="241"/>
        <v>1</v>
      </c>
      <c r="N3848">
        <f t="shared" si="242"/>
        <v>0</v>
      </c>
      <c r="O3848" t="str">
        <f t="shared" si="243"/>
        <v>Proposta Ok</v>
      </c>
    </row>
    <row r="3849" spans="12:15" x14ac:dyDescent="0.25">
      <c r="L3849">
        <f t="shared" si="240"/>
        <v>0</v>
      </c>
      <c r="M3849">
        <f t="shared" si="241"/>
        <v>1</v>
      </c>
      <c r="N3849">
        <f t="shared" si="242"/>
        <v>0</v>
      </c>
      <c r="O3849" t="str">
        <f t="shared" si="243"/>
        <v>Proposta Ok</v>
      </c>
    </row>
    <row r="3850" spans="12:15" x14ac:dyDescent="0.25">
      <c r="L3850">
        <f t="shared" si="240"/>
        <v>0</v>
      </c>
      <c r="M3850">
        <f t="shared" si="241"/>
        <v>1</v>
      </c>
      <c r="N3850">
        <f t="shared" si="242"/>
        <v>0</v>
      </c>
      <c r="O3850" t="str">
        <f t="shared" si="243"/>
        <v>Proposta Ok</v>
      </c>
    </row>
    <row r="3851" spans="12:15" x14ac:dyDescent="0.25">
      <c r="L3851">
        <f t="shared" si="240"/>
        <v>0</v>
      </c>
      <c r="M3851">
        <f t="shared" si="241"/>
        <v>1</v>
      </c>
      <c r="N3851">
        <f t="shared" si="242"/>
        <v>0</v>
      </c>
      <c r="O3851" t="str">
        <f t="shared" si="243"/>
        <v>Proposta Ok</v>
      </c>
    </row>
    <row r="3852" spans="12:15" x14ac:dyDescent="0.25">
      <c r="L3852">
        <f t="shared" si="240"/>
        <v>0</v>
      </c>
      <c r="M3852">
        <f t="shared" si="241"/>
        <v>1</v>
      </c>
      <c r="N3852">
        <f t="shared" si="242"/>
        <v>0</v>
      </c>
      <c r="O3852" t="str">
        <f t="shared" si="243"/>
        <v>Proposta Ok</v>
      </c>
    </row>
    <row r="3853" spans="12:15" x14ac:dyDescent="0.25">
      <c r="L3853">
        <f t="shared" si="240"/>
        <v>0</v>
      </c>
      <c r="M3853">
        <f t="shared" si="241"/>
        <v>1</v>
      </c>
      <c r="N3853">
        <f t="shared" si="242"/>
        <v>0</v>
      </c>
      <c r="O3853" t="str">
        <f t="shared" si="243"/>
        <v>Proposta Ok</v>
      </c>
    </row>
    <row r="3854" spans="12:15" x14ac:dyDescent="0.25">
      <c r="L3854">
        <f t="shared" si="240"/>
        <v>0</v>
      </c>
      <c r="M3854">
        <f t="shared" si="241"/>
        <v>1</v>
      </c>
      <c r="N3854">
        <f t="shared" si="242"/>
        <v>0</v>
      </c>
      <c r="O3854" t="str">
        <f t="shared" si="243"/>
        <v>Proposta Ok</v>
      </c>
    </row>
    <row r="3855" spans="12:15" x14ac:dyDescent="0.25">
      <c r="L3855">
        <f t="shared" si="240"/>
        <v>0</v>
      </c>
      <c r="M3855">
        <f t="shared" si="241"/>
        <v>1</v>
      </c>
      <c r="N3855">
        <f t="shared" si="242"/>
        <v>0</v>
      </c>
      <c r="O3855" t="str">
        <f t="shared" si="243"/>
        <v>Proposta Ok</v>
      </c>
    </row>
    <row r="3856" spans="12:15" x14ac:dyDescent="0.25">
      <c r="L3856">
        <f t="shared" si="240"/>
        <v>0</v>
      </c>
      <c r="M3856">
        <f t="shared" si="241"/>
        <v>1</v>
      </c>
      <c r="N3856">
        <f t="shared" si="242"/>
        <v>0</v>
      </c>
      <c r="O3856" t="str">
        <f t="shared" si="243"/>
        <v>Proposta Ok</v>
      </c>
    </row>
    <row r="3857" spans="12:15" x14ac:dyDescent="0.25">
      <c r="L3857">
        <f t="shared" si="240"/>
        <v>0</v>
      </c>
      <c r="M3857">
        <f t="shared" si="241"/>
        <v>1</v>
      </c>
      <c r="N3857">
        <f t="shared" si="242"/>
        <v>0</v>
      </c>
      <c r="O3857" t="str">
        <f t="shared" si="243"/>
        <v>Proposta Ok</v>
      </c>
    </row>
    <row r="3858" spans="12:15" x14ac:dyDescent="0.25">
      <c r="L3858">
        <f t="shared" si="240"/>
        <v>0</v>
      </c>
      <c r="M3858">
        <f t="shared" si="241"/>
        <v>1</v>
      </c>
      <c r="N3858">
        <f t="shared" si="242"/>
        <v>0</v>
      </c>
      <c r="O3858" t="str">
        <f t="shared" si="243"/>
        <v>Proposta Ok</v>
      </c>
    </row>
    <row r="3859" spans="12:15" x14ac:dyDescent="0.25">
      <c r="L3859">
        <f t="shared" si="240"/>
        <v>0</v>
      </c>
      <c r="M3859">
        <f t="shared" si="241"/>
        <v>1</v>
      </c>
      <c r="N3859">
        <f t="shared" si="242"/>
        <v>0</v>
      </c>
      <c r="O3859" t="str">
        <f t="shared" si="243"/>
        <v>Proposta Ok</v>
      </c>
    </row>
    <row r="3860" spans="12:15" x14ac:dyDescent="0.25">
      <c r="L3860">
        <f t="shared" si="240"/>
        <v>0</v>
      </c>
      <c r="M3860">
        <f t="shared" si="241"/>
        <v>1</v>
      </c>
      <c r="N3860">
        <f t="shared" si="242"/>
        <v>0</v>
      </c>
      <c r="O3860" t="str">
        <f t="shared" si="243"/>
        <v>Proposta Ok</v>
      </c>
    </row>
    <row r="3861" spans="12:15" x14ac:dyDescent="0.25">
      <c r="L3861">
        <f t="shared" si="240"/>
        <v>0</v>
      </c>
      <c r="M3861">
        <f t="shared" si="241"/>
        <v>1</v>
      </c>
      <c r="N3861">
        <f t="shared" si="242"/>
        <v>0</v>
      </c>
      <c r="O3861" t="str">
        <f t="shared" si="243"/>
        <v>Proposta Ok</v>
      </c>
    </row>
    <row r="3862" spans="12:15" x14ac:dyDescent="0.25">
      <c r="L3862">
        <f t="shared" si="240"/>
        <v>0</v>
      </c>
      <c r="M3862">
        <f t="shared" si="241"/>
        <v>1</v>
      </c>
      <c r="N3862">
        <f t="shared" si="242"/>
        <v>0</v>
      </c>
      <c r="O3862" t="str">
        <f t="shared" si="243"/>
        <v>Proposta Ok</v>
      </c>
    </row>
    <row r="3863" spans="12:15" x14ac:dyDescent="0.25">
      <c r="L3863">
        <f t="shared" si="240"/>
        <v>0</v>
      </c>
      <c r="M3863">
        <f t="shared" si="241"/>
        <v>1</v>
      </c>
      <c r="N3863">
        <f t="shared" si="242"/>
        <v>0</v>
      </c>
      <c r="O3863" t="str">
        <f t="shared" si="243"/>
        <v>Proposta Ok</v>
      </c>
    </row>
    <row r="3864" spans="12:15" x14ac:dyDescent="0.25">
      <c r="L3864">
        <f t="shared" si="240"/>
        <v>0</v>
      </c>
      <c r="M3864">
        <f t="shared" si="241"/>
        <v>1</v>
      </c>
      <c r="N3864">
        <f t="shared" si="242"/>
        <v>0</v>
      </c>
      <c r="O3864" t="str">
        <f t="shared" si="243"/>
        <v>Proposta Ok</v>
      </c>
    </row>
    <row r="3865" spans="12:15" x14ac:dyDescent="0.25">
      <c r="L3865">
        <f t="shared" si="240"/>
        <v>0</v>
      </c>
      <c r="M3865">
        <f t="shared" si="241"/>
        <v>1</v>
      </c>
      <c r="N3865">
        <f t="shared" si="242"/>
        <v>0</v>
      </c>
      <c r="O3865" t="str">
        <f t="shared" si="243"/>
        <v>Proposta Ok</v>
      </c>
    </row>
    <row r="3866" spans="12:15" x14ac:dyDescent="0.25">
      <c r="L3866">
        <f t="shared" si="240"/>
        <v>0</v>
      </c>
      <c r="M3866">
        <f t="shared" si="241"/>
        <v>1</v>
      </c>
      <c r="N3866">
        <f t="shared" si="242"/>
        <v>0</v>
      </c>
      <c r="O3866" t="str">
        <f t="shared" si="243"/>
        <v>Proposta Ok</v>
      </c>
    </row>
    <row r="3867" spans="12:15" x14ac:dyDescent="0.25">
      <c r="L3867">
        <f t="shared" ref="L3867:L3930" si="244">IF(OR(I3867="Termo OK (Exceção)",I3867="Termo OK"),1,0)</f>
        <v>0</v>
      </c>
      <c r="M3867">
        <f t="shared" ref="M3867:M3930" si="245">IF(OR(I3867="Termo OK (Exceção)",I3867="Termo OK"),0,1)</f>
        <v>1</v>
      </c>
      <c r="N3867">
        <f t="shared" ref="N3867:N3930" si="246">IF(J3867="SIM",1,0)</f>
        <v>0</v>
      </c>
      <c r="O3867" t="str">
        <f t="shared" ref="O3867:O3930" si="247">IF(SUMIFS(M:M,A:A,A3867)&gt;0,"Proposta não Ok","Proposta Ok")</f>
        <v>Proposta Ok</v>
      </c>
    </row>
    <row r="3868" spans="12:15" x14ac:dyDescent="0.25">
      <c r="L3868">
        <f t="shared" si="244"/>
        <v>0</v>
      </c>
      <c r="M3868">
        <f t="shared" si="245"/>
        <v>1</v>
      </c>
      <c r="N3868">
        <f t="shared" si="246"/>
        <v>0</v>
      </c>
      <c r="O3868" t="str">
        <f t="shared" si="247"/>
        <v>Proposta Ok</v>
      </c>
    </row>
    <row r="3869" spans="12:15" x14ac:dyDescent="0.25">
      <c r="L3869">
        <f t="shared" si="244"/>
        <v>0</v>
      </c>
      <c r="M3869">
        <f t="shared" si="245"/>
        <v>1</v>
      </c>
      <c r="N3869">
        <f t="shared" si="246"/>
        <v>0</v>
      </c>
      <c r="O3869" t="str">
        <f t="shared" si="247"/>
        <v>Proposta Ok</v>
      </c>
    </row>
    <row r="3870" spans="12:15" x14ac:dyDescent="0.25">
      <c r="L3870">
        <f t="shared" si="244"/>
        <v>0</v>
      </c>
      <c r="M3870">
        <f t="shared" si="245"/>
        <v>1</v>
      </c>
      <c r="N3870">
        <f t="shared" si="246"/>
        <v>0</v>
      </c>
      <c r="O3870" t="str">
        <f t="shared" si="247"/>
        <v>Proposta Ok</v>
      </c>
    </row>
    <row r="3871" spans="12:15" x14ac:dyDescent="0.25">
      <c r="L3871">
        <f t="shared" si="244"/>
        <v>0</v>
      </c>
      <c r="M3871">
        <f t="shared" si="245"/>
        <v>1</v>
      </c>
      <c r="N3871">
        <f t="shared" si="246"/>
        <v>0</v>
      </c>
      <c r="O3871" t="str">
        <f t="shared" si="247"/>
        <v>Proposta Ok</v>
      </c>
    </row>
    <row r="3872" spans="12:15" x14ac:dyDescent="0.25">
      <c r="L3872">
        <f t="shared" si="244"/>
        <v>0</v>
      </c>
      <c r="M3872">
        <f t="shared" si="245"/>
        <v>1</v>
      </c>
      <c r="N3872">
        <f t="shared" si="246"/>
        <v>0</v>
      </c>
      <c r="O3872" t="str">
        <f t="shared" si="247"/>
        <v>Proposta Ok</v>
      </c>
    </row>
    <row r="3873" spans="12:15" x14ac:dyDescent="0.25">
      <c r="L3873">
        <f t="shared" si="244"/>
        <v>0</v>
      </c>
      <c r="M3873">
        <f t="shared" si="245"/>
        <v>1</v>
      </c>
      <c r="N3873">
        <f t="shared" si="246"/>
        <v>0</v>
      </c>
      <c r="O3873" t="str">
        <f t="shared" si="247"/>
        <v>Proposta Ok</v>
      </c>
    </row>
    <row r="3874" spans="12:15" x14ac:dyDescent="0.25">
      <c r="L3874">
        <f t="shared" si="244"/>
        <v>0</v>
      </c>
      <c r="M3874">
        <f t="shared" si="245"/>
        <v>1</v>
      </c>
      <c r="N3874">
        <f t="shared" si="246"/>
        <v>0</v>
      </c>
      <c r="O3874" t="str">
        <f t="shared" si="247"/>
        <v>Proposta Ok</v>
      </c>
    </row>
    <row r="3875" spans="12:15" x14ac:dyDescent="0.25">
      <c r="L3875">
        <f t="shared" si="244"/>
        <v>0</v>
      </c>
      <c r="M3875">
        <f t="shared" si="245"/>
        <v>1</v>
      </c>
      <c r="N3875">
        <f t="shared" si="246"/>
        <v>0</v>
      </c>
      <c r="O3875" t="str">
        <f t="shared" si="247"/>
        <v>Proposta Ok</v>
      </c>
    </row>
    <row r="3876" spans="12:15" x14ac:dyDescent="0.25">
      <c r="L3876">
        <f t="shared" si="244"/>
        <v>0</v>
      </c>
      <c r="M3876">
        <f t="shared" si="245"/>
        <v>1</v>
      </c>
      <c r="N3876">
        <f t="shared" si="246"/>
        <v>0</v>
      </c>
      <c r="O3876" t="str">
        <f t="shared" si="247"/>
        <v>Proposta Ok</v>
      </c>
    </row>
    <row r="3877" spans="12:15" x14ac:dyDescent="0.25">
      <c r="L3877">
        <f t="shared" si="244"/>
        <v>0</v>
      </c>
      <c r="M3877">
        <f t="shared" si="245"/>
        <v>1</v>
      </c>
      <c r="N3877">
        <f t="shared" si="246"/>
        <v>0</v>
      </c>
      <c r="O3877" t="str">
        <f t="shared" si="247"/>
        <v>Proposta Ok</v>
      </c>
    </row>
    <row r="3878" spans="12:15" x14ac:dyDescent="0.25">
      <c r="L3878">
        <f t="shared" si="244"/>
        <v>0</v>
      </c>
      <c r="M3878">
        <f t="shared" si="245"/>
        <v>1</v>
      </c>
      <c r="N3878">
        <f t="shared" si="246"/>
        <v>0</v>
      </c>
      <c r="O3878" t="str">
        <f t="shared" si="247"/>
        <v>Proposta Ok</v>
      </c>
    </row>
    <row r="3879" spans="12:15" x14ac:dyDescent="0.25">
      <c r="L3879">
        <f t="shared" si="244"/>
        <v>0</v>
      </c>
      <c r="M3879">
        <f t="shared" si="245"/>
        <v>1</v>
      </c>
      <c r="N3879">
        <f t="shared" si="246"/>
        <v>0</v>
      </c>
      <c r="O3879" t="str">
        <f t="shared" si="247"/>
        <v>Proposta Ok</v>
      </c>
    </row>
    <row r="3880" spans="12:15" x14ac:dyDescent="0.25">
      <c r="L3880">
        <f t="shared" si="244"/>
        <v>0</v>
      </c>
      <c r="M3880">
        <f t="shared" si="245"/>
        <v>1</v>
      </c>
      <c r="N3880">
        <f t="shared" si="246"/>
        <v>0</v>
      </c>
      <c r="O3880" t="str">
        <f t="shared" si="247"/>
        <v>Proposta Ok</v>
      </c>
    </row>
    <row r="3881" spans="12:15" x14ac:dyDescent="0.25">
      <c r="L3881">
        <f t="shared" si="244"/>
        <v>0</v>
      </c>
      <c r="M3881">
        <f t="shared" si="245"/>
        <v>1</v>
      </c>
      <c r="N3881">
        <f t="shared" si="246"/>
        <v>0</v>
      </c>
      <c r="O3881" t="str">
        <f t="shared" si="247"/>
        <v>Proposta Ok</v>
      </c>
    </row>
    <row r="3882" spans="12:15" x14ac:dyDescent="0.25">
      <c r="L3882">
        <f t="shared" si="244"/>
        <v>0</v>
      </c>
      <c r="M3882">
        <f t="shared" si="245"/>
        <v>1</v>
      </c>
      <c r="N3882">
        <f t="shared" si="246"/>
        <v>0</v>
      </c>
      <c r="O3882" t="str">
        <f t="shared" si="247"/>
        <v>Proposta Ok</v>
      </c>
    </row>
    <row r="3883" spans="12:15" x14ac:dyDescent="0.25">
      <c r="L3883">
        <f t="shared" si="244"/>
        <v>0</v>
      </c>
      <c r="M3883">
        <f t="shared" si="245"/>
        <v>1</v>
      </c>
      <c r="N3883">
        <f t="shared" si="246"/>
        <v>0</v>
      </c>
      <c r="O3883" t="str">
        <f t="shared" si="247"/>
        <v>Proposta Ok</v>
      </c>
    </row>
    <row r="3884" spans="12:15" x14ac:dyDescent="0.25">
      <c r="L3884">
        <f t="shared" si="244"/>
        <v>0</v>
      </c>
      <c r="M3884">
        <f t="shared" si="245"/>
        <v>1</v>
      </c>
      <c r="N3884">
        <f t="shared" si="246"/>
        <v>0</v>
      </c>
      <c r="O3884" t="str">
        <f t="shared" si="247"/>
        <v>Proposta Ok</v>
      </c>
    </row>
    <row r="3885" spans="12:15" x14ac:dyDescent="0.25">
      <c r="L3885">
        <f t="shared" si="244"/>
        <v>0</v>
      </c>
      <c r="M3885">
        <f t="shared" si="245"/>
        <v>1</v>
      </c>
      <c r="N3885">
        <f t="shared" si="246"/>
        <v>0</v>
      </c>
      <c r="O3885" t="str">
        <f t="shared" si="247"/>
        <v>Proposta Ok</v>
      </c>
    </row>
    <row r="3886" spans="12:15" x14ac:dyDescent="0.25">
      <c r="L3886">
        <f t="shared" si="244"/>
        <v>0</v>
      </c>
      <c r="M3886">
        <f t="shared" si="245"/>
        <v>1</v>
      </c>
      <c r="N3886">
        <f t="shared" si="246"/>
        <v>0</v>
      </c>
      <c r="O3886" t="str">
        <f t="shared" si="247"/>
        <v>Proposta Ok</v>
      </c>
    </row>
    <row r="3887" spans="12:15" x14ac:dyDescent="0.25">
      <c r="L3887">
        <f t="shared" si="244"/>
        <v>0</v>
      </c>
      <c r="M3887">
        <f t="shared" si="245"/>
        <v>1</v>
      </c>
      <c r="N3887">
        <f t="shared" si="246"/>
        <v>0</v>
      </c>
      <c r="O3887" t="str">
        <f t="shared" si="247"/>
        <v>Proposta Ok</v>
      </c>
    </row>
    <row r="3888" spans="12:15" x14ac:dyDescent="0.25">
      <c r="L3888">
        <f t="shared" si="244"/>
        <v>0</v>
      </c>
      <c r="M3888">
        <f t="shared" si="245"/>
        <v>1</v>
      </c>
      <c r="N3888">
        <f t="shared" si="246"/>
        <v>0</v>
      </c>
      <c r="O3888" t="str">
        <f t="shared" si="247"/>
        <v>Proposta Ok</v>
      </c>
    </row>
    <row r="3889" spans="12:15" x14ac:dyDescent="0.25">
      <c r="L3889">
        <f t="shared" si="244"/>
        <v>0</v>
      </c>
      <c r="M3889">
        <f t="shared" si="245"/>
        <v>1</v>
      </c>
      <c r="N3889">
        <f t="shared" si="246"/>
        <v>0</v>
      </c>
      <c r="O3889" t="str">
        <f t="shared" si="247"/>
        <v>Proposta Ok</v>
      </c>
    </row>
    <row r="3890" spans="12:15" x14ac:dyDescent="0.25">
      <c r="L3890">
        <f t="shared" si="244"/>
        <v>0</v>
      </c>
      <c r="M3890">
        <f t="shared" si="245"/>
        <v>1</v>
      </c>
      <c r="N3890">
        <f t="shared" si="246"/>
        <v>0</v>
      </c>
      <c r="O3890" t="str">
        <f t="shared" si="247"/>
        <v>Proposta Ok</v>
      </c>
    </row>
    <row r="3891" spans="12:15" x14ac:dyDescent="0.25">
      <c r="L3891">
        <f t="shared" si="244"/>
        <v>0</v>
      </c>
      <c r="M3891">
        <f t="shared" si="245"/>
        <v>1</v>
      </c>
      <c r="N3891">
        <f t="shared" si="246"/>
        <v>0</v>
      </c>
      <c r="O3891" t="str">
        <f t="shared" si="247"/>
        <v>Proposta Ok</v>
      </c>
    </row>
    <row r="3892" spans="12:15" x14ac:dyDescent="0.25">
      <c r="L3892">
        <f t="shared" si="244"/>
        <v>0</v>
      </c>
      <c r="M3892">
        <f t="shared" si="245"/>
        <v>1</v>
      </c>
      <c r="N3892">
        <f t="shared" si="246"/>
        <v>0</v>
      </c>
      <c r="O3892" t="str">
        <f t="shared" si="247"/>
        <v>Proposta Ok</v>
      </c>
    </row>
    <row r="3893" spans="12:15" x14ac:dyDescent="0.25">
      <c r="L3893">
        <f t="shared" si="244"/>
        <v>0</v>
      </c>
      <c r="M3893">
        <f t="shared" si="245"/>
        <v>1</v>
      </c>
      <c r="N3893">
        <f t="shared" si="246"/>
        <v>0</v>
      </c>
      <c r="O3893" t="str">
        <f t="shared" si="247"/>
        <v>Proposta Ok</v>
      </c>
    </row>
    <row r="3894" spans="12:15" x14ac:dyDescent="0.25">
      <c r="L3894">
        <f t="shared" si="244"/>
        <v>0</v>
      </c>
      <c r="M3894">
        <f t="shared" si="245"/>
        <v>1</v>
      </c>
      <c r="N3894">
        <f t="shared" si="246"/>
        <v>0</v>
      </c>
      <c r="O3894" t="str">
        <f t="shared" si="247"/>
        <v>Proposta Ok</v>
      </c>
    </row>
    <row r="3895" spans="12:15" x14ac:dyDescent="0.25">
      <c r="L3895">
        <f t="shared" si="244"/>
        <v>0</v>
      </c>
      <c r="M3895">
        <f t="shared" si="245"/>
        <v>1</v>
      </c>
      <c r="N3895">
        <f t="shared" si="246"/>
        <v>0</v>
      </c>
      <c r="O3895" t="str">
        <f t="shared" si="247"/>
        <v>Proposta Ok</v>
      </c>
    </row>
    <row r="3896" spans="12:15" x14ac:dyDescent="0.25">
      <c r="L3896">
        <f t="shared" si="244"/>
        <v>0</v>
      </c>
      <c r="M3896">
        <f t="shared" si="245"/>
        <v>1</v>
      </c>
      <c r="N3896">
        <f t="shared" si="246"/>
        <v>0</v>
      </c>
      <c r="O3896" t="str">
        <f t="shared" si="247"/>
        <v>Proposta Ok</v>
      </c>
    </row>
    <row r="3897" spans="12:15" x14ac:dyDescent="0.25">
      <c r="L3897">
        <f t="shared" si="244"/>
        <v>0</v>
      </c>
      <c r="M3897">
        <f t="shared" si="245"/>
        <v>1</v>
      </c>
      <c r="N3897">
        <f t="shared" si="246"/>
        <v>0</v>
      </c>
      <c r="O3897" t="str">
        <f t="shared" si="247"/>
        <v>Proposta Ok</v>
      </c>
    </row>
    <row r="3898" spans="12:15" x14ac:dyDescent="0.25">
      <c r="L3898">
        <f t="shared" si="244"/>
        <v>0</v>
      </c>
      <c r="M3898">
        <f t="shared" si="245"/>
        <v>1</v>
      </c>
      <c r="N3898">
        <f t="shared" si="246"/>
        <v>0</v>
      </c>
      <c r="O3898" t="str">
        <f t="shared" si="247"/>
        <v>Proposta Ok</v>
      </c>
    </row>
    <row r="3899" spans="12:15" x14ac:dyDescent="0.25">
      <c r="L3899">
        <f t="shared" si="244"/>
        <v>0</v>
      </c>
      <c r="M3899">
        <f t="shared" si="245"/>
        <v>1</v>
      </c>
      <c r="N3899">
        <f t="shared" si="246"/>
        <v>0</v>
      </c>
      <c r="O3899" t="str">
        <f t="shared" si="247"/>
        <v>Proposta Ok</v>
      </c>
    </row>
    <row r="3900" spans="12:15" x14ac:dyDescent="0.25">
      <c r="L3900">
        <f t="shared" si="244"/>
        <v>0</v>
      </c>
      <c r="M3900">
        <f t="shared" si="245"/>
        <v>1</v>
      </c>
      <c r="N3900">
        <f t="shared" si="246"/>
        <v>0</v>
      </c>
      <c r="O3900" t="str">
        <f t="shared" si="247"/>
        <v>Proposta Ok</v>
      </c>
    </row>
    <row r="3901" spans="12:15" x14ac:dyDescent="0.25">
      <c r="L3901">
        <f t="shared" si="244"/>
        <v>0</v>
      </c>
      <c r="M3901">
        <f t="shared" si="245"/>
        <v>1</v>
      </c>
      <c r="N3901">
        <f t="shared" si="246"/>
        <v>0</v>
      </c>
      <c r="O3901" t="str">
        <f t="shared" si="247"/>
        <v>Proposta Ok</v>
      </c>
    </row>
    <row r="3902" spans="12:15" x14ac:dyDescent="0.25">
      <c r="L3902">
        <f t="shared" si="244"/>
        <v>0</v>
      </c>
      <c r="M3902">
        <f t="shared" si="245"/>
        <v>1</v>
      </c>
      <c r="N3902">
        <f t="shared" si="246"/>
        <v>0</v>
      </c>
      <c r="O3902" t="str">
        <f t="shared" si="247"/>
        <v>Proposta Ok</v>
      </c>
    </row>
    <row r="3903" spans="12:15" x14ac:dyDescent="0.25">
      <c r="L3903">
        <f t="shared" si="244"/>
        <v>0</v>
      </c>
      <c r="M3903">
        <f t="shared" si="245"/>
        <v>1</v>
      </c>
      <c r="N3903">
        <f t="shared" si="246"/>
        <v>0</v>
      </c>
      <c r="O3903" t="str">
        <f t="shared" si="247"/>
        <v>Proposta Ok</v>
      </c>
    </row>
    <row r="3904" spans="12:15" x14ac:dyDescent="0.25">
      <c r="L3904">
        <f t="shared" si="244"/>
        <v>0</v>
      </c>
      <c r="M3904">
        <f t="shared" si="245"/>
        <v>1</v>
      </c>
      <c r="N3904">
        <f t="shared" si="246"/>
        <v>0</v>
      </c>
      <c r="O3904" t="str">
        <f t="shared" si="247"/>
        <v>Proposta Ok</v>
      </c>
    </row>
    <row r="3905" spans="12:15" x14ac:dyDescent="0.25">
      <c r="L3905">
        <f t="shared" si="244"/>
        <v>0</v>
      </c>
      <c r="M3905">
        <f t="shared" si="245"/>
        <v>1</v>
      </c>
      <c r="N3905">
        <f t="shared" si="246"/>
        <v>0</v>
      </c>
      <c r="O3905" t="str">
        <f t="shared" si="247"/>
        <v>Proposta Ok</v>
      </c>
    </row>
    <row r="3906" spans="12:15" x14ac:dyDescent="0.25">
      <c r="L3906">
        <f t="shared" si="244"/>
        <v>0</v>
      </c>
      <c r="M3906">
        <f t="shared" si="245"/>
        <v>1</v>
      </c>
      <c r="N3906">
        <f t="shared" si="246"/>
        <v>0</v>
      </c>
      <c r="O3906" t="str">
        <f t="shared" si="247"/>
        <v>Proposta Ok</v>
      </c>
    </row>
    <row r="3907" spans="12:15" x14ac:dyDescent="0.25">
      <c r="L3907">
        <f t="shared" si="244"/>
        <v>0</v>
      </c>
      <c r="M3907">
        <f t="shared" si="245"/>
        <v>1</v>
      </c>
      <c r="N3907">
        <f t="shared" si="246"/>
        <v>0</v>
      </c>
      <c r="O3907" t="str">
        <f t="shared" si="247"/>
        <v>Proposta Ok</v>
      </c>
    </row>
    <row r="3908" spans="12:15" x14ac:dyDescent="0.25">
      <c r="L3908">
        <f t="shared" si="244"/>
        <v>0</v>
      </c>
      <c r="M3908">
        <f t="shared" si="245"/>
        <v>1</v>
      </c>
      <c r="N3908">
        <f t="shared" si="246"/>
        <v>0</v>
      </c>
      <c r="O3908" t="str">
        <f t="shared" si="247"/>
        <v>Proposta Ok</v>
      </c>
    </row>
    <row r="3909" spans="12:15" x14ac:dyDescent="0.25">
      <c r="L3909">
        <f t="shared" si="244"/>
        <v>0</v>
      </c>
      <c r="M3909">
        <f t="shared" si="245"/>
        <v>1</v>
      </c>
      <c r="N3909">
        <f t="shared" si="246"/>
        <v>0</v>
      </c>
      <c r="O3909" t="str">
        <f t="shared" si="247"/>
        <v>Proposta Ok</v>
      </c>
    </row>
    <row r="3910" spans="12:15" x14ac:dyDescent="0.25">
      <c r="L3910">
        <f t="shared" si="244"/>
        <v>0</v>
      </c>
      <c r="M3910">
        <f t="shared" si="245"/>
        <v>1</v>
      </c>
      <c r="N3910">
        <f t="shared" si="246"/>
        <v>0</v>
      </c>
      <c r="O3910" t="str">
        <f t="shared" si="247"/>
        <v>Proposta Ok</v>
      </c>
    </row>
    <row r="3911" spans="12:15" x14ac:dyDescent="0.25">
      <c r="L3911">
        <f t="shared" si="244"/>
        <v>0</v>
      </c>
      <c r="M3911">
        <f t="shared" si="245"/>
        <v>1</v>
      </c>
      <c r="N3911">
        <f t="shared" si="246"/>
        <v>0</v>
      </c>
      <c r="O3911" t="str">
        <f t="shared" si="247"/>
        <v>Proposta Ok</v>
      </c>
    </row>
    <row r="3912" spans="12:15" x14ac:dyDescent="0.25">
      <c r="L3912">
        <f t="shared" si="244"/>
        <v>0</v>
      </c>
      <c r="M3912">
        <f t="shared" si="245"/>
        <v>1</v>
      </c>
      <c r="N3912">
        <f t="shared" si="246"/>
        <v>0</v>
      </c>
      <c r="O3912" t="str">
        <f t="shared" si="247"/>
        <v>Proposta Ok</v>
      </c>
    </row>
    <row r="3913" spans="12:15" x14ac:dyDescent="0.25">
      <c r="L3913">
        <f t="shared" si="244"/>
        <v>0</v>
      </c>
      <c r="M3913">
        <f t="shared" si="245"/>
        <v>1</v>
      </c>
      <c r="N3913">
        <f t="shared" si="246"/>
        <v>0</v>
      </c>
      <c r="O3913" t="str">
        <f t="shared" si="247"/>
        <v>Proposta Ok</v>
      </c>
    </row>
    <row r="3914" spans="12:15" x14ac:dyDescent="0.25">
      <c r="L3914">
        <f t="shared" si="244"/>
        <v>0</v>
      </c>
      <c r="M3914">
        <f t="shared" si="245"/>
        <v>1</v>
      </c>
      <c r="N3914">
        <f t="shared" si="246"/>
        <v>0</v>
      </c>
      <c r="O3914" t="str">
        <f t="shared" si="247"/>
        <v>Proposta Ok</v>
      </c>
    </row>
    <row r="3915" spans="12:15" x14ac:dyDescent="0.25">
      <c r="L3915">
        <f t="shared" si="244"/>
        <v>0</v>
      </c>
      <c r="M3915">
        <f t="shared" si="245"/>
        <v>1</v>
      </c>
      <c r="N3915">
        <f t="shared" si="246"/>
        <v>0</v>
      </c>
      <c r="O3915" t="str">
        <f t="shared" si="247"/>
        <v>Proposta Ok</v>
      </c>
    </row>
    <row r="3916" spans="12:15" x14ac:dyDescent="0.25">
      <c r="L3916">
        <f t="shared" si="244"/>
        <v>0</v>
      </c>
      <c r="M3916">
        <f t="shared" si="245"/>
        <v>1</v>
      </c>
      <c r="N3916">
        <f t="shared" si="246"/>
        <v>0</v>
      </c>
      <c r="O3916" t="str">
        <f t="shared" si="247"/>
        <v>Proposta Ok</v>
      </c>
    </row>
    <row r="3917" spans="12:15" x14ac:dyDescent="0.25">
      <c r="L3917">
        <f t="shared" si="244"/>
        <v>0</v>
      </c>
      <c r="M3917">
        <f t="shared" si="245"/>
        <v>1</v>
      </c>
      <c r="N3917">
        <f t="shared" si="246"/>
        <v>0</v>
      </c>
      <c r="O3917" t="str">
        <f t="shared" si="247"/>
        <v>Proposta Ok</v>
      </c>
    </row>
    <row r="3918" spans="12:15" x14ac:dyDescent="0.25">
      <c r="L3918">
        <f t="shared" si="244"/>
        <v>0</v>
      </c>
      <c r="M3918">
        <f t="shared" si="245"/>
        <v>1</v>
      </c>
      <c r="N3918">
        <f t="shared" si="246"/>
        <v>0</v>
      </c>
      <c r="O3918" t="str">
        <f t="shared" si="247"/>
        <v>Proposta Ok</v>
      </c>
    </row>
    <row r="3919" spans="12:15" x14ac:dyDescent="0.25">
      <c r="L3919">
        <f t="shared" si="244"/>
        <v>0</v>
      </c>
      <c r="M3919">
        <f t="shared" si="245"/>
        <v>1</v>
      </c>
      <c r="N3919">
        <f t="shared" si="246"/>
        <v>0</v>
      </c>
      <c r="O3919" t="str">
        <f t="shared" si="247"/>
        <v>Proposta Ok</v>
      </c>
    </row>
    <row r="3920" spans="12:15" x14ac:dyDescent="0.25">
      <c r="L3920">
        <f t="shared" si="244"/>
        <v>0</v>
      </c>
      <c r="M3920">
        <f t="shared" si="245"/>
        <v>1</v>
      </c>
      <c r="N3920">
        <f t="shared" si="246"/>
        <v>0</v>
      </c>
      <c r="O3920" t="str">
        <f t="shared" si="247"/>
        <v>Proposta Ok</v>
      </c>
    </row>
    <row r="3921" spans="12:15" x14ac:dyDescent="0.25">
      <c r="L3921">
        <f t="shared" si="244"/>
        <v>0</v>
      </c>
      <c r="M3921">
        <f t="shared" si="245"/>
        <v>1</v>
      </c>
      <c r="N3921">
        <f t="shared" si="246"/>
        <v>0</v>
      </c>
      <c r="O3921" t="str">
        <f t="shared" si="247"/>
        <v>Proposta Ok</v>
      </c>
    </row>
    <row r="3922" spans="12:15" x14ac:dyDescent="0.25">
      <c r="L3922">
        <f t="shared" si="244"/>
        <v>0</v>
      </c>
      <c r="M3922">
        <f t="shared" si="245"/>
        <v>1</v>
      </c>
      <c r="N3922">
        <f t="shared" si="246"/>
        <v>0</v>
      </c>
      <c r="O3922" t="str">
        <f t="shared" si="247"/>
        <v>Proposta Ok</v>
      </c>
    </row>
    <row r="3923" spans="12:15" x14ac:dyDescent="0.25">
      <c r="L3923">
        <f t="shared" si="244"/>
        <v>0</v>
      </c>
      <c r="M3923">
        <f t="shared" si="245"/>
        <v>1</v>
      </c>
      <c r="N3923">
        <f t="shared" si="246"/>
        <v>0</v>
      </c>
      <c r="O3923" t="str">
        <f t="shared" si="247"/>
        <v>Proposta Ok</v>
      </c>
    </row>
    <row r="3924" spans="12:15" x14ac:dyDescent="0.25">
      <c r="L3924">
        <f t="shared" si="244"/>
        <v>0</v>
      </c>
      <c r="M3924">
        <f t="shared" si="245"/>
        <v>1</v>
      </c>
      <c r="N3924">
        <f t="shared" si="246"/>
        <v>0</v>
      </c>
      <c r="O3924" t="str">
        <f t="shared" si="247"/>
        <v>Proposta Ok</v>
      </c>
    </row>
    <row r="3925" spans="12:15" x14ac:dyDescent="0.25">
      <c r="L3925">
        <f t="shared" si="244"/>
        <v>0</v>
      </c>
      <c r="M3925">
        <f t="shared" si="245"/>
        <v>1</v>
      </c>
      <c r="N3925">
        <f t="shared" si="246"/>
        <v>0</v>
      </c>
      <c r="O3925" t="str">
        <f t="shared" si="247"/>
        <v>Proposta Ok</v>
      </c>
    </row>
    <row r="3926" spans="12:15" x14ac:dyDescent="0.25">
      <c r="L3926">
        <f t="shared" si="244"/>
        <v>0</v>
      </c>
      <c r="M3926">
        <f t="shared" si="245"/>
        <v>1</v>
      </c>
      <c r="N3926">
        <f t="shared" si="246"/>
        <v>0</v>
      </c>
      <c r="O3926" t="str">
        <f t="shared" si="247"/>
        <v>Proposta Ok</v>
      </c>
    </row>
    <row r="3927" spans="12:15" x14ac:dyDescent="0.25">
      <c r="L3927">
        <f t="shared" si="244"/>
        <v>0</v>
      </c>
      <c r="M3927">
        <f t="shared" si="245"/>
        <v>1</v>
      </c>
      <c r="N3927">
        <f t="shared" si="246"/>
        <v>0</v>
      </c>
      <c r="O3927" t="str">
        <f t="shared" si="247"/>
        <v>Proposta Ok</v>
      </c>
    </row>
    <row r="3928" spans="12:15" x14ac:dyDescent="0.25">
      <c r="L3928">
        <f t="shared" si="244"/>
        <v>0</v>
      </c>
      <c r="M3928">
        <f t="shared" si="245"/>
        <v>1</v>
      </c>
      <c r="N3928">
        <f t="shared" si="246"/>
        <v>0</v>
      </c>
      <c r="O3928" t="str">
        <f t="shared" si="247"/>
        <v>Proposta Ok</v>
      </c>
    </row>
    <row r="3929" spans="12:15" x14ac:dyDescent="0.25">
      <c r="L3929">
        <f t="shared" si="244"/>
        <v>0</v>
      </c>
      <c r="M3929">
        <f t="shared" si="245"/>
        <v>1</v>
      </c>
      <c r="N3929">
        <f t="shared" si="246"/>
        <v>0</v>
      </c>
      <c r="O3929" t="str">
        <f t="shared" si="247"/>
        <v>Proposta Ok</v>
      </c>
    </row>
    <row r="3930" spans="12:15" x14ac:dyDescent="0.25">
      <c r="L3930">
        <f t="shared" si="244"/>
        <v>0</v>
      </c>
      <c r="M3930">
        <f t="shared" si="245"/>
        <v>1</v>
      </c>
      <c r="N3930">
        <f t="shared" si="246"/>
        <v>0</v>
      </c>
      <c r="O3930" t="str">
        <f t="shared" si="247"/>
        <v>Proposta Ok</v>
      </c>
    </row>
    <row r="3931" spans="12:15" x14ac:dyDescent="0.25">
      <c r="L3931">
        <f t="shared" ref="L3931:L3994" si="248">IF(OR(I3931="Termo OK (Exceção)",I3931="Termo OK"),1,0)</f>
        <v>0</v>
      </c>
      <c r="M3931">
        <f t="shared" ref="M3931:M3994" si="249">IF(OR(I3931="Termo OK (Exceção)",I3931="Termo OK"),0,1)</f>
        <v>1</v>
      </c>
      <c r="N3931">
        <f t="shared" ref="N3931:N3994" si="250">IF(J3931="SIM",1,0)</f>
        <v>0</v>
      </c>
      <c r="O3931" t="str">
        <f t="shared" ref="O3931:O3994" si="251">IF(SUMIFS(M:M,A:A,A3931)&gt;0,"Proposta não Ok","Proposta Ok")</f>
        <v>Proposta Ok</v>
      </c>
    </row>
    <row r="3932" spans="12:15" x14ac:dyDescent="0.25">
      <c r="L3932">
        <f t="shared" si="248"/>
        <v>0</v>
      </c>
      <c r="M3932">
        <f t="shared" si="249"/>
        <v>1</v>
      </c>
      <c r="N3932">
        <f t="shared" si="250"/>
        <v>0</v>
      </c>
      <c r="O3932" t="str">
        <f t="shared" si="251"/>
        <v>Proposta Ok</v>
      </c>
    </row>
    <row r="3933" spans="12:15" x14ac:dyDescent="0.25">
      <c r="L3933">
        <f t="shared" si="248"/>
        <v>0</v>
      </c>
      <c r="M3933">
        <f t="shared" si="249"/>
        <v>1</v>
      </c>
      <c r="N3933">
        <f t="shared" si="250"/>
        <v>0</v>
      </c>
      <c r="O3933" t="str">
        <f t="shared" si="251"/>
        <v>Proposta Ok</v>
      </c>
    </row>
    <row r="3934" spans="12:15" x14ac:dyDescent="0.25">
      <c r="L3934">
        <f t="shared" si="248"/>
        <v>0</v>
      </c>
      <c r="M3934">
        <f t="shared" si="249"/>
        <v>1</v>
      </c>
      <c r="N3934">
        <f t="shared" si="250"/>
        <v>0</v>
      </c>
      <c r="O3934" t="str">
        <f t="shared" si="251"/>
        <v>Proposta Ok</v>
      </c>
    </row>
    <row r="3935" spans="12:15" x14ac:dyDescent="0.25">
      <c r="L3935">
        <f t="shared" si="248"/>
        <v>0</v>
      </c>
      <c r="M3935">
        <f t="shared" si="249"/>
        <v>1</v>
      </c>
      <c r="N3935">
        <f t="shared" si="250"/>
        <v>0</v>
      </c>
      <c r="O3935" t="str">
        <f t="shared" si="251"/>
        <v>Proposta Ok</v>
      </c>
    </row>
    <row r="3936" spans="12:15" x14ac:dyDescent="0.25">
      <c r="L3936">
        <f t="shared" si="248"/>
        <v>0</v>
      </c>
      <c r="M3936">
        <f t="shared" si="249"/>
        <v>1</v>
      </c>
      <c r="N3936">
        <f t="shared" si="250"/>
        <v>0</v>
      </c>
      <c r="O3936" t="str">
        <f t="shared" si="251"/>
        <v>Proposta Ok</v>
      </c>
    </row>
    <row r="3937" spans="12:15" x14ac:dyDescent="0.25">
      <c r="L3937">
        <f t="shared" si="248"/>
        <v>0</v>
      </c>
      <c r="M3937">
        <f t="shared" si="249"/>
        <v>1</v>
      </c>
      <c r="N3937">
        <f t="shared" si="250"/>
        <v>0</v>
      </c>
      <c r="O3937" t="str">
        <f t="shared" si="251"/>
        <v>Proposta Ok</v>
      </c>
    </row>
    <row r="3938" spans="12:15" x14ac:dyDescent="0.25">
      <c r="L3938">
        <f t="shared" si="248"/>
        <v>0</v>
      </c>
      <c r="M3938">
        <f t="shared" si="249"/>
        <v>1</v>
      </c>
      <c r="N3938">
        <f t="shared" si="250"/>
        <v>0</v>
      </c>
      <c r="O3938" t="str">
        <f t="shared" si="251"/>
        <v>Proposta Ok</v>
      </c>
    </row>
    <row r="3939" spans="12:15" x14ac:dyDescent="0.25">
      <c r="L3939">
        <f t="shared" si="248"/>
        <v>0</v>
      </c>
      <c r="M3939">
        <f t="shared" si="249"/>
        <v>1</v>
      </c>
      <c r="N3939">
        <f t="shared" si="250"/>
        <v>0</v>
      </c>
      <c r="O3939" t="str">
        <f t="shared" si="251"/>
        <v>Proposta Ok</v>
      </c>
    </row>
    <row r="3940" spans="12:15" x14ac:dyDescent="0.25">
      <c r="L3940">
        <f t="shared" si="248"/>
        <v>0</v>
      </c>
      <c r="M3940">
        <f t="shared" si="249"/>
        <v>1</v>
      </c>
      <c r="N3940">
        <f t="shared" si="250"/>
        <v>0</v>
      </c>
      <c r="O3940" t="str">
        <f t="shared" si="251"/>
        <v>Proposta Ok</v>
      </c>
    </row>
    <row r="3941" spans="12:15" x14ac:dyDescent="0.25">
      <c r="L3941">
        <f t="shared" si="248"/>
        <v>0</v>
      </c>
      <c r="M3941">
        <f t="shared" si="249"/>
        <v>1</v>
      </c>
      <c r="N3941">
        <f t="shared" si="250"/>
        <v>0</v>
      </c>
      <c r="O3941" t="str">
        <f t="shared" si="251"/>
        <v>Proposta Ok</v>
      </c>
    </row>
    <row r="3942" spans="12:15" x14ac:dyDescent="0.25">
      <c r="L3942">
        <f t="shared" si="248"/>
        <v>0</v>
      </c>
      <c r="M3942">
        <f t="shared" si="249"/>
        <v>1</v>
      </c>
      <c r="N3942">
        <f t="shared" si="250"/>
        <v>0</v>
      </c>
      <c r="O3942" t="str">
        <f t="shared" si="251"/>
        <v>Proposta Ok</v>
      </c>
    </row>
    <row r="3943" spans="12:15" x14ac:dyDescent="0.25">
      <c r="L3943">
        <f t="shared" si="248"/>
        <v>0</v>
      </c>
      <c r="M3943">
        <f t="shared" si="249"/>
        <v>1</v>
      </c>
      <c r="N3943">
        <f t="shared" si="250"/>
        <v>0</v>
      </c>
      <c r="O3943" t="str">
        <f t="shared" si="251"/>
        <v>Proposta Ok</v>
      </c>
    </row>
    <row r="3944" spans="12:15" x14ac:dyDescent="0.25">
      <c r="L3944">
        <f t="shared" si="248"/>
        <v>0</v>
      </c>
      <c r="M3944">
        <f t="shared" si="249"/>
        <v>1</v>
      </c>
      <c r="N3944">
        <f t="shared" si="250"/>
        <v>0</v>
      </c>
      <c r="O3944" t="str">
        <f t="shared" si="251"/>
        <v>Proposta Ok</v>
      </c>
    </row>
    <row r="3945" spans="12:15" x14ac:dyDescent="0.25">
      <c r="L3945">
        <f t="shared" si="248"/>
        <v>0</v>
      </c>
      <c r="M3945">
        <f t="shared" si="249"/>
        <v>1</v>
      </c>
      <c r="N3945">
        <f t="shared" si="250"/>
        <v>0</v>
      </c>
      <c r="O3945" t="str">
        <f t="shared" si="251"/>
        <v>Proposta Ok</v>
      </c>
    </row>
    <row r="3946" spans="12:15" x14ac:dyDescent="0.25">
      <c r="L3946">
        <f t="shared" si="248"/>
        <v>0</v>
      </c>
      <c r="M3946">
        <f t="shared" si="249"/>
        <v>1</v>
      </c>
      <c r="N3946">
        <f t="shared" si="250"/>
        <v>0</v>
      </c>
      <c r="O3946" t="str">
        <f t="shared" si="251"/>
        <v>Proposta Ok</v>
      </c>
    </row>
    <row r="3947" spans="12:15" x14ac:dyDescent="0.25">
      <c r="L3947">
        <f t="shared" si="248"/>
        <v>0</v>
      </c>
      <c r="M3947">
        <f t="shared" si="249"/>
        <v>1</v>
      </c>
      <c r="N3947">
        <f t="shared" si="250"/>
        <v>0</v>
      </c>
      <c r="O3947" t="str">
        <f t="shared" si="251"/>
        <v>Proposta Ok</v>
      </c>
    </row>
    <row r="3948" spans="12:15" x14ac:dyDescent="0.25">
      <c r="L3948">
        <f t="shared" si="248"/>
        <v>0</v>
      </c>
      <c r="M3948">
        <f t="shared" si="249"/>
        <v>1</v>
      </c>
      <c r="N3948">
        <f t="shared" si="250"/>
        <v>0</v>
      </c>
      <c r="O3948" t="str">
        <f t="shared" si="251"/>
        <v>Proposta Ok</v>
      </c>
    </row>
    <row r="3949" spans="12:15" x14ac:dyDescent="0.25">
      <c r="L3949">
        <f t="shared" si="248"/>
        <v>0</v>
      </c>
      <c r="M3949">
        <f t="shared" si="249"/>
        <v>1</v>
      </c>
      <c r="N3949">
        <f t="shared" si="250"/>
        <v>0</v>
      </c>
      <c r="O3949" t="str">
        <f t="shared" si="251"/>
        <v>Proposta Ok</v>
      </c>
    </row>
    <row r="3950" spans="12:15" x14ac:dyDescent="0.25">
      <c r="L3950">
        <f t="shared" si="248"/>
        <v>0</v>
      </c>
      <c r="M3950">
        <f t="shared" si="249"/>
        <v>1</v>
      </c>
      <c r="N3950">
        <f t="shared" si="250"/>
        <v>0</v>
      </c>
      <c r="O3950" t="str">
        <f t="shared" si="251"/>
        <v>Proposta Ok</v>
      </c>
    </row>
    <row r="3951" spans="12:15" x14ac:dyDescent="0.25">
      <c r="L3951">
        <f t="shared" si="248"/>
        <v>0</v>
      </c>
      <c r="M3951">
        <f t="shared" si="249"/>
        <v>1</v>
      </c>
      <c r="N3951">
        <f t="shared" si="250"/>
        <v>0</v>
      </c>
      <c r="O3951" t="str">
        <f t="shared" si="251"/>
        <v>Proposta Ok</v>
      </c>
    </row>
    <row r="3952" spans="12:15" x14ac:dyDescent="0.25">
      <c r="L3952">
        <f t="shared" si="248"/>
        <v>0</v>
      </c>
      <c r="M3952">
        <f t="shared" si="249"/>
        <v>1</v>
      </c>
      <c r="N3952">
        <f t="shared" si="250"/>
        <v>0</v>
      </c>
      <c r="O3952" t="str">
        <f t="shared" si="251"/>
        <v>Proposta Ok</v>
      </c>
    </row>
    <row r="3953" spans="12:15" x14ac:dyDescent="0.25">
      <c r="L3953">
        <f t="shared" si="248"/>
        <v>0</v>
      </c>
      <c r="M3953">
        <f t="shared" si="249"/>
        <v>1</v>
      </c>
      <c r="N3953">
        <f t="shared" si="250"/>
        <v>0</v>
      </c>
      <c r="O3953" t="str">
        <f t="shared" si="251"/>
        <v>Proposta Ok</v>
      </c>
    </row>
    <row r="3954" spans="12:15" x14ac:dyDescent="0.25">
      <c r="L3954">
        <f t="shared" si="248"/>
        <v>0</v>
      </c>
      <c r="M3954">
        <f t="shared" si="249"/>
        <v>1</v>
      </c>
      <c r="N3954">
        <f t="shared" si="250"/>
        <v>0</v>
      </c>
      <c r="O3954" t="str">
        <f t="shared" si="251"/>
        <v>Proposta Ok</v>
      </c>
    </row>
    <row r="3955" spans="12:15" x14ac:dyDescent="0.25">
      <c r="L3955">
        <f t="shared" si="248"/>
        <v>0</v>
      </c>
      <c r="M3955">
        <f t="shared" si="249"/>
        <v>1</v>
      </c>
      <c r="N3955">
        <f t="shared" si="250"/>
        <v>0</v>
      </c>
      <c r="O3955" t="str">
        <f t="shared" si="251"/>
        <v>Proposta Ok</v>
      </c>
    </row>
    <row r="3956" spans="12:15" x14ac:dyDescent="0.25">
      <c r="L3956">
        <f t="shared" si="248"/>
        <v>0</v>
      </c>
      <c r="M3956">
        <f t="shared" si="249"/>
        <v>1</v>
      </c>
      <c r="N3956">
        <f t="shared" si="250"/>
        <v>0</v>
      </c>
      <c r="O3956" t="str">
        <f t="shared" si="251"/>
        <v>Proposta Ok</v>
      </c>
    </row>
    <row r="3957" spans="12:15" x14ac:dyDescent="0.25">
      <c r="L3957">
        <f t="shared" si="248"/>
        <v>0</v>
      </c>
      <c r="M3957">
        <f t="shared" si="249"/>
        <v>1</v>
      </c>
      <c r="N3957">
        <f t="shared" si="250"/>
        <v>0</v>
      </c>
      <c r="O3957" t="str">
        <f t="shared" si="251"/>
        <v>Proposta Ok</v>
      </c>
    </row>
    <row r="3958" spans="12:15" x14ac:dyDescent="0.25">
      <c r="L3958">
        <f t="shared" si="248"/>
        <v>0</v>
      </c>
      <c r="M3958">
        <f t="shared" si="249"/>
        <v>1</v>
      </c>
      <c r="N3958">
        <f t="shared" si="250"/>
        <v>0</v>
      </c>
      <c r="O3958" t="str">
        <f t="shared" si="251"/>
        <v>Proposta Ok</v>
      </c>
    </row>
    <row r="3959" spans="12:15" x14ac:dyDescent="0.25">
      <c r="L3959">
        <f t="shared" si="248"/>
        <v>0</v>
      </c>
      <c r="M3959">
        <f t="shared" si="249"/>
        <v>1</v>
      </c>
      <c r="N3959">
        <f t="shared" si="250"/>
        <v>0</v>
      </c>
      <c r="O3959" t="str">
        <f t="shared" si="251"/>
        <v>Proposta Ok</v>
      </c>
    </row>
    <row r="3960" spans="12:15" x14ac:dyDescent="0.25">
      <c r="L3960">
        <f t="shared" si="248"/>
        <v>0</v>
      </c>
      <c r="M3960">
        <f t="shared" si="249"/>
        <v>1</v>
      </c>
      <c r="N3960">
        <f t="shared" si="250"/>
        <v>0</v>
      </c>
      <c r="O3960" t="str">
        <f t="shared" si="251"/>
        <v>Proposta Ok</v>
      </c>
    </row>
    <row r="3961" spans="12:15" x14ac:dyDescent="0.25">
      <c r="L3961">
        <f t="shared" si="248"/>
        <v>0</v>
      </c>
      <c r="M3961">
        <f t="shared" si="249"/>
        <v>1</v>
      </c>
      <c r="N3961">
        <f t="shared" si="250"/>
        <v>0</v>
      </c>
      <c r="O3961" t="str">
        <f t="shared" si="251"/>
        <v>Proposta Ok</v>
      </c>
    </row>
    <row r="3962" spans="12:15" x14ac:dyDescent="0.25">
      <c r="L3962">
        <f t="shared" si="248"/>
        <v>0</v>
      </c>
      <c r="M3962">
        <f t="shared" si="249"/>
        <v>1</v>
      </c>
      <c r="N3962">
        <f t="shared" si="250"/>
        <v>0</v>
      </c>
      <c r="O3962" t="str">
        <f t="shared" si="251"/>
        <v>Proposta Ok</v>
      </c>
    </row>
    <row r="3963" spans="12:15" x14ac:dyDescent="0.25">
      <c r="L3963">
        <f t="shared" si="248"/>
        <v>0</v>
      </c>
      <c r="M3963">
        <f t="shared" si="249"/>
        <v>1</v>
      </c>
      <c r="N3963">
        <f t="shared" si="250"/>
        <v>0</v>
      </c>
      <c r="O3963" t="str">
        <f t="shared" si="251"/>
        <v>Proposta Ok</v>
      </c>
    </row>
    <row r="3964" spans="12:15" x14ac:dyDescent="0.25">
      <c r="L3964">
        <f t="shared" si="248"/>
        <v>0</v>
      </c>
      <c r="M3964">
        <f t="shared" si="249"/>
        <v>1</v>
      </c>
      <c r="N3964">
        <f t="shared" si="250"/>
        <v>0</v>
      </c>
      <c r="O3964" t="str">
        <f t="shared" si="251"/>
        <v>Proposta Ok</v>
      </c>
    </row>
    <row r="3965" spans="12:15" x14ac:dyDescent="0.25">
      <c r="L3965">
        <f t="shared" si="248"/>
        <v>0</v>
      </c>
      <c r="M3965">
        <f t="shared" si="249"/>
        <v>1</v>
      </c>
      <c r="N3965">
        <f t="shared" si="250"/>
        <v>0</v>
      </c>
      <c r="O3965" t="str">
        <f t="shared" si="251"/>
        <v>Proposta Ok</v>
      </c>
    </row>
    <row r="3966" spans="12:15" x14ac:dyDescent="0.25">
      <c r="L3966">
        <f t="shared" si="248"/>
        <v>0</v>
      </c>
      <c r="M3966">
        <f t="shared" si="249"/>
        <v>1</v>
      </c>
      <c r="N3966">
        <f t="shared" si="250"/>
        <v>0</v>
      </c>
      <c r="O3966" t="str">
        <f t="shared" si="251"/>
        <v>Proposta Ok</v>
      </c>
    </row>
    <row r="3967" spans="12:15" x14ac:dyDescent="0.25">
      <c r="L3967">
        <f t="shared" si="248"/>
        <v>0</v>
      </c>
      <c r="M3967">
        <f t="shared" si="249"/>
        <v>1</v>
      </c>
      <c r="N3967">
        <f t="shared" si="250"/>
        <v>0</v>
      </c>
      <c r="O3967" t="str">
        <f t="shared" si="251"/>
        <v>Proposta Ok</v>
      </c>
    </row>
    <row r="3968" spans="12:15" x14ac:dyDescent="0.25">
      <c r="L3968">
        <f t="shared" si="248"/>
        <v>0</v>
      </c>
      <c r="M3968">
        <f t="shared" si="249"/>
        <v>1</v>
      </c>
      <c r="N3968">
        <f t="shared" si="250"/>
        <v>0</v>
      </c>
      <c r="O3968" t="str">
        <f t="shared" si="251"/>
        <v>Proposta Ok</v>
      </c>
    </row>
    <row r="3969" spans="12:15" x14ac:dyDescent="0.25">
      <c r="L3969">
        <f t="shared" si="248"/>
        <v>0</v>
      </c>
      <c r="M3969">
        <f t="shared" si="249"/>
        <v>1</v>
      </c>
      <c r="N3969">
        <f t="shared" si="250"/>
        <v>0</v>
      </c>
      <c r="O3969" t="str">
        <f t="shared" si="251"/>
        <v>Proposta Ok</v>
      </c>
    </row>
    <row r="3970" spans="12:15" x14ac:dyDescent="0.25">
      <c r="L3970">
        <f t="shared" si="248"/>
        <v>0</v>
      </c>
      <c r="M3970">
        <f t="shared" si="249"/>
        <v>1</v>
      </c>
      <c r="N3970">
        <f t="shared" si="250"/>
        <v>0</v>
      </c>
      <c r="O3970" t="str">
        <f t="shared" si="251"/>
        <v>Proposta Ok</v>
      </c>
    </row>
    <row r="3971" spans="12:15" x14ac:dyDescent="0.25">
      <c r="L3971">
        <f t="shared" si="248"/>
        <v>0</v>
      </c>
      <c r="M3971">
        <f t="shared" si="249"/>
        <v>1</v>
      </c>
      <c r="N3971">
        <f t="shared" si="250"/>
        <v>0</v>
      </c>
      <c r="O3971" t="str">
        <f t="shared" si="251"/>
        <v>Proposta Ok</v>
      </c>
    </row>
    <row r="3972" spans="12:15" x14ac:dyDescent="0.25">
      <c r="L3972">
        <f t="shared" si="248"/>
        <v>0</v>
      </c>
      <c r="M3972">
        <f t="shared" si="249"/>
        <v>1</v>
      </c>
      <c r="N3972">
        <f t="shared" si="250"/>
        <v>0</v>
      </c>
      <c r="O3972" t="str">
        <f t="shared" si="251"/>
        <v>Proposta Ok</v>
      </c>
    </row>
    <row r="3973" spans="12:15" x14ac:dyDescent="0.25">
      <c r="L3973">
        <f t="shared" si="248"/>
        <v>0</v>
      </c>
      <c r="M3973">
        <f t="shared" si="249"/>
        <v>1</v>
      </c>
      <c r="N3973">
        <f t="shared" si="250"/>
        <v>0</v>
      </c>
      <c r="O3973" t="str">
        <f t="shared" si="251"/>
        <v>Proposta Ok</v>
      </c>
    </row>
    <row r="3974" spans="12:15" x14ac:dyDescent="0.25">
      <c r="L3974">
        <f t="shared" si="248"/>
        <v>0</v>
      </c>
      <c r="M3974">
        <f t="shared" si="249"/>
        <v>1</v>
      </c>
      <c r="N3974">
        <f t="shared" si="250"/>
        <v>0</v>
      </c>
      <c r="O3974" t="str">
        <f t="shared" si="251"/>
        <v>Proposta Ok</v>
      </c>
    </row>
    <row r="3975" spans="12:15" x14ac:dyDescent="0.25">
      <c r="L3975">
        <f t="shared" si="248"/>
        <v>0</v>
      </c>
      <c r="M3975">
        <f t="shared" si="249"/>
        <v>1</v>
      </c>
      <c r="N3975">
        <f t="shared" si="250"/>
        <v>0</v>
      </c>
      <c r="O3975" t="str">
        <f t="shared" si="251"/>
        <v>Proposta Ok</v>
      </c>
    </row>
    <row r="3976" spans="12:15" x14ac:dyDescent="0.25">
      <c r="L3976">
        <f t="shared" si="248"/>
        <v>0</v>
      </c>
      <c r="M3976">
        <f t="shared" si="249"/>
        <v>1</v>
      </c>
      <c r="N3976">
        <f t="shared" si="250"/>
        <v>0</v>
      </c>
      <c r="O3976" t="str">
        <f t="shared" si="251"/>
        <v>Proposta Ok</v>
      </c>
    </row>
    <row r="3977" spans="12:15" x14ac:dyDescent="0.25">
      <c r="L3977">
        <f t="shared" si="248"/>
        <v>0</v>
      </c>
      <c r="M3977">
        <f t="shared" si="249"/>
        <v>1</v>
      </c>
      <c r="N3977">
        <f t="shared" si="250"/>
        <v>0</v>
      </c>
      <c r="O3977" t="str">
        <f t="shared" si="251"/>
        <v>Proposta Ok</v>
      </c>
    </row>
    <row r="3978" spans="12:15" x14ac:dyDescent="0.25">
      <c r="L3978">
        <f t="shared" si="248"/>
        <v>0</v>
      </c>
      <c r="M3978">
        <f t="shared" si="249"/>
        <v>1</v>
      </c>
      <c r="N3978">
        <f t="shared" si="250"/>
        <v>0</v>
      </c>
      <c r="O3978" t="str">
        <f t="shared" si="251"/>
        <v>Proposta Ok</v>
      </c>
    </row>
    <row r="3979" spans="12:15" x14ac:dyDescent="0.25">
      <c r="L3979">
        <f t="shared" si="248"/>
        <v>0</v>
      </c>
      <c r="M3979">
        <f t="shared" si="249"/>
        <v>1</v>
      </c>
      <c r="N3979">
        <f t="shared" si="250"/>
        <v>0</v>
      </c>
      <c r="O3979" t="str">
        <f t="shared" si="251"/>
        <v>Proposta Ok</v>
      </c>
    </row>
    <row r="3980" spans="12:15" x14ac:dyDescent="0.25">
      <c r="L3980">
        <f t="shared" si="248"/>
        <v>0</v>
      </c>
      <c r="M3980">
        <f t="shared" si="249"/>
        <v>1</v>
      </c>
      <c r="N3980">
        <f t="shared" si="250"/>
        <v>0</v>
      </c>
      <c r="O3980" t="str">
        <f t="shared" si="251"/>
        <v>Proposta Ok</v>
      </c>
    </row>
    <row r="3981" spans="12:15" x14ac:dyDescent="0.25">
      <c r="L3981">
        <f t="shared" si="248"/>
        <v>0</v>
      </c>
      <c r="M3981">
        <f t="shared" si="249"/>
        <v>1</v>
      </c>
      <c r="N3981">
        <f t="shared" si="250"/>
        <v>0</v>
      </c>
      <c r="O3981" t="str">
        <f t="shared" si="251"/>
        <v>Proposta Ok</v>
      </c>
    </row>
    <row r="3982" spans="12:15" x14ac:dyDescent="0.25">
      <c r="L3982">
        <f t="shared" si="248"/>
        <v>0</v>
      </c>
      <c r="M3982">
        <f t="shared" si="249"/>
        <v>1</v>
      </c>
      <c r="N3982">
        <f t="shared" si="250"/>
        <v>0</v>
      </c>
      <c r="O3982" t="str">
        <f t="shared" si="251"/>
        <v>Proposta Ok</v>
      </c>
    </row>
    <row r="3983" spans="12:15" x14ac:dyDescent="0.25">
      <c r="L3983">
        <f t="shared" si="248"/>
        <v>0</v>
      </c>
      <c r="M3983">
        <f t="shared" si="249"/>
        <v>1</v>
      </c>
      <c r="N3983">
        <f t="shared" si="250"/>
        <v>0</v>
      </c>
      <c r="O3983" t="str">
        <f t="shared" si="251"/>
        <v>Proposta Ok</v>
      </c>
    </row>
    <row r="3984" spans="12:15" x14ac:dyDescent="0.25">
      <c r="L3984">
        <f t="shared" si="248"/>
        <v>0</v>
      </c>
      <c r="M3984">
        <f t="shared" si="249"/>
        <v>1</v>
      </c>
      <c r="N3984">
        <f t="shared" si="250"/>
        <v>0</v>
      </c>
      <c r="O3984" t="str">
        <f t="shared" si="251"/>
        <v>Proposta Ok</v>
      </c>
    </row>
    <row r="3985" spans="12:15" x14ac:dyDescent="0.25">
      <c r="L3985">
        <f t="shared" si="248"/>
        <v>0</v>
      </c>
      <c r="M3985">
        <f t="shared" si="249"/>
        <v>1</v>
      </c>
      <c r="N3985">
        <f t="shared" si="250"/>
        <v>0</v>
      </c>
      <c r="O3985" t="str">
        <f t="shared" si="251"/>
        <v>Proposta Ok</v>
      </c>
    </row>
    <row r="3986" spans="12:15" x14ac:dyDescent="0.25">
      <c r="L3986">
        <f t="shared" si="248"/>
        <v>0</v>
      </c>
      <c r="M3986">
        <f t="shared" si="249"/>
        <v>1</v>
      </c>
      <c r="N3986">
        <f t="shared" si="250"/>
        <v>0</v>
      </c>
      <c r="O3986" t="str">
        <f t="shared" si="251"/>
        <v>Proposta Ok</v>
      </c>
    </row>
    <row r="3987" spans="12:15" x14ac:dyDescent="0.25">
      <c r="L3987">
        <f t="shared" si="248"/>
        <v>0</v>
      </c>
      <c r="M3987">
        <f t="shared" si="249"/>
        <v>1</v>
      </c>
      <c r="N3987">
        <f t="shared" si="250"/>
        <v>0</v>
      </c>
      <c r="O3987" t="str">
        <f t="shared" si="251"/>
        <v>Proposta Ok</v>
      </c>
    </row>
    <row r="3988" spans="12:15" x14ac:dyDescent="0.25">
      <c r="L3988">
        <f t="shared" si="248"/>
        <v>0</v>
      </c>
      <c r="M3988">
        <f t="shared" si="249"/>
        <v>1</v>
      </c>
      <c r="N3988">
        <f t="shared" si="250"/>
        <v>0</v>
      </c>
      <c r="O3988" t="str">
        <f t="shared" si="251"/>
        <v>Proposta Ok</v>
      </c>
    </row>
    <row r="3989" spans="12:15" x14ac:dyDescent="0.25">
      <c r="L3989">
        <f t="shared" si="248"/>
        <v>0</v>
      </c>
      <c r="M3989">
        <f t="shared" si="249"/>
        <v>1</v>
      </c>
      <c r="N3989">
        <f t="shared" si="250"/>
        <v>0</v>
      </c>
      <c r="O3989" t="str">
        <f t="shared" si="251"/>
        <v>Proposta Ok</v>
      </c>
    </row>
    <row r="3990" spans="12:15" x14ac:dyDescent="0.25">
      <c r="L3990">
        <f t="shared" si="248"/>
        <v>0</v>
      </c>
      <c r="M3990">
        <f t="shared" si="249"/>
        <v>1</v>
      </c>
      <c r="N3990">
        <f t="shared" si="250"/>
        <v>0</v>
      </c>
      <c r="O3990" t="str">
        <f t="shared" si="251"/>
        <v>Proposta Ok</v>
      </c>
    </row>
    <row r="3991" spans="12:15" x14ac:dyDescent="0.25">
      <c r="L3991">
        <f t="shared" si="248"/>
        <v>0</v>
      </c>
      <c r="M3991">
        <f t="shared" si="249"/>
        <v>1</v>
      </c>
      <c r="N3991">
        <f t="shared" si="250"/>
        <v>0</v>
      </c>
      <c r="O3991" t="str">
        <f t="shared" si="251"/>
        <v>Proposta Ok</v>
      </c>
    </row>
    <row r="3992" spans="12:15" x14ac:dyDescent="0.25">
      <c r="L3992">
        <f t="shared" si="248"/>
        <v>0</v>
      </c>
      <c r="M3992">
        <f t="shared" si="249"/>
        <v>1</v>
      </c>
      <c r="N3992">
        <f t="shared" si="250"/>
        <v>0</v>
      </c>
      <c r="O3992" t="str">
        <f t="shared" si="251"/>
        <v>Proposta Ok</v>
      </c>
    </row>
    <row r="3993" spans="12:15" x14ac:dyDescent="0.25">
      <c r="L3993">
        <f t="shared" si="248"/>
        <v>0</v>
      </c>
      <c r="M3993">
        <f t="shared" si="249"/>
        <v>1</v>
      </c>
      <c r="N3993">
        <f t="shared" si="250"/>
        <v>0</v>
      </c>
      <c r="O3993" t="str">
        <f t="shared" si="251"/>
        <v>Proposta Ok</v>
      </c>
    </row>
    <row r="3994" spans="12:15" x14ac:dyDescent="0.25">
      <c r="L3994">
        <f t="shared" si="248"/>
        <v>0</v>
      </c>
      <c r="M3994">
        <f t="shared" si="249"/>
        <v>1</v>
      </c>
      <c r="N3994">
        <f t="shared" si="250"/>
        <v>0</v>
      </c>
      <c r="O3994" t="str">
        <f t="shared" si="251"/>
        <v>Proposta Ok</v>
      </c>
    </row>
    <row r="3995" spans="12:15" x14ac:dyDescent="0.25">
      <c r="L3995">
        <f t="shared" ref="L3995:L4058" si="252">IF(OR(I3995="Termo OK (Exceção)",I3995="Termo OK"),1,0)</f>
        <v>0</v>
      </c>
      <c r="M3995">
        <f t="shared" ref="M3995:M4058" si="253">IF(OR(I3995="Termo OK (Exceção)",I3995="Termo OK"),0,1)</f>
        <v>1</v>
      </c>
      <c r="N3995">
        <f t="shared" ref="N3995:N4058" si="254">IF(J3995="SIM",1,0)</f>
        <v>0</v>
      </c>
      <c r="O3995" t="str">
        <f t="shared" ref="O3995:O4058" si="255">IF(SUMIFS(M:M,A:A,A3995)&gt;0,"Proposta não Ok","Proposta Ok")</f>
        <v>Proposta Ok</v>
      </c>
    </row>
    <row r="3996" spans="12:15" x14ac:dyDescent="0.25">
      <c r="L3996">
        <f t="shared" si="252"/>
        <v>0</v>
      </c>
      <c r="M3996">
        <f t="shared" si="253"/>
        <v>1</v>
      </c>
      <c r="N3996">
        <f t="shared" si="254"/>
        <v>0</v>
      </c>
      <c r="O3996" t="str">
        <f t="shared" si="255"/>
        <v>Proposta Ok</v>
      </c>
    </row>
    <row r="3997" spans="12:15" x14ac:dyDescent="0.25">
      <c r="L3997">
        <f t="shared" si="252"/>
        <v>0</v>
      </c>
      <c r="M3997">
        <f t="shared" si="253"/>
        <v>1</v>
      </c>
      <c r="N3997">
        <f t="shared" si="254"/>
        <v>0</v>
      </c>
      <c r="O3997" t="str">
        <f t="shared" si="255"/>
        <v>Proposta Ok</v>
      </c>
    </row>
    <row r="3998" spans="12:15" x14ac:dyDescent="0.25">
      <c r="L3998">
        <f t="shared" si="252"/>
        <v>0</v>
      </c>
      <c r="M3998">
        <f t="shared" si="253"/>
        <v>1</v>
      </c>
      <c r="N3998">
        <f t="shared" si="254"/>
        <v>0</v>
      </c>
      <c r="O3998" t="str">
        <f t="shared" si="255"/>
        <v>Proposta Ok</v>
      </c>
    </row>
    <row r="3999" spans="12:15" x14ac:dyDescent="0.25">
      <c r="L3999">
        <f t="shared" si="252"/>
        <v>0</v>
      </c>
      <c r="M3999">
        <f t="shared" si="253"/>
        <v>1</v>
      </c>
      <c r="N3999">
        <f t="shared" si="254"/>
        <v>0</v>
      </c>
      <c r="O3999" t="str">
        <f t="shared" si="255"/>
        <v>Proposta Ok</v>
      </c>
    </row>
    <row r="4000" spans="12:15" x14ac:dyDescent="0.25">
      <c r="L4000">
        <f t="shared" si="252"/>
        <v>0</v>
      </c>
      <c r="M4000">
        <f t="shared" si="253"/>
        <v>1</v>
      </c>
      <c r="N4000">
        <f t="shared" si="254"/>
        <v>0</v>
      </c>
      <c r="O4000" t="str">
        <f t="shared" si="255"/>
        <v>Proposta Ok</v>
      </c>
    </row>
    <row r="4001" spans="12:15" x14ac:dyDescent="0.25">
      <c r="L4001">
        <f t="shared" si="252"/>
        <v>0</v>
      </c>
      <c r="M4001">
        <f t="shared" si="253"/>
        <v>1</v>
      </c>
      <c r="N4001">
        <f t="shared" si="254"/>
        <v>0</v>
      </c>
      <c r="O4001" t="str">
        <f t="shared" si="255"/>
        <v>Proposta Ok</v>
      </c>
    </row>
    <row r="4002" spans="12:15" x14ac:dyDescent="0.25">
      <c r="L4002">
        <f t="shared" si="252"/>
        <v>0</v>
      </c>
      <c r="M4002">
        <f t="shared" si="253"/>
        <v>1</v>
      </c>
      <c r="N4002">
        <f t="shared" si="254"/>
        <v>0</v>
      </c>
      <c r="O4002" t="str">
        <f t="shared" si="255"/>
        <v>Proposta Ok</v>
      </c>
    </row>
    <row r="4003" spans="12:15" x14ac:dyDescent="0.25">
      <c r="L4003">
        <f t="shared" si="252"/>
        <v>0</v>
      </c>
      <c r="M4003">
        <f t="shared" si="253"/>
        <v>1</v>
      </c>
      <c r="N4003">
        <f t="shared" si="254"/>
        <v>0</v>
      </c>
      <c r="O4003" t="str">
        <f t="shared" si="255"/>
        <v>Proposta Ok</v>
      </c>
    </row>
    <row r="4004" spans="12:15" x14ac:dyDescent="0.25">
      <c r="L4004">
        <f t="shared" si="252"/>
        <v>0</v>
      </c>
      <c r="M4004">
        <f t="shared" si="253"/>
        <v>1</v>
      </c>
      <c r="N4004">
        <f t="shared" si="254"/>
        <v>0</v>
      </c>
      <c r="O4004" t="str">
        <f t="shared" si="255"/>
        <v>Proposta Ok</v>
      </c>
    </row>
    <row r="4005" spans="12:15" x14ac:dyDescent="0.25">
      <c r="L4005">
        <f t="shared" si="252"/>
        <v>0</v>
      </c>
      <c r="M4005">
        <f t="shared" si="253"/>
        <v>1</v>
      </c>
      <c r="N4005">
        <f t="shared" si="254"/>
        <v>0</v>
      </c>
      <c r="O4005" t="str">
        <f t="shared" si="255"/>
        <v>Proposta Ok</v>
      </c>
    </row>
    <row r="4006" spans="12:15" x14ac:dyDescent="0.25">
      <c r="L4006">
        <f t="shared" si="252"/>
        <v>0</v>
      </c>
      <c r="M4006">
        <f t="shared" si="253"/>
        <v>1</v>
      </c>
      <c r="N4006">
        <f t="shared" si="254"/>
        <v>0</v>
      </c>
      <c r="O4006" t="str">
        <f t="shared" si="255"/>
        <v>Proposta Ok</v>
      </c>
    </row>
    <row r="4007" spans="12:15" x14ac:dyDescent="0.25">
      <c r="L4007">
        <f t="shared" si="252"/>
        <v>0</v>
      </c>
      <c r="M4007">
        <f t="shared" si="253"/>
        <v>1</v>
      </c>
      <c r="N4007">
        <f t="shared" si="254"/>
        <v>0</v>
      </c>
      <c r="O4007" t="str">
        <f t="shared" si="255"/>
        <v>Proposta Ok</v>
      </c>
    </row>
    <row r="4008" spans="12:15" x14ac:dyDescent="0.25">
      <c r="L4008">
        <f t="shared" si="252"/>
        <v>0</v>
      </c>
      <c r="M4008">
        <f t="shared" si="253"/>
        <v>1</v>
      </c>
      <c r="N4008">
        <f t="shared" si="254"/>
        <v>0</v>
      </c>
      <c r="O4008" t="str">
        <f t="shared" si="255"/>
        <v>Proposta Ok</v>
      </c>
    </row>
    <row r="4009" spans="12:15" x14ac:dyDescent="0.25">
      <c r="L4009">
        <f t="shared" si="252"/>
        <v>0</v>
      </c>
      <c r="M4009">
        <f t="shared" si="253"/>
        <v>1</v>
      </c>
      <c r="N4009">
        <f t="shared" si="254"/>
        <v>0</v>
      </c>
      <c r="O4009" t="str">
        <f t="shared" si="255"/>
        <v>Proposta Ok</v>
      </c>
    </row>
    <row r="4010" spans="12:15" x14ac:dyDescent="0.25">
      <c r="L4010">
        <f t="shared" si="252"/>
        <v>0</v>
      </c>
      <c r="M4010">
        <f t="shared" si="253"/>
        <v>1</v>
      </c>
      <c r="N4010">
        <f t="shared" si="254"/>
        <v>0</v>
      </c>
      <c r="O4010" t="str">
        <f t="shared" si="255"/>
        <v>Proposta Ok</v>
      </c>
    </row>
    <row r="4011" spans="12:15" x14ac:dyDescent="0.25">
      <c r="L4011">
        <f t="shared" si="252"/>
        <v>0</v>
      </c>
      <c r="M4011">
        <f t="shared" si="253"/>
        <v>1</v>
      </c>
      <c r="N4011">
        <f t="shared" si="254"/>
        <v>0</v>
      </c>
      <c r="O4011" t="str">
        <f t="shared" si="255"/>
        <v>Proposta Ok</v>
      </c>
    </row>
    <row r="4012" spans="12:15" x14ac:dyDescent="0.25">
      <c r="L4012">
        <f t="shared" si="252"/>
        <v>0</v>
      </c>
      <c r="M4012">
        <f t="shared" si="253"/>
        <v>1</v>
      </c>
      <c r="N4012">
        <f t="shared" si="254"/>
        <v>0</v>
      </c>
      <c r="O4012" t="str">
        <f t="shared" si="255"/>
        <v>Proposta Ok</v>
      </c>
    </row>
    <row r="4013" spans="12:15" x14ac:dyDescent="0.25">
      <c r="L4013">
        <f t="shared" si="252"/>
        <v>0</v>
      </c>
      <c r="M4013">
        <f t="shared" si="253"/>
        <v>1</v>
      </c>
      <c r="N4013">
        <f t="shared" si="254"/>
        <v>0</v>
      </c>
      <c r="O4013" t="str">
        <f t="shared" si="255"/>
        <v>Proposta Ok</v>
      </c>
    </row>
    <row r="4014" spans="12:15" x14ac:dyDescent="0.25">
      <c r="L4014">
        <f t="shared" si="252"/>
        <v>0</v>
      </c>
      <c r="M4014">
        <f t="shared" si="253"/>
        <v>1</v>
      </c>
      <c r="N4014">
        <f t="shared" si="254"/>
        <v>0</v>
      </c>
      <c r="O4014" t="str">
        <f t="shared" si="255"/>
        <v>Proposta Ok</v>
      </c>
    </row>
    <row r="4015" spans="12:15" x14ac:dyDescent="0.25">
      <c r="L4015">
        <f t="shared" si="252"/>
        <v>0</v>
      </c>
      <c r="M4015">
        <f t="shared" si="253"/>
        <v>1</v>
      </c>
      <c r="N4015">
        <f t="shared" si="254"/>
        <v>0</v>
      </c>
      <c r="O4015" t="str">
        <f t="shared" si="255"/>
        <v>Proposta Ok</v>
      </c>
    </row>
    <row r="4016" spans="12:15" x14ac:dyDescent="0.25">
      <c r="L4016">
        <f t="shared" si="252"/>
        <v>0</v>
      </c>
      <c r="M4016">
        <f t="shared" si="253"/>
        <v>1</v>
      </c>
      <c r="N4016">
        <f t="shared" si="254"/>
        <v>0</v>
      </c>
      <c r="O4016" t="str">
        <f t="shared" si="255"/>
        <v>Proposta Ok</v>
      </c>
    </row>
    <row r="4017" spans="12:15" x14ac:dyDescent="0.25">
      <c r="L4017">
        <f t="shared" si="252"/>
        <v>0</v>
      </c>
      <c r="M4017">
        <f t="shared" si="253"/>
        <v>1</v>
      </c>
      <c r="N4017">
        <f t="shared" si="254"/>
        <v>0</v>
      </c>
      <c r="O4017" t="str">
        <f t="shared" si="255"/>
        <v>Proposta Ok</v>
      </c>
    </row>
    <row r="4018" spans="12:15" x14ac:dyDescent="0.25">
      <c r="L4018">
        <f t="shared" si="252"/>
        <v>0</v>
      </c>
      <c r="M4018">
        <f t="shared" si="253"/>
        <v>1</v>
      </c>
      <c r="N4018">
        <f t="shared" si="254"/>
        <v>0</v>
      </c>
      <c r="O4018" t="str">
        <f t="shared" si="255"/>
        <v>Proposta Ok</v>
      </c>
    </row>
    <row r="4019" spans="12:15" x14ac:dyDescent="0.25">
      <c r="L4019">
        <f t="shared" si="252"/>
        <v>0</v>
      </c>
      <c r="M4019">
        <f t="shared" si="253"/>
        <v>1</v>
      </c>
      <c r="N4019">
        <f t="shared" si="254"/>
        <v>0</v>
      </c>
      <c r="O4019" t="str">
        <f t="shared" si="255"/>
        <v>Proposta Ok</v>
      </c>
    </row>
    <row r="4020" spans="12:15" x14ac:dyDescent="0.25">
      <c r="L4020">
        <f t="shared" si="252"/>
        <v>0</v>
      </c>
      <c r="M4020">
        <f t="shared" si="253"/>
        <v>1</v>
      </c>
      <c r="N4020">
        <f t="shared" si="254"/>
        <v>0</v>
      </c>
      <c r="O4020" t="str">
        <f t="shared" si="255"/>
        <v>Proposta Ok</v>
      </c>
    </row>
    <row r="4021" spans="12:15" x14ac:dyDescent="0.25">
      <c r="L4021">
        <f t="shared" si="252"/>
        <v>0</v>
      </c>
      <c r="M4021">
        <f t="shared" si="253"/>
        <v>1</v>
      </c>
      <c r="N4021">
        <f t="shared" si="254"/>
        <v>0</v>
      </c>
      <c r="O4021" t="str">
        <f t="shared" si="255"/>
        <v>Proposta Ok</v>
      </c>
    </row>
    <row r="4022" spans="12:15" x14ac:dyDescent="0.25">
      <c r="L4022">
        <f t="shared" si="252"/>
        <v>0</v>
      </c>
      <c r="M4022">
        <f t="shared" si="253"/>
        <v>1</v>
      </c>
      <c r="N4022">
        <f t="shared" si="254"/>
        <v>0</v>
      </c>
      <c r="O4022" t="str">
        <f t="shared" si="255"/>
        <v>Proposta Ok</v>
      </c>
    </row>
    <row r="4023" spans="12:15" x14ac:dyDescent="0.25">
      <c r="L4023">
        <f t="shared" si="252"/>
        <v>0</v>
      </c>
      <c r="M4023">
        <f t="shared" si="253"/>
        <v>1</v>
      </c>
      <c r="N4023">
        <f t="shared" si="254"/>
        <v>0</v>
      </c>
      <c r="O4023" t="str">
        <f t="shared" si="255"/>
        <v>Proposta Ok</v>
      </c>
    </row>
    <row r="4024" spans="12:15" x14ac:dyDescent="0.25">
      <c r="L4024">
        <f t="shared" si="252"/>
        <v>0</v>
      </c>
      <c r="M4024">
        <f t="shared" si="253"/>
        <v>1</v>
      </c>
      <c r="N4024">
        <f t="shared" si="254"/>
        <v>0</v>
      </c>
      <c r="O4024" t="str">
        <f t="shared" si="255"/>
        <v>Proposta Ok</v>
      </c>
    </row>
    <row r="4025" spans="12:15" x14ac:dyDescent="0.25">
      <c r="L4025">
        <f t="shared" si="252"/>
        <v>0</v>
      </c>
      <c r="M4025">
        <f t="shared" si="253"/>
        <v>1</v>
      </c>
      <c r="N4025">
        <f t="shared" si="254"/>
        <v>0</v>
      </c>
      <c r="O4025" t="str">
        <f t="shared" si="255"/>
        <v>Proposta Ok</v>
      </c>
    </row>
    <row r="4026" spans="12:15" x14ac:dyDescent="0.25">
      <c r="L4026">
        <f t="shared" si="252"/>
        <v>0</v>
      </c>
      <c r="M4026">
        <f t="shared" si="253"/>
        <v>1</v>
      </c>
      <c r="N4026">
        <f t="shared" si="254"/>
        <v>0</v>
      </c>
      <c r="O4026" t="str">
        <f t="shared" si="255"/>
        <v>Proposta Ok</v>
      </c>
    </row>
    <row r="4027" spans="12:15" x14ac:dyDescent="0.25">
      <c r="L4027">
        <f t="shared" si="252"/>
        <v>0</v>
      </c>
      <c r="M4027">
        <f t="shared" si="253"/>
        <v>1</v>
      </c>
      <c r="N4027">
        <f t="shared" si="254"/>
        <v>0</v>
      </c>
      <c r="O4027" t="str">
        <f t="shared" si="255"/>
        <v>Proposta Ok</v>
      </c>
    </row>
    <row r="4028" spans="12:15" x14ac:dyDescent="0.25">
      <c r="L4028">
        <f t="shared" si="252"/>
        <v>0</v>
      </c>
      <c r="M4028">
        <f t="shared" si="253"/>
        <v>1</v>
      </c>
      <c r="N4028">
        <f t="shared" si="254"/>
        <v>0</v>
      </c>
      <c r="O4028" t="str">
        <f t="shared" si="255"/>
        <v>Proposta Ok</v>
      </c>
    </row>
    <row r="4029" spans="12:15" x14ac:dyDescent="0.25">
      <c r="L4029">
        <f t="shared" si="252"/>
        <v>0</v>
      </c>
      <c r="M4029">
        <f t="shared" si="253"/>
        <v>1</v>
      </c>
      <c r="N4029">
        <f t="shared" si="254"/>
        <v>0</v>
      </c>
      <c r="O4029" t="str">
        <f t="shared" si="255"/>
        <v>Proposta Ok</v>
      </c>
    </row>
    <row r="4030" spans="12:15" x14ac:dyDescent="0.25">
      <c r="L4030">
        <f t="shared" si="252"/>
        <v>0</v>
      </c>
      <c r="M4030">
        <f t="shared" si="253"/>
        <v>1</v>
      </c>
      <c r="N4030">
        <f t="shared" si="254"/>
        <v>0</v>
      </c>
      <c r="O4030" t="str">
        <f t="shared" si="255"/>
        <v>Proposta Ok</v>
      </c>
    </row>
    <row r="4031" spans="12:15" x14ac:dyDescent="0.25">
      <c r="L4031">
        <f t="shared" si="252"/>
        <v>0</v>
      </c>
      <c r="M4031">
        <f t="shared" si="253"/>
        <v>1</v>
      </c>
      <c r="N4031">
        <f t="shared" si="254"/>
        <v>0</v>
      </c>
      <c r="O4031" t="str">
        <f t="shared" si="255"/>
        <v>Proposta Ok</v>
      </c>
    </row>
    <row r="4032" spans="12:15" x14ac:dyDescent="0.25">
      <c r="L4032">
        <f t="shared" si="252"/>
        <v>0</v>
      </c>
      <c r="M4032">
        <f t="shared" si="253"/>
        <v>1</v>
      </c>
      <c r="N4032">
        <f t="shared" si="254"/>
        <v>0</v>
      </c>
      <c r="O4032" t="str">
        <f t="shared" si="255"/>
        <v>Proposta Ok</v>
      </c>
    </row>
    <row r="4033" spans="12:15" x14ac:dyDescent="0.25">
      <c r="L4033">
        <f t="shared" si="252"/>
        <v>0</v>
      </c>
      <c r="M4033">
        <f t="shared" si="253"/>
        <v>1</v>
      </c>
      <c r="N4033">
        <f t="shared" si="254"/>
        <v>0</v>
      </c>
      <c r="O4033" t="str">
        <f t="shared" si="255"/>
        <v>Proposta Ok</v>
      </c>
    </row>
    <row r="4034" spans="12:15" x14ac:dyDescent="0.25">
      <c r="L4034">
        <f t="shared" si="252"/>
        <v>0</v>
      </c>
      <c r="M4034">
        <f t="shared" si="253"/>
        <v>1</v>
      </c>
      <c r="N4034">
        <f t="shared" si="254"/>
        <v>0</v>
      </c>
      <c r="O4034" t="str">
        <f t="shared" si="255"/>
        <v>Proposta Ok</v>
      </c>
    </row>
    <row r="4035" spans="12:15" x14ac:dyDescent="0.25">
      <c r="L4035">
        <f t="shared" si="252"/>
        <v>0</v>
      </c>
      <c r="M4035">
        <f t="shared" si="253"/>
        <v>1</v>
      </c>
      <c r="N4035">
        <f t="shared" si="254"/>
        <v>0</v>
      </c>
      <c r="O4035" t="str">
        <f t="shared" si="255"/>
        <v>Proposta Ok</v>
      </c>
    </row>
    <row r="4036" spans="12:15" x14ac:dyDescent="0.25">
      <c r="L4036">
        <f t="shared" si="252"/>
        <v>0</v>
      </c>
      <c r="M4036">
        <f t="shared" si="253"/>
        <v>1</v>
      </c>
      <c r="N4036">
        <f t="shared" si="254"/>
        <v>0</v>
      </c>
      <c r="O4036" t="str">
        <f t="shared" si="255"/>
        <v>Proposta Ok</v>
      </c>
    </row>
    <row r="4037" spans="12:15" x14ac:dyDescent="0.25">
      <c r="L4037">
        <f t="shared" si="252"/>
        <v>0</v>
      </c>
      <c r="M4037">
        <f t="shared" si="253"/>
        <v>1</v>
      </c>
      <c r="N4037">
        <f t="shared" si="254"/>
        <v>0</v>
      </c>
      <c r="O4037" t="str">
        <f t="shared" si="255"/>
        <v>Proposta Ok</v>
      </c>
    </row>
    <row r="4038" spans="12:15" x14ac:dyDescent="0.25">
      <c r="L4038">
        <f t="shared" si="252"/>
        <v>0</v>
      </c>
      <c r="M4038">
        <f t="shared" si="253"/>
        <v>1</v>
      </c>
      <c r="N4038">
        <f t="shared" si="254"/>
        <v>0</v>
      </c>
      <c r="O4038" t="str">
        <f t="shared" si="255"/>
        <v>Proposta Ok</v>
      </c>
    </row>
    <row r="4039" spans="12:15" x14ac:dyDescent="0.25">
      <c r="L4039">
        <f t="shared" si="252"/>
        <v>0</v>
      </c>
      <c r="M4039">
        <f t="shared" si="253"/>
        <v>1</v>
      </c>
      <c r="N4039">
        <f t="shared" si="254"/>
        <v>0</v>
      </c>
      <c r="O4039" t="str">
        <f t="shared" si="255"/>
        <v>Proposta Ok</v>
      </c>
    </row>
    <row r="4040" spans="12:15" x14ac:dyDescent="0.25">
      <c r="L4040">
        <f t="shared" si="252"/>
        <v>0</v>
      </c>
      <c r="M4040">
        <f t="shared" si="253"/>
        <v>1</v>
      </c>
      <c r="N4040">
        <f t="shared" si="254"/>
        <v>0</v>
      </c>
      <c r="O4040" t="str">
        <f t="shared" si="255"/>
        <v>Proposta Ok</v>
      </c>
    </row>
    <row r="4041" spans="12:15" x14ac:dyDescent="0.25">
      <c r="L4041">
        <f t="shared" si="252"/>
        <v>0</v>
      </c>
      <c r="M4041">
        <f t="shared" si="253"/>
        <v>1</v>
      </c>
      <c r="N4041">
        <f t="shared" si="254"/>
        <v>0</v>
      </c>
      <c r="O4041" t="str">
        <f t="shared" si="255"/>
        <v>Proposta Ok</v>
      </c>
    </row>
    <row r="4042" spans="12:15" x14ac:dyDescent="0.25">
      <c r="L4042">
        <f t="shared" si="252"/>
        <v>0</v>
      </c>
      <c r="M4042">
        <f t="shared" si="253"/>
        <v>1</v>
      </c>
      <c r="N4042">
        <f t="shared" si="254"/>
        <v>0</v>
      </c>
      <c r="O4042" t="str">
        <f t="shared" si="255"/>
        <v>Proposta Ok</v>
      </c>
    </row>
    <row r="4043" spans="12:15" x14ac:dyDescent="0.25">
      <c r="L4043">
        <f t="shared" si="252"/>
        <v>0</v>
      </c>
      <c r="M4043">
        <f t="shared" si="253"/>
        <v>1</v>
      </c>
      <c r="N4043">
        <f t="shared" si="254"/>
        <v>0</v>
      </c>
      <c r="O4043" t="str">
        <f t="shared" si="255"/>
        <v>Proposta Ok</v>
      </c>
    </row>
    <row r="4044" spans="12:15" x14ac:dyDescent="0.25">
      <c r="L4044">
        <f t="shared" si="252"/>
        <v>0</v>
      </c>
      <c r="M4044">
        <f t="shared" si="253"/>
        <v>1</v>
      </c>
      <c r="N4044">
        <f t="shared" si="254"/>
        <v>0</v>
      </c>
      <c r="O4044" t="str">
        <f t="shared" si="255"/>
        <v>Proposta Ok</v>
      </c>
    </row>
    <row r="4045" spans="12:15" x14ac:dyDescent="0.25">
      <c r="L4045">
        <f t="shared" si="252"/>
        <v>0</v>
      </c>
      <c r="M4045">
        <f t="shared" si="253"/>
        <v>1</v>
      </c>
      <c r="N4045">
        <f t="shared" si="254"/>
        <v>0</v>
      </c>
      <c r="O4045" t="str">
        <f t="shared" si="255"/>
        <v>Proposta Ok</v>
      </c>
    </row>
    <row r="4046" spans="12:15" x14ac:dyDescent="0.25">
      <c r="L4046">
        <f t="shared" si="252"/>
        <v>0</v>
      </c>
      <c r="M4046">
        <f t="shared" si="253"/>
        <v>1</v>
      </c>
      <c r="N4046">
        <f t="shared" si="254"/>
        <v>0</v>
      </c>
      <c r="O4046" t="str">
        <f t="shared" si="255"/>
        <v>Proposta Ok</v>
      </c>
    </row>
    <row r="4047" spans="12:15" x14ac:dyDescent="0.25">
      <c r="L4047">
        <f t="shared" si="252"/>
        <v>0</v>
      </c>
      <c r="M4047">
        <f t="shared" si="253"/>
        <v>1</v>
      </c>
      <c r="N4047">
        <f t="shared" si="254"/>
        <v>0</v>
      </c>
      <c r="O4047" t="str">
        <f t="shared" si="255"/>
        <v>Proposta Ok</v>
      </c>
    </row>
    <row r="4048" spans="12:15" x14ac:dyDescent="0.25">
      <c r="L4048">
        <f t="shared" si="252"/>
        <v>0</v>
      </c>
      <c r="M4048">
        <f t="shared" si="253"/>
        <v>1</v>
      </c>
      <c r="N4048">
        <f t="shared" si="254"/>
        <v>0</v>
      </c>
      <c r="O4048" t="str">
        <f t="shared" si="255"/>
        <v>Proposta Ok</v>
      </c>
    </row>
    <row r="4049" spans="12:15" x14ac:dyDescent="0.25">
      <c r="L4049">
        <f t="shared" si="252"/>
        <v>0</v>
      </c>
      <c r="M4049">
        <f t="shared" si="253"/>
        <v>1</v>
      </c>
      <c r="N4049">
        <f t="shared" si="254"/>
        <v>0</v>
      </c>
      <c r="O4049" t="str">
        <f t="shared" si="255"/>
        <v>Proposta Ok</v>
      </c>
    </row>
    <row r="4050" spans="12:15" x14ac:dyDescent="0.25">
      <c r="L4050">
        <f t="shared" si="252"/>
        <v>0</v>
      </c>
      <c r="M4050">
        <f t="shared" si="253"/>
        <v>1</v>
      </c>
      <c r="N4050">
        <f t="shared" si="254"/>
        <v>0</v>
      </c>
      <c r="O4050" t="str">
        <f t="shared" si="255"/>
        <v>Proposta Ok</v>
      </c>
    </row>
    <row r="4051" spans="12:15" x14ac:dyDescent="0.25">
      <c r="L4051">
        <f t="shared" si="252"/>
        <v>0</v>
      </c>
      <c r="M4051">
        <f t="shared" si="253"/>
        <v>1</v>
      </c>
      <c r="N4051">
        <f t="shared" si="254"/>
        <v>0</v>
      </c>
      <c r="O4051" t="str">
        <f t="shared" si="255"/>
        <v>Proposta Ok</v>
      </c>
    </row>
    <row r="4052" spans="12:15" x14ac:dyDescent="0.25">
      <c r="L4052">
        <f t="shared" si="252"/>
        <v>0</v>
      </c>
      <c r="M4052">
        <f t="shared" si="253"/>
        <v>1</v>
      </c>
      <c r="N4052">
        <f t="shared" si="254"/>
        <v>0</v>
      </c>
      <c r="O4052" t="str">
        <f t="shared" si="255"/>
        <v>Proposta Ok</v>
      </c>
    </row>
    <row r="4053" spans="12:15" x14ac:dyDescent="0.25">
      <c r="L4053">
        <f t="shared" si="252"/>
        <v>0</v>
      </c>
      <c r="M4053">
        <f t="shared" si="253"/>
        <v>1</v>
      </c>
      <c r="N4053">
        <f t="shared" si="254"/>
        <v>0</v>
      </c>
      <c r="O4053" t="str">
        <f t="shared" si="255"/>
        <v>Proposta Ok</v>
      </c>
    </row>
    <row r="4054" spans="12:15" x14ac:dyDescent="0.25">
      <c r="L4054">
        <f t="shared" si="252"/>
        <v>0</v>
      </c>
      <c r="M4054">
        <f t="shared" si="253"/>
        <v>1</v>
      </c>
      <c r="N4054">
        <f t="shared" si="254"/>
        <v>0</v>
      </c>
      <c r="O4054" t="str">
        <f t="shared" si="255"/>
        <v>Proposta Ok</v>
      </c>
    </row>
    <row r="4055" spans="12:15" x14ac:dyDescent="0.25">
      <c r="L4055">
        <f t="shared" si="252"/>
        <v>0</v>
      </c>
      <c r="M4055">
        <f t="shared" si="253"/>
        <v>1</v>
      </c>
      <c r="N4055">
        <f t="shared" si="254"/>
        <v>0</v>
      </c>
      <c r="O4055" t="str">
        <f t="shared" si="255"/>
        <v>Proposta Ok</v>
      </c>
    </row>
    <row r="4056" spans="12:15" x14ac:dyDescent="0.25">
      <c r="L4056">
        <f t="shared" si="252"/>
        <v>0</v>
      </c>
      <c r="M4056">
        <f t="shared" si="253"/>
        <v>1</v>
      </c>
      <c r="N4056">
        <f t="shared" si="254"/>
        <v>0</v>
      </c>
      <c r="O4056" t="str">
        <f t="shared" si="255"/>
        <v>Proposta Ok</v>
      </c>
    </row>
    <row r="4057" spans="12:15" x14ac:dyDescent="0.25">
      <c r="L4057">
        <f t="shared" si="252"/>
        <v>0</v>
      </c>
      <c r="M4057">
        <f t="shared" si="253"/>
        <v>1</v>
      </c>
      <c r="N4057">
        <f t="shared" si="254"/>
        <v>0</v>
      </c>
      <c r="O4057" t="str">
        <f t="shared" si="255"/>
        <v>Proposta Ok</v>
      </c>
    </row>
    <row r="4058" spans="12:15" x14ac:dyDescent="0.25">
      <c r="L4058">
        <f t="shared" si="252"/>
        <v>0</v>
      </c>
      <c r="M4058">
        <f t="shared" si="253"/>
        <v>1</v>
      </c>
      <c r="N4058">
        <f t="shared" si="254"/>
        <v>0</v>
      </c>
      <c r="O4058" t="str">
        <f t="shared" si="255"/>
        <v>Proposta Ok</v>
      </c>
    </row>
    <row r="4059" spans="12:15" x14ac:dyDescent="0.25">
      <c r="L4059">
        <f t="shared" ref="L4059:L4122" si="256">IF(OR(I4059="Termo OK (Exceção)",I4059="Termo OK"),1,0)</f>
        <v>0</v>
      </c>
      <c r="M4059">
        <f t="shared" ref="M4059:M4122" si="257">IF(OR(I4059="Termo OK (Exceção)",I4059="Termo OK"),0,1)</f>
        <v>1</v>
      </c>
      <c r="N4059">
        <f t="shared" ref="N4059:N4122" si="258">IF(J4059="SIM",1,0)</f>
        <v>0</v>
      </c>
      <c r="O4059" t="str">
        <f t="shared" ref="O4059:O4122" si="259">IF(SUMIFS(M:M,A:A,A4059)&gt;0,"Proposta não Ok","Proposta Ok")</f>
        <v>Proposta Ok</v>
      </c>
    </row>
    <row r="4060" spans="12:15" x14ac:dyDescent="0.25">
      <c r="L4060">
        <f t="shared" si="256"/>
        <v>0</v>
      </c>
      <c r="M4060">
        <f t="shared" si="257"/>
        <v>1</v>
      </c>
      <c r="N4060">
        <f t="shared" si="258"/>
        <v>0</v>
      </c>
      <c r="O4060" t="str">
        <f t="shared" si="259"/>
        <v>Proposta Ok</v>
      </c>
    </row>
    <row r="4061" spans="12:15" x14ac:dyDescent="0.25">
      <c r="L4061">
        <f t="shared" si="256"/>
        <v>0</v>
      </c>
      <c r="M4061">
        <f t="shared" si="257"/>
        <v>1</v>
      </c>
      <c r="N4061">
        <f t="shared" si="258"/>
        <v>0</v>
      </c>
      <c r="O4061" t="str">
        <f t="shared" si="259"/>
        <v>Proposta Ok</v>
      </c>
    </row>
    <row r="4062" spans="12:15" x14ac:dyDescent="0.25">
      <c r="L4062">
        <f t="shared" si="256"/>
        <v>0</v>
      </c>
      <c r="M4062">
        <f t="shared" si="257"/>
        <v>1</v>
      </c>
      <c r="N4062">
        <f t="shared" si="258"/>
        <v>0</v>
      </c>
      <c r="O4062" t="str">
        <f t="shared" si="259"/>
        <v>Proposta Ok</v>
      </c>
    </row>
    <row r="4063" spans="12:15" x14ac:dyDescent="0.25">
      <c r="L4063">
        <f t="shared" si="256"/>
        <v>0</v>
      </c>
      <c r="M4063">
        <f t="shared" si="257"/>
        <v>1</v>
      </c>
      <c r="N4063">
        <f t="shared" si="258"/>
        <v>0</v>
      </c>
      <c r="O4063" t="str">
        <f t="shared" si="259"/>
        <v>Proposta Ok</v>
      </c>
    </row>
    <row r="4064" spans="12:15" x14ac:dyDescent="0.25">
      <c r="L4064">
        <f t="shared" si="256"/>
        <v>0</v>
      </c>
      <c r="M4064">
        <f t="shared" si="257"/>
        <v>1</v>
      </c>
      <c r="N4064">
        <f t="shared" si="258"/>
        <v>0</v>
      </c>
      <c r="O4064" t="str">
        <f t="shared" si="259"/>
        <v>Proposta Ok</v>
      </c>
    </row>
    <row r="4065" spans="12:15" x14ac:dyDescent="0.25">
      <c r="L4065">
        <f t="shared" si="256"/>
        <v>0</v>
      </c>
      <c r="M4065">
        <f t="shared" si="257"/>
        <v>1</v>
      </c>
      <c r="N4065">
        <f t="shared" si="258"/>
        <v>0</v>
      </c>
      <c r="O4065" t="str">
        <f t="shared" si="259"/>
        <v>Proposta Ok</v>
      </c>
    </row>
    <row r="4066" spans="12:15" x14ac:dyDescent="0.25">
      <c r="L4066">
        <f t="shared" si="256"/>
        <v>0</v>
      </c>
      <c r="M4066">
        <f t="shared" si="257"/>
        <v>1</v>
      </c>
      <c r="N4066">
        <f t="shared" si="258"/>
        <v>0</v>
      </c>
      <c r="O4066" t="str">
        <f t="shared" si="259"/>
        <v>Proposta Ok</v>
      </c>
    </row>
    <row r="4067" spans="12:15" x14ac:dyDescent="0.25">
      <c r="L4067">
        <f t="shared" si="256"/>
        <v>0</v>
      </c>
      <c r="M4067">
        <f t="shared" si="257"/>
        <v>1</v>
      </c>
      <c r="N4067">
        <f t="shared" si="258"/>
        <v>0</v>
      </c>
      <c r="O4067" t="str">
        <f t="shared" si="259"/>
        <v>Proposta Ok</v>
      </c>
    </row>
    <row r="4068" spans="12:15" x14ac:dyDescent="0.25">
      <c r="L4068">
        <f t="shared" si="256"/>
        <v>0</v>
      </c>
      <c r="M4068">
        <f t="shared" si="257"/>
        <v>1</v>
      </c>
      <c r="N4068">
        <f t="shared" si="258"/>
        <v>0</v>
      </c>
      <c r="O4068" t="str">
        <f t="shared" si="259"/>
        <v>Proposta Ok</v>
      </c>
    </row>
    <row r="4069" spans="12:15" x14ac:dyDescent="0.25">
      <c r="L4069">
        <f t="shared" si="256"/>
        <v>0</v>
      </c>
      <c r="M4069">
        <f t="shared" si="257"/>
        <v>1</v>
      </c>
      <c r="N4069">
        <f t="shared" si="258"/>
        <v>0</v>
      </c>
      <c r="O4069" t="str">
        <f t="shared" si="259"/>
        <v>Proposta Ok</v>
      </c>
    </row>
    <row r="4070" spans="12:15" x14ac:dyDescent="0.25">
      <c r="L4070">
        <f t="shared" si="256"/>
        <v>0</v>
      </c>
      <c r="M4070">
        <f t="shared" si="257"/>
        <v>1</v>
      </c>
      <c r="N4070">
        <f t="shared" si="258"/>
        <v>0</v>
      </c>
      <c r="O4070" t="str">
        <f t="shared" si="259"/>
        <v>Proposta Ok</v>
      </c>
    </row>
    <row r="4071" spans="12:15" x14ac:dyDescent="0.25">
      <c r="L4071">
        <f t="shared" si="256"/>
        <v>0</v>
      </c>
      <c r="M4071">
        <f t="shared" si="257"/>
        <v>1</v>
      </c>
      <c r="N4071">
        <f t="shared" si="258"/>
        <v>0</v>
      </c>
      <c r="O4071" t="str">
        <f t="shared" si="259"/>
        <v>Proposta Ok</v>
      </c>
    </row>
    <row r="4072" spans="12:15" x14ac:dyDescent="0.25">
      <c r="L4072">
        <f t="shared" si="256"/>
        <v>0</v>
      </c>
      <c r="M4072">
        <f t="shared" si="257"/>
        <v>1</v>
      </c>
      <c r="N4072">
        <f t="shared" si="258"/>
        <v>0</v>
      </c>
      <c r="O4072" t="str">
        <f t="shared" si="259"/>
        <v>Proposta Ok</v>
      </c>
    </row>
    <row r="4073" spans="12:15" x14ac:dyDescent="0.25">
      <c r="L4073">
        <f t="shared" si="256"/>
        <v>0</v>
      </c>
      <c r="M4073">
        <f t="shared" si="257"/>
        <v>1</v>
      </c>
      <c r="N4073">
        <f t="shared" si="258"/>
        <v>0</v>
      </c>
      <c r="O4073" t="str">
        <f t="shared" si="259"/>
        <v>Proposta Ok</v>
      </c>
    </row>
    <row r="4074" spans="12:15" x14ac:dyDescent="0.25">
      <c r="L4074">
        <f t="shared" si="256"/>
        <v>0</v>
      </c>
      <c r="M4074">
        <f t="shared" si="257"/>
        <v>1</v>
      </c>
      <c r="N4074">
        <f t="shared" si="258"/>
        <v>0</v>
      </c>
      <c r="O4074" t="str">
        <f t="shared" si="259"/>
        <v>Proposta Ok</v>
      </c>
    </row>
    <row r="4075" spans="12:15" x14ac:dyDescent="0.25">
      <c r="L4075">
        <f t="shared" si="256"/>
        <v>0</v>
      </c>
      <c r="M4075">
        <f t="shared" si="257"/>
        <v>1</v>
      </c>
      <c r="N4075">
        <f t="shared" si="258"/>
        <v>0</v>
      </c>
      <c r="O4075" t="str">
        <f t="shared" si="259"/>
        <v>Proposta Ok</v>
      </c>
    </row>
    <row r="4076" spans="12:15" x14ac:dyDescent="0.25">
      <c r="L4076">
        <f t="shared" si="256"/>
        <v>0</v>
      </c>
      <c r="M4076">
        <f t="shared" si="257"/>
        <v>1</v>
      </c>
      <c r="N4076">
        <f t="shared" si="258"/>
        <v>0</v>
      </c>
      <c r="O4076" t="str">
        <f t="shared" si="259"/>
        <v>Proposta Ok</v>
      </c>
    </row>
    <row r="4077" spans="12:15" x14ac:dyDescent="0.25">
      <c r="L4077">
        <f t="shared" si="256"/>
        <v>0</v>
      </c>
      <c r="M4077">
        <f t="shared" si="257"/>
        <v>1</v>
      </c>
      <c r="N4077">
        <f t="shared" si="258"/>
        <v>0</v>
      </c>
      <c r="O4077" t="str">
        <f t="shared" si="259"/>
        <v>Proposta Ok</v>
      </c>
    </row>
    <row r="4078" spans="12:15" x14ac:dyDescent="0.25">
      <c r="L4078">
        <f t="shared" si="256"/>
        <v>0</v>
      </c>
      <c r="M4078">
        <f t="shared" si="257"/>
        <v>1</v>
      </c>
      <c r="N4078">
        <f t="shared" si="258"/>
        <v>0</v>
      </c>
      <c r="O4078" t="str">
        <f t="shared" si="259"/>
        <v>Proposta Ok</v>
      </c>
    </row>
    <row r="4079" spans="12:15" x14ac:dyDescent="0.25">
      <c r="L4079">
        <f t="shared" si="256"/>
        <v>0</v>
      </c>
      <c r="M4079">
        <f t="shared" si="257"/>
        <v>1</v>
      </c>
      <c r="N4079">
        <f t="shared" si="258"/>
        <v>0</v>
      </c>
      <c r="O4079" t="str">
        <f t="shared" si="259"/>
        <v>Proposta Ok</v>
      </c>
    </row>
    <row r="4080" spans="12:15" x14ac:dyDescent="0.25">
      <c r="L4080">
        <f t="shared" si="256"/>
        <v>0</v>
      </c>
      <c r="M4080">
        <f t="shared" si="257"/>
        <v>1</v>
      </c>
      <c r="N4080">
        <f t="shared" si="258"/>
        <v>0</v>
      </c>
      <c r="O4080" t="str">
        <f t="shared" si="259"/>
        <v>Proposta Ok</v>
      </c>
    </row>
    <row r="4081" spans="12:15" x14ac:dyDescent="0.25">
      <c r="L4081">
        <f t="shared" si="256"/>
        <v>0</v>
      </c>
      <c r="M4081">
        <f t="shared" si="257"/>
        <v>1</v>
      </c>
      <c r="N4081">
        <f t="shared" si="258"/>
        <v>0</v>
      </c>
      <c r="O4081" t="str">
        <f t="shared" si="259"/>
        <v>Proposta Ok</v>
      </c>
    </row>
    <row r="4082" spans="12:15" x14ac:dyDescent="0.25">
      <c r="L4082">
        <f t="shared" si="256"/>
        <v>0</v>
      </c>
      <c r="M4082">
        <f t="shared" si="257"/>
        <v>1</v>
      </c>
      <c r="N4082">
        <f t="shared" si="258"/>
        <v>0</v>
      </c>
      <c r="O4082" t="str">
        <f t="shared" si="259"/>
        <v>Proposta Ok</v>
      </c>
    </row>
    <row r="4083" spans="12:15" x14ac:dyDescent="0.25">
      <c r="L4083">
        <f t="shared" si="256"/>
        <v>0</v>
      </c>
      <c r="M4083">
        <f t="shared" si="257"/>
        <v>1</v>
      </c>
      <c r="N4083">
        <f t="shared" si="258"/>
        <v>0</v>
      </c>
      <c r="O4083" t="str">
        <f t="shared" si="259"/>
        <v>Proposta Ok</v>
      </c>
    </row>
    <row r="4084" spans="12:15" x14ac:dyDescent="0.25">
      <c r="L4084">
        <f t="shared" si="256"/>
        <v>0</v>
      </c>
      <c r="M4084">
        <f t="shared" si="257"/>
        <v>1</v>
      </c>
      <c r="N4084">
        <f t="shared" si="258"/>
        <v>0</v>
      </c>
      <c r="O4084" t="str">
        <f t="shared" si="259"/>
        <v>Proposta Ok</v>
      </c>
    </row>
    <row r="4085" spans="12:15" x14ac:dyDescent="0.25">
      <c r="L4085">
        <f t="shared" si="256"/>
        <v>0</v>
      </c>
      <c r="M4085">
        <f t="shared" si="257"/>
        <v>1</v>
      </c>
      <c r="N4085">
        <f t="shared" si="258"/>
        <v>0</v>
      </c>
      <c r="O4085" t="str">
        <f t="shared" si="259"/>
        <v>Proposta Ok</v>
      </c>
    </row>
    <row r="4086" spans="12:15" x14ac:dyDescent="0.25">
      <c r="L4086">
        <f t="shared" si="256"/>
        <v>0</v>
      </c>
      <c r="M4086">
        <f t="shared" si="257"/>
        <v>1</v>
      </c>
      <c r="N4086">
        <f t="shared" si="258"/>
        <v>0</v>
      </c>
      <c r="O4086" t="str">
        <f t="shared" si="259"/>
        <v>Proposta Ok</v>
      </c>
    </row>
    <row r="4087" spans="12:15" x14ac:dyDescent="0.25">
      <c r="L4087">
        <f t="shared" si="256"/>
        <v>0</v>
      </c>
      <c r="M4087">
        <f t="shared" si="257"/>
        <v>1</v>
      </c>
      <c r="N4087">
        <f t="shared" si="258"/>
        <v>0</v>
      </c>
      <c r="O4087" t="str">
        <f t="shared" si="259"/>
        <v>Proposta Ok</v>
      </c>
    </row>
    <row r="4088" spans="12:15" x14ac:dyDescent="0.25">
      <c r="L4088">
        <f t="shared" si="256"/>
        <v>0</v>
      </c>
      <c r="M4088">
        <f t="shared" si="257"/>
        <v>1</v>
      </c>
      <c r="N4088">
        <f t="shared" si="258"/>
        <v>0</v>
      </c>
      <c r="O4088" t="str">
        <f t="shared" si="259"/>
        <v>Proposta Ok</v>
      </c>
    </row>
    <row r="4089" spans="12:15" x14ac:dyDescent="0.25">
      <c r="L4089">
        <f t="shared" si="256"/>
        <v>0</v>
      </c>
      <c r="M4089">
        <f t="shared" si="257"/>
        <v>1</v>
      </c>
      <c r="N4089">
        <f t="shared" si="258"/>
        <v>0</v>
      </c>
      <c r="O4089" t="str">
        <f t="shared" si="259"/>
        <v>Proposta Ok</v>
      </c>
    </row>
    <row r="4090" spans="12:15" x14ac:dyDescent="0.25">
      <c r="L4090">
        <f t="shared" si="256"/>
        <v>0</v>
      </c>
      <c r="M4090">
        <f t="shared" si="257"/>
        <v>1</v>
      </c>
      <c r="N4090">
        <f t="shared" si="258"/>
        <v>0</v>
      </c>
      <c r="O4090" t="str">
        <f t="shared" si="259"/>
        <v>Proposta Ok</v>
      </c>
    </row>
    <row r="4091" spans="12:15" x14ac:dyDescent="0.25">
      <c r="L4091">
        <f t="shared" si="256"/>
        <v>0</v>
      </c>
      <c r="M4091">
        <f t="shared" si="257"/>
        <v>1</v>
      </c>
      <c r="N4091">
        <f t="shared" si="258"/>
        <v>0</v>
      </c>
      <c r="O4091" t="str">
        <f t="shared" si="259"/>
        <v>Proposta Ok</v>
      </c>
    </row>
    <row r="4092" spans="12:15" x14ac:dyDescent="0.25">
      <c r="L4092">
        <f t="shared" si="256"/>
        <v>0</v>
      </c>
      <c r="M4092">
        <f t="shared" si="257"/>
        <v>1</v>
      </c>
      <c r="N4092">
        <f t="shared" si="258"/>
        <v>0</v>
      </c>
      <c r="O4092" t="str">
        <f t="shared" si="259"/>
        <v>Proposta Ok</v>
      </c>
    </row>
    <row r="4093" spans="12:15" x14ac:dyDescent="0.25">
      <c r="L4093">
        <f t="shared" si="256"/>
        <v>0</v>
      </c>
      <c r="M4093">
        <f t="shared" si="257"/>
        <v>1</v>
      </c>
      <c r="N4093">
        <f t="shared" si="258"/>
        <v>0</v>
      </c>
      <c r="O4093" t="str">
        <f t="shared" si="259"/>
        <v>Proposta Ok</v>
      </c>
    </row>
    <row r="4094" spans="12:15" x14ac:dyDescent="0.25">
      <c r="L4094">
        <f t="shared" si="256"/>
        <v>0</v>
      </c>
      <c r="M4094">
        <f t="shared" si="257"/>
        <v>1</v>
      </c>
      <c r="N4094">
        <f t="shared" si="258"/>
        <v>0</v>
      </c>
      <c r="O4094" t="str">
        <f t="shared" si="259"/>
        <v>Proposta Ok</v>
      </c>
    </row>
    <row r="4095" spans="12:15" x14ac:dyDescent="0.25">
      <c r="L4095">
        <f t="shared" si="256"/>
        <v>0</v>
      </c>
      <c r="M4095">
        <f t="shared" si="257"/>
        <v>1</v>
      </c>
      <c r="N4095">
        <f t="shared" si="258"/>
        <v>0</v>
      </c>
      <c r="O4095" t="str">
        <f t="shared" si="259"/>
        <v>Proposta Ok</v>
      </c>
    </row>
    <row r="4096" spans="12:15" x14ac:dyDescent="0.25">
      <c r="L4096">
        <f t="shared" si="256"/>
        <v>0</v>
      </c>
      <c r="M4096">
        <f t="shared" si="257"/>
        <v>1</v>
      </c>
      <c r="N4096">
        <f t="shared" si="258"/>
        <v>0</v>
      </c>
      <c r="O4096" t="str">
        <f t="shared" si="259"/>
        <v>Proposta Ok</v>
      </c>
    </row>
    <row r="4097" spans="12:15" x14ac:dyDescent="0.25">
      <c r="L4097">
        <f t="shared" si="256"/>
        <v>0</v>
      </c>
      <c r="M4097">
        <f t="shared" si="257"/>
        <v>1</v>
      </c>
      <c r="N4097">
        <f t="shared" si="258"/>
        <v>0</v>
      </c>
      <c r="O4097" t="str">
        <f t="shared" si="259"/>
        <v>Proposta Ok</v>
      </c>
    </row>
    <row r="4098" spans="12:15" x14ac:dyDescent="0.25">
      <c r="L4098">
        <f t="shared" si="256"/>
        <v>0</v>
      </c>
      <c r="M4098">
        <f t="shared" si="257"/>
        <v>1</v>
      </c>
      <c r="N4098">
        <f t="shared" si="258"/>
        <v>0</v>
      </c>
      <c r="O4098" t="str">
        <f t="shared" si="259"/>
        <v>Proposta Ok</v>
      </c>
    </row>
    <row r="4099" spans="12:15" x14ac:dyDescent="0.25">
      <c r="L4099">
        <f t="shared" si="256"/>
        <v>0</v>
      </c>
      <c r="M4099">
        <f t="shared" si="257"/>
        <v>1</v>
      </c>
      <c r="N4099">
        <f t="shared" si="258"/>
        <v>0</v>
      </c>
      <c r="O4099" t="str">
        <f t="shared" si="259"/>
        <v>Proposta Ok</v>
      </c>
    </row>
    <row r="4100" spans="12:15" x14ac:dyDescent="0.25">
      <c r="L4100">
        <f t="shared" si="256"/>
        <v>0</v>
      </c>
      <c r="M4100">
        <f t="shared" si="257"/>
        <v>1</v>
      </c>
      <c r="N4100">
        <f t="shared" si="258"/>
        <v>0</v>
      </c>
      <c r="O4100" t="str">
        <f t="shared" si="259"/>
        <v>Proposta Ok</v>
      </c>
    </row>
    <row r="4101" spans="12:15" x14ac:dyDescent="0.25">
      <c r="L4101">
        <f t="shared" si="256"/>
        <v>0</v>
      </c>
      <c r="M4101">
        <f t="shared" si="257"/>
        <v>1</v>
      </c>
      <c r="N4101">
        <f t="shared" si="258"/>
        <v>0</v>
      </c>
      <c r="O4101" t="str">
        <f t="shared" si="259"/>
        <v>Proposta Ok</v>
      </c>
    </row>
    <row r="4102" spans="12:15" x14ac:dyDescent="0.25">
      <c r="L4102">
        <f t="shared" si="256"/>
        <v>0</v>
      </c>
      <c r="M4102">
        <f t="shared" si="257"/>
        <v>1</v>
      </c>
      <c r="N4102">
        <f t="shared" si="258"/>
        <v>0</v>
      </c>
      <c r="O4102" t="str">
        <f t="shared" si="259"/>
        <v>Proposta Ok</v>
      </c>
    </row>
    <row r="4103" spans="12:15" x14ac:dyDescent="0.25">
      <c r="L4103">
        <f t="shared" si="256"/>
        <v>0</v>
      </c>
      <c r="M4103">
        <f t="shared" si="257"/>
        <v>1</v>
      </c>
      <c r="N4103">
        <f t="shared" si="258"/>
        <v>0</v>
      </c>
      <c r="O4103" t="str">
        <f t="shared" si="259"/>
        <v>Proposta Ok</v>
      </c>
    </row>
    <row r="4104" spans="12:15" x14ac:dyDescent="0.25">
      <c r="L4104">
        <f t="shared" si="256"/>
        <v>0</v>
      </c>
      <c r="M4104">
        <f t="shared" si="257"/>
        <v>1</v>
      </c>
      <c r="N4104">
        <f t="shared" si="258"/>
        <v>0</v>
      </c>
      <c r="O4104" t="str">
        <f t="shared" si="259"/>
        <v>Proposta Ok</v>
      </c>
    </row>
    <row r="4105" spans="12:15" x14ac:dyDescent="0.25">
      <c r="L4105">
        <f t="shared" si="256"/>
        <v>0</v>
      </c>
      <c r="M4105">
        <f t="shared" si="257"/>
        <v>1</v>
      </c>
      <c r="N4105">
        <f t="shared" si="258"/>
        <v>0</v>
      </c>
      <c r="O4105" t="str">
        <f t="shared" si="259"/>
        <v>Proposta Ok</v>
      </c>
    </row>
    <row r="4106" spans="12:15" x14ac:dyDescent="0.25">
      <c r="L4106">
        <f t="shared" si="256"/>
        <v>0</v>
      </c>
      <c r="M4106">
        <f t="shared" si="257"/>
        <v>1</v>
      </c>
      <c r="N4106">
        <f t="shared" si="258"/>
        <v>0</v>
      </c>
      <c r="O4106" t="str">
        <f t="shared" si="259"/>
        <v>Proposta Ok</v>
      </c>
    </row>
    <row r="4107" spans="12:15" x14ac:dyDescent="0.25">
      <c r="L4107">
        <f t="shared" si="256"/>
        <v>0</v>
      </c>
      <c r="M4107">
        <f t="shared" si="257"/>
        <v>1</v>
      </c>
      <c r="N4107">
        <f t="shared" si="258"/>
        <v>0</v>
      </c>
      <c r="O4107" t="str">
        <f t="shared" si="259"/>
        <v>Proposta Ok</v>
      </c>
    </row>
    <row r="4108" spans="12:15" x14ac:dyDescent="0.25">
      <c r="L4108">
        <f t="shared" si="256"/>
        <v>0</v>
      </c>
      <c r="M4108">
        <f t="shared" si="257"/>
        <v>1</v>
      </c>
      <c r="N4108">
        <f t="shared" si="258"/>
        <v>0</v>
      </c>
      <c r="O4108" t="str">
        <f t="shared" si="259"/>
        <v>Proposta Ok</v>
      </c>
    </row>
    <row r="4109" spans="12:15" x14ac:dyDescent="0.25">
      <c r="L4109">
        <f t="shared" si="256"/>
        <v>0</v>
      </c>
      <c r="M4109">
        <f t="shared" si="257"/>
        <v>1</v>
      </c>
      <c r="N4109">
        <f t="shared" si="258"/>
        <v>0</v>
      </c>
      <c r="O4109" t="str">
        <f t="shared" si="259"/>
        <v>Proposta Ok</v>
      </c>
    </row>
    <row r="4110" spans="12:15" x14ac:dyDescent="0.25">
      <c r="L4110">
        <f t="shared" si="256"/>
        <v>0</v>
      </c>
      <c r="M4110">
        <f t="shared" si="257"/>
        <v>1</v>
      </c>
      <c r="N4110">
        <f t="shared" si="258"/>
        <v>0</v>
      </c>
      <c r="O4110" t="str">
        <f t="shared" si="259"/>
        <v>Proposta Ok</v>
      </c>
    </row>
    <row r="4111" spans="12:15" x14ac:dyDescent="0.25">
      <c r="L4111">
        <f t="shared" si="256"/>
        <v>0</v>
      </c>
      <c r="M4111">
        <f t="shared" si="257"/>
        <v>1</v>
      </c>
      <c r="N4111">
        <f t="shared" si="258"/>
        <v>0</v>
      </c>
      <c r="O4111" t="str">
        <f t="shared" si="259"/>
        <v>Proposta Ok</v>
      </c>
    </row>
    <row r="4112" spans="12:15" x14ac:dyDescent="0.25">
      <c r="L4112">
        <f t="shared" si="256"/>
        <v>0</v>
      </c>
      <c r="M4112">
        <f t="shared" si="257"/>
        <v>1</v>
      </c>
      <c r="N4112">
        <f t="shared" si="258"/>
        <v>0</v>
      </c>
      <c r="O4112" t="str">
        <f t="shared" si="259"/>
        <v>Proposta Ok</v>
      </c>
    </row>
    <row r="4113" spans="12:15" x14ac:dyDescent="0.25">
      <c r="L4113">
        <f t="shared" si="256"/>
        <v>0</v>
      </c>
      <c r="M4113">
        <f t="shared" si="257"/>
        <v>1</v>
      </c>
      <c r="N4113">
        <f t="shared" si="258"/>
        <v>0</v>
      </c>
      <c r="O4113" t="str">
        <f t="shared" si="259"/>
        <v>Proposta Ok</v>
      </c>
    </row>
    <row r="4114" spans="12:15" x14ac:dyDescent="0.25">
      <c r="L4114">
        <f t="shared" si="256"/>
        <v>0</v>
      </c>
      <c r="M4114">
        <f t="shared" si="257"/>
        <v>1</v>
      </c>
      <c r="N4114">
        <f t="shared" si="258"/>
        <v>0</v>
      </c>
      <c r="O4114" t="str">
        <f t="shared" si="259"/>
        <v>Proposta Ok</v>
      </c>
    </row>
    <row r="4115" spans="12:15" x14ac:dyDescent="0.25">
      <c r="L4115">
        <f t="shared" si="256"/>
        <v>0</v>
      </c>
      <c r="M4115">
        <f t="shared" si="257"/>
        <v>1</v>
      </c>
      <c r="N4115">
        <f t="shared" si="258"/>
        <v>0</v>
      </c>
      <c r="O4115" t="str">
        <f t="shared" si="259"/>
        <v>Proposta Ok</v>
      </c>
    </row>
    <row r="4116" spans="12:15" x14ac:dyDescent="0.25">
      <c r="L4116">
        <f t="shared" si="256"/>
        <v>0</v>
      </c>
      <c r="M4116">
        <f t="shared" si="257"/>
        <v>1</v>
      </c>
      <c r="N4116">
        <f t="shared" si="258"/>
        <v>0</v>
      </c>
      <c r="O4116" t="str">
        <f t="shared" si="259"/>
        <v>Proposta Ok</v>
      </c>
    </row>
    <row r="4117" spans="12:15" x14ac:dyDescent="0.25">
      <c r="L4117">
        <f t="shared" si="256"/>
        <v>0</v>
      </c>
      <c r="M4117">
        <f t="shared" si="257"/>
        <v>1</v>
      </c>
      <c r="N4117">
        <f t="shared" si="258"/>
        <v>0</v>
      </c>
      <c r="O4117" t="str">
        <f t="shared" si="259"/>
        <v>Proposta Ok</v>
      </c>
    </row>
    <row r="4118" spans="12:15" x14ac:dyDescent="0.25">
      <c r="L4118">
        <f t="shared" si="256"/>
        <v>0</v>
      </c>
      <c r="M4118">
        <f t="shared" si="257"/>
        <v>1</v>
      </c>
      <c r="N4118">
        <f t="shared" si="258"/>
        <v>0</v>
      </c>
      <c r="O4118" t="str">
        <f t="shared" si="259"/>
        <v>Proposta Ok</v>
      </c>
    </row>
    <row r="4119" spans="12:15" x14ac:dyDescent="0.25">
      <c r="L4119">
        <f t="shared" si="256"/>
        <v>0</v>
      </c>
      <c r="M4119">
        <f t="shared" si="257"/>
        <v>1</v>
      </c>
      <c r="N4119">
        <f t="shared" si="258"/>
        <v>0</v>
      </c>
      <c r="O4119" t="str">
        <f t="shared" si="259"/>
        <v>Proposta Ok</v>
      </c>
    </row>
    <row r="4120" spans="12:15" x14ac:dyDescent="0.25">
      <c r="L4120">
        <f t="shared" si="256"/>
        <v>0</v>
      </c>
      <c r="M4120">
        <f t="shared" si="257"/>
        <v>1</v>
      </c>
      <c r="N4120">
        <f t="shared" si="258"/>
        <v>0</v>
      </c>
      <c r="O4120" t="str">
        <f t="shared" si="259"/>
        <v>Proposta Ok</v>
      </c>
    </row>
    <row r="4121" spans="12:15" x14ac:dyDescent="0.25">
      <c r="L4121">
        <f t="shared" si="256"/>
        <v>0</v>
      </c>
      <c r="M4121">
        <f t="shared" si="257"/>
        <v>1</v>
      </c>
      <c r="N4121">
        <f t="shared" si="258"/>
        <v>0</v>
      </c>
      <c r="O4121" t="str">
        <f t="shared" si="259"/>
        <v>Proposta Ok</v>
      </c>
    </row>
    <row r="4122" spans="12:15" x14ac:dyDescent="0.25">
      <c r="L4122">
        <f t="shared" si="256"/>
        <v>0</v>
      </c>
      <c r="M4122">
        <f t="shared" si="257"/>
        <v>1</v>
      </c>
      <c r="N4122">
        <f t="shared" si="258"/>
        <v>0</v>
      </c>
      <c r="O4122" t="str">
        <f t="shared" si="259"/>
        <v>Proposta Ok</v>
      </c>
    </row>
    <row r="4123" spans="12:15" x14ac:dyDescent="0.25">
      <c r="L4123">
        <f t="shared" ref="L4123:L4186" si="260">IF(OR(I4123="Termo OK (Exceção)",I4123="Termo OK"),1,0)</f>
        <v>0</v>
      </c>
      <c r="M4123">
        <f t="shared" ref="M4123:M4186" si="261">IF(OR(I4123="Termo OK (Exceção)",I4123="Termo OK"),0,1)</f>
        <v>1</v>
      </c>
      <c r="N4123">
        <f t="shared" ref="N4123:N4186" si="262">IF(J4123="SIM",1,0)</f>
        <v>0</v>
      </c>
      <c r="O4123" t="str">
        <f t="shared" ref="O4123:O4186" si="263">IF(SUMIFS(M:M,A:A,A4123)&gt;0,"Proposta não Ok","Proposta Ok")</f>
        <v>Proposta Ok</v>
      </c>
    </row>
    <row r="4124" spans="12:15" x14ac:dyDescent="0.25">
      <c r="L4124">
        <f t="shared" si="260"/>
        <v>0</v>
      </c>
      <c r="M4124">
        <f t="shared" si="261"/>
        <v>1</v>
      </c>
      <c r="N4124">
        <f t="shared" si="262"/>
        <v>0</v>
      </c>
      <c r="O4124" t="str">
        <f t="shared" si="263"/>
        <v>Proposta Ok</v>
      </c>
    </row>
    <row r="4125" spans="12:15" x14ac:dyDescent="0.25">
      <c r="L4125">
        <f t="shared" si="260"/>
        <v>0</v>
      </c>
      <c r="M4125">
        <f t="shared" si="261"/>
        <v>1</v>
      </c>
      <c r="N4125">
        <f t="shared" si="262"/>
        <v>0</v>
      </c>
      <c r="O4125" t="str">
        <f t="shared" si="263"/>
        <v>Proposta Ok</v>
      </c>
    </row>
    <row r="4126" spans="12:15" x14ac:dyDescent="0.25">
      <c r="L4126">
        <f t="shared" si="260"/>
        <v>0</v>
      </c>
      <c r="M4126">
        <f t="shared" si="261"/>
        <v>1</v>
      </c>
      <c r="N4126">
        <f t="shared" si="262"/>
        <v>0</v>
      </c>
      <c r="O4126" t="str">
        <f t="shared" si="263"/>
        <v>Proposta Ok</v>
      </c>
    </row>
    <row r="4127" spans="12:15" x14ac:dyDescent="0.25">
      <c r="L4127">
        <f t="shared" si="260"/>
        <v>0</v>
      </c>
      <c r="M4127">
        <f t="shared" si="261"/>
        <v>1</v>
      </c>
      <c r="N4127">
        <f t="shared" si="262"/>
        <v>0</v>
      </c>
      <c r="O4127" t="str">
        <f t="shared" si="263"/>
        <v>Proposta Ok</v>
      </c>
    </row>
    <row r="4128" spans="12:15" x14ac:dyDescent="0.25">
      <c r="L4128">
        <f t="shared" si="260"/>
        <v>0</v>
      </c>
      <c r="M4128">
        <f t="shared" si="261"/>
        <v>1</v>
      </c>
      <c r="N4128">
        <f t="shared" si="262"/>
        <v>0</v>
      </c>
      <c r="O4128" t="str">
        <f t="shared" si="263"/>
        <v>Proposta Ok</v>
      </c>
    </row>
    <row r="4129" spans="12:15" x14ac:dyDescent="0.25">
      <c r="L4129">
        <f t="shared" si="260"/>
        <v>0</v>
      </c>
      <c r="M4129">
        <f t="shared" si="261"/>
        <v>1</v>
      </c>
      <c r="N4129">
        <f t="shared" si="262"/>
        <v>0</v>
      </c>
      <c r="O4129" t="str">
        <f t="shared" si="263"/>
        <v>Proposta Ok</v>
      </c>
    </row>
    <row r="4130" spans="12:15" x14ac:dyDescent="0.25">
      <c r="L4130">
        <f t="shared" si="260"/>
        <v>0</v>
      </c>
      <c r="M4130">
        <f t="shared" si="261"/>
        <v>1</v>
      </c>
      <c r="N4130">
        <f t="shared" si="262"/>
        <v>0</v>
      </c>
      <c r="O4130" t="str">
        <f t="shared" si="263"/>
        <v>Proposta Ok</v>
      </c>
    </row>
    <row r="4131" spans="12:15" x14ac:dyDescent="0.25">
      <c r="L4131">
        <f t="shared" si="260"/>
        <v>0</v>
      </c>
      <c r="M4131">
        <f t="shared" si="261"/>
        <v>1</v>
      </c>
      <c r="N4131">
        <f t="shared" si="262"/>
        <v>0</v>
      </c>
      <c r="O4131" t="str">
        <f t="shared" si="263"/>
        <v>Proposta Ok</v>
      </c>
    </row>
    <row r="4132" spans="12:15" x14ac:dyDescent="0.25">
      <c r="L4132">
        <f t="shared" si="260"/>
        <v>0</v>
      </c>
      <c r="M4132">
        <f t="shared" si="261"/>
        <v>1</v>
      </c>
      <c r="N4132">
        <f t="shared" si="262"/>
        <v>0</v>
      </c>
      <c r="O4132" t="str">
        <f t="shared" si="263"/>
        <v>Proposta Ok</v>
      </c>
    </row>
    <row r="4133" spans="12:15" x14ac:dyDescent="0.25">
      <c r="L4133">
        <f t="shared" si="260"/>
        <v>0</v>
      </c>
      <c r="M4133">
        <f t="shared" si="261"/>
        <v>1</v>
      </c>
      <c r="N4133">
        <f t="shared" si="262"/>
        <v>0</v>
      </c>
      <c r="O4133" t="str">
        <f t="shared" si="263"/>
        <v>Proposta Ok</v>
      </c>
    </row>
    <row r="4134" spans="12:15" x14ac:dyDescent="0.25">
      <c r="L4134">
        <f t="shared" si="260"/>
        <v>0</v>
      </c>
      <c r="M4134">
        <f t="shared" si="261"/>
        <v>1</v>
      </c>
      <c r="N4134">
        <f t="shared" si="262"/>
        <v>0</v>
      </c>
      <c r="O4134" t="str">
        <f t="shared" si="263"/>
        <v>Proposta Ok</v>
      </c>
    </row>
    <row r="4135" spans="12:15" x14ac:dyDescent="0.25">
      <c r="L4135">
        <f t="shared" si="260"/>
        <v>0</v>
      </c>
      <c r="M4135">
        <f t="shared" si="261"/>
        <v>1</v>
      </c>
      <c r="N4135">
        <f t="shared" si="262"/>
        <v>0</v>
      </c>
      <c r="O4135" t="str">
        <f t="shared" si="263"/>
        <v>Proposta Ok</v>
      </c>
    </row>
    <row r="4136" spans="12:15" x14ac:dyDescent="0.25">
      <c r="L4136">
        <f t="shared" si="260"/>
        <v>0</v>
      </c>
      <c r="M4136">
        <f t="shared" si="261"/>
        <v>1</v>
      </c>
      <c r="N4136">
        <f t="shared" si="262"/>
        <v>0</v>
      </c>
      <c r="O4136" t="str">
        <f t="shared" si="263"/>
        <v>Proposta Ok</v>
      </c>
    </row>
    <row r="4137" spans="12:15" x14ac:dyDescent="0.25">
      <c r="L4137">
        <f t="shared" si="260"/>
        <v>0</v>
      </c>
      <c r="M4137">
        <f t="shared" si="261"/>
        <v>1</v>
      </c>
      <c r="N4137">
        <f t="shared" si="262"/>
        <v>0</v>
      </c>
      <c r="O4137" t="str">
        <f t="shared" si="263"/>
        <v>Proposta Ok</v>
      </c>
    </row>
    <row r="4138" spans="12:15" x14ac:dyDescent="0.25">
      <c r="L4138">
        <f t="shared" si="260"/>
        <v>0</v>
      </c>
      <c r="M4138">
        <f t="shared" si="261"/>
        <v>1</v>
      </c>
      <c r="N4138">
        <f t="shared" si="262"/>
        <v>0</v>
      </c>
      <c r="O4138" t="str">
        <f t="shared" si="263"/>
        <v>Proposta Ok</v>
      </c>
    </row>
    <row r="4139" spans="12:15" x14ac:dyDescent="0.25">
      <c r="L4139">
        <f t="shared" si="260"/>
        <v>0</v>
      </c>
      <c r="M4139">
        <f t="shared" si="261"/>
        <v>1</v>
      </c>
      <c r="N4139">
        <f t="shared" si="262"/>
        <v>0</v>
      </c>
      <c r="O4139" t="str">
        <f t="shared" si="263"/>
        <v>Proposta Ok</v>
      </c>
    </row>
    <row r="4140" spans="12:15" x14ac:dyDescent="0.25">
      <c r="L4140">
        <f t="shared" si="260"/>
        <v>0</v>
      </c>
      <c r="M4140">
        <f t="shared" si="261"/>
        <v>1</v>
      </c>
      <c r="N4140">
        <f t="shared" si="262"/>
        <v>0</v>
      </c>
      <c r="O4140" t="str">
        <f t="shared" si="263"/>
        <v>Proposta Ok</v>
      </c>
    </row>
    <row r="4141" spans="12:15" x14ac:dyDescent="0.25">
      <c r="L4141">
        <f t="shared" si="260"/>
        <v>0</v>
      </c>
      <c r="M4141">
        <f t="shared" si="261"/>
        <v>1</v>
      </c>
      <c r="N4141">
        <f t="shared" si="262"/>
        <v>0</v>
      </c>
      <c r="O4141" t="str">
        <f t="shared" si="263"/>
        <v>Proposta Ok</v>
      </c>
    </row>
    <row r="4142" spans="12:15" x14ac:dyDescent="0.25">
      <c r="L4142">
        <f t="shared" si="260"/>
        <v>0</v>
      </c>
      <c r="M4142">
        <f t="shared" si="261"/>
        <v>1</v>
      </c>
      <c r="N4142">
        <f t="shared" si="262"/>
        <v>0</v>
      </c>
      <c r="O4142" t="str">
        <f t="shared" si="263"/>
        <v>Proposta Ok</v>
      </c>
    </row>
    <row r="4143" spans="12:15" x14ac:dyDescent="0.25">
      <c r="L4143">
        <f t="shared" si="260"/>
        <v>0</v>
      </c>
      <c r="M4143">
        <f t="shared" si="261"/>
        <v>1</v>
      </c>
      <c r="N4143">
        <f t="shared" si="262"/>
        <v>0</v>
      </c>
      <c r="O4143" t="str">
        <f t="shared" si="263"/>
        <v>Proposta Ok</v>
      </c>
    </row>
    <row r="4144" spans="12:15" x14ac:dyDescent="0.25">
      <c r="L4144">
        <f t="shared" si="260"/>
        <v>0</v>
      </c>
      <c r="M4144">
        <f t="shared" si="261"/>
        <v>1</v>
      </c>
      <c r="N4144">
        <f t="shared" si="262"/>
        <v>0</v>
      </c>
      <c r="O4144" t="str">
        <f t="shared" si="263"/>
        <v>Proposta Ok</v>
      </c>
    </row>
    <row r="4145" spans="12:15" x14ac:dyDescent="0.25">
      <c r="L4145">
        <f t="shared" si="260"/>
        <v>0</v>
      </c>
      <c r="M4145">
        <f t="shared" si="261"/>
        <v>1</v>
      </c>
      <c r="N4145">
        <f t="shared" si="262"/>
        <v>0</v>
      </c>
      <c r="O4145" t="str">
        <f t="shared" si="263"/>
        <v>Proposta Ok</v>
      </c>
    </row>
    <row r="4146" spans="12:15" x14ac:dyDescent="0.25">
      <c r="L4146">
        <f t="shared" si="260"/>
        <v>0</v>
      </c>
      <c r="M4146">
        <f t="shared" si="261"/>
        <v>1</v>
      </c>
      <c r="N4146">
        <f t="shared" si="262"/>
        <v>0</v>
      </c>
      <c r="O4146" t="str">
        <f t="shared" si="263"/>
        <v>Proposta Ok</v>
      </c>
    </row>
    <row r="4147" spans="12:15" x14ac:dyDescent="0.25">
      <c r="L4147">
        <f t="shared" si="260"/>
        <v>0</v>
      </c>
      <c r="M4147">
        <f t="shared" si="261"/>
        <v>1</v>
      </c>
      <c r="N4147">
        <f t="shared" si="262"/>
        <v>0</v>
      </c>
      <c r="O4147" t="str">
        <f t="shared" si="263"/>
        <v>Proposta Ok</v>
      </c>
    </row>
    <row r="4148" spans="12:15" x14ac:dyDescent="0.25">
      <c r="L4148">
        <f t="shared" si="260"/>
        <v>0</v>
      </c>
      <c r="M4148">
        <f t="shared" si="261"/>
        <v>1</v>
      </c>
      <c r="N4148">
        <f t="shared" si="262"/>
        <v>0</v>
      </c>
      <c r="O4148" t="str">
        <f t="shared" si="263"/>
        <v>Proposta Ok</v>
      </c>
    </row>
    <row r="4149" spans="12:15" x14ac:dyDescent="0.25">
      <c r="L4149">
        <f t="shared" si="260"/>
        <v>0</v>
      </c>
      <c r="M4149">
        <f t="shared" si="261"/>
        <v>1</v>
      </c>
      <c r="N4149">
        <f t="shared" si="262"/>
        <v>0</v>
      </c>
      <c r="O4149" t="str">
        <f t="shared" si="263"/>
        <v>Proposta Ok</v>
      </c>
    </row>
    <row r="4150" spans="12:15" x14ac:dyDescent="0.25">
      <c r="L4150">
        <f t="shared" si="260"/>
        <v>0</v>
      </c>
      <c r="M4150">
        <f t="shared" si="261"/>
        <v>1</v>
      </c>
      <c r="N4150">
        <f t="shared" si="262"/>
        <v>0</v>
      </c>
      <c r="O4150" t="str">
        <f t="shared" si="263"/>
        <v>Proposta Ok</v>
      </c>
    </row>
    <row r="4151" spans="12:15" x14ac:dyDescent="0.25">
      <c r="L4151">
        <f t="shared" si="260"/>
        <v>0</v>
      </c>
      <c r="M4151">
        <f t="shared" si="261"/>
        <v>1</v>
      </c>
      <c r="N4151">
        <f t="shared" si="262"/>
        <v>0</v>
      </c>
      <c r="O4151" t="str">
        <f t="shared" si="263"/>
        <v>Proposta Ok</v>
      </c>
    </row>
    <row r="4152" spans="12:15" x14ac:dyDescent="0.25">
      <c r="L4152">
        <f t="shared" si="260"/>
        <v>0</v>
      </c>
      <c r="M4152">
        <f t="shared" si="261"/>
        <v>1</v>
      </c>
      <c r="N4152">
        <f t="shared" si="262"/>
        <v>0</v>
      </c>
      <c r="O4152" t="str">
        <f t="shared" si="263"/>
        <v>Proposta Ok</v>
      </c>
    </row>
    <row r="4153" spans="12:15" x14ac:dyDescent="0.25">
      <c r="L4153">
        <f t="shared" si="260"/>
        <v>0</v>
      </c>
      <c r="M4153">
        <f t="shared" si="261"/>
        <v>1</v>
      </c>
      <c r="N4153">
        <f t="shared" si="262"/>
        <v>0</v>
      </c>
      <c r="O4153" t="str">
        <f t="shared" si="263"/>
        <v>Proposta Ok</v>
      </c>
    </row>
    <row r="4154" spans="12:15" x14ac:dyDescent="0.25">
      <c r="L4154">
        <f t="shared" si="260"/>
        <v>0</v>
      </c>
      <c r="M4154">
        <f t="shared" si="261"/>
        <v>1</v>
      </c>
      <c r="N4154">
        <f t="shared" si="262"/>
        <v>0</v>
      </c>
      <c r="O4154" t="str">
        <f t="shared" si="263"/>
        <v>Proposta Ok</v>
      </c>
    </row>
    <row r="4155" spans="12:15" x14ac:dyDescent="0.25">
      <c r="L4155">
        <f t="shared" si="260"/>
        <v>0</v>
      </c>
      <c r="M4155">
        <f t="shared" si="261"/>
        <v>1</v>
      </c>
      <c r="N4155">
        <f t="shared" si="262"/>
        <v>0</v>
      </c>
      <c r="O4155" t="str">
        <f t="shared" si="263"/>
        <v>Proposta Ok</v>
      </c>
    </row>
    <row r="4156" spans="12:15" x14ac:dyDescent="0.25">
      <c r="L4156">
        <f t="shared" si="260"/>
        <v>0</v>
      </c>
      <c r="M4156">
        <f t="shared" si="261"/>
        <v>1</v>
      </c>
      <c r="N4156">
        <f t="shared" si="262"/>
        <v>0</v>
      </c>
      <c r="O4156" t="str">
        <f t="shared" si="263"/>
        <v>Proposta Ok</v>
      </c>
    </row>
    <row r="4157" spans="12:15" x14ac:dyDescent="0.25">
      <c r="L4157">
        <f t="shared" si="260"/>
        <v>0</v>
      </c>
      <c r="M4157">
        <f t="shared" si="261"/>
        <v>1</v>
      </c>
      <c r="N4157">
        <f t="shared" si="262"/>
        <v>0</v>
      </c>
      <c r="O4157" t="str">
        <f t="shared" si="263"/>
        <v>Proposta Ok</v>
      </c>
    </row>
    <row r="4158" spans="12:15" x14ac:dyDescent="0.25">
      <c r="L4158">
        <f t="shared" si="260"/>
        <v>0</v>
      </c>
      <c r="M4158">
        <f t="shared" si="261"/>
        <v>1</v>
      </c>
      <c r="N4158">
        <f t="shared" si="262"/>
        <v>0</v>
      </c>
      <c r="O4158" t="str">
        <f t="shared" si="263"/>
        <v>Proposta Ok</v>
      </c>
    </row>
    <row r="4159" spans="12:15" x14ac:dyDescent="0.25">
      <c r="L4159">
        <f t="shared" si="260"/>
        <v>0</v>
      </c>
      <c r="M4159">
        <f t="shared" si="261"/>
        <v>1</v>
      </c>
      <c r="N4159">
        <f t="shared" si="262"/>
        <v>0</v>
      </c>
      <c r="O4159" t="str">
        <f t="shared" si="263"/>
        <v>Proposta Ok</v>
      </c>
    </row>
    <row r="4160" spans="12:15" x14ac:dyDescent="0.25">
      <c r="L4160">
        <f t="shared" si="260"/>
        <v>0</v>
      </c>
      <c r="M4160">
        <f t="shared" si="261"/>
        <v>1</v>
      </c>
      <c r="N4160">
        <f t="shared" si="262"/>
        <v>0</v>
      </c>
      <c r="O4160" t="str">
        <f t="shared" si="263"/>
        <v>Proposta Ok</v>
      </c>
    </row>
    <row r="4161" spans="12:15" x14ac:dyDescent="0.25">
      <c r="L4161">
        <f t="shared" si="260"/>
        <v>0</v>
      </c>
      <c r="M4161">
        <f t="shared" si="261"/>
        <v>1</v>
      </c>
      <c r="N4161">
        <f t="shared" si="262"/>
        <v>0</v>
      </c>
      <c r="O4161" t="str">
        <f t="shared" si="263"/>
        <v>Proposta Ok</v>
      </c>
    </row>
    <row r="4162" spans="12:15" x14ac:dyDescent="0.25">
      <c r="L4162">
        <f t="shared" si="260"/>
        <v>0</v>
      </c>
      <c r="M4162">
        <f t="shared" si="261"/>
        <v>1</v>
      </c>
      <c r="N4162">
        <f t="shared" si="262"/>
        <v>0</v>
      </c>
      <c r="O4162" t="str">
        <f t="shared" si="263"/>
        <v>Proposta Ok</v>
      </c>
    </row>
    <row r="4163" spans="12:15" x14ac:dyDescent="0.25">
      <c r="L4163">
        <f t="shared" si="260"/>
        <v>0</v>
      </c>
      <c r="M4163">
        <f t="shared" si="261"/>
        <v>1</v>
      </c>
      <c r="N4163">
        <f t="shared" si="262"/>
        <v>0</v>
      </c>
      <c r="O4163" t="str">
        <f t="shared" si="263"/>
        <v>Proposta Ok</v>
      </c>
    </row>
    <row r="4164" spans="12:15" x14ac:dyDescent="0.25">
      <c r="L4164">
        <f t="shared" si="260"/>
        <v>0</v>
      </c>
      <c r="M4164">
        <f t="shared" si="261"/>
        <v>1</v>
      </c>
      <c r="N4164">
        <f t="shared" si="262"/>
        <v>0</v>
      </c>
      <c r="O4164" t="str">
        <f t="shared" si="263"/>
        <v>Proposta Ok</v>
      </c>
    </row>
    <row r="4165" spans="12:15" x14ac:dyDescent="0.25">
      <c r="L4165">
        <f t="shared" si="260"/>
        <v>0</v>
      </c>
      <c r="M4165">
        <f t="shared" si="261"/>
        <v>1</v>
      </c>
      <c r="N4165">
        <f t="shared" si="262"/>
        <v>0</v>
      </c>
      <c r="O4165" t="str">
        <f t="shared" si="263"/>
        <v>Proposta Ok</v>
      </c>
    </row>
    <row r="4166" spans="12:15" x14ac:dyDescent="0.25">
      <c r="L4166">
        <f t="shared" si="260"/>
        <v>0</v>
      </c>
      <c r="M4166">
        <f t="shared" si="261"/>
        <v>1</v>
      </c>
      <c r="N4166">
        <f t="shared" si="262"/>
        <v>0</v>
      </c>
      <c r="O4166" t="str">
        <f t="shared" si="263"/>
        <v>Proposta Ok</v>
      </c>
    </row>
    <row r="4167" spans="12:15" x14ac:dyDescent="0.25">
      <c r="L4167">
        <f t="shared" si="260"/>
        <v>0</v>
      </c>
      <c r="M4167">
        <f t="shared" si="261"/>
        <v>1</v>
      </c>
      <c r="N4167">
        <f t="shared" si="262"/>
        <v>0</v>
      </c>
      <c r="O4167" t="str">
        <f t="shared" si="263"/>
        <v>Proposta Ok</v>
      </c>
    </row>
    <row r="4168" spans="12:15" x14ac:dyDescent="0.25">
      <c r="L4168">
        <f t="shared" si="260"/>
        <v>0</v>
      </c>
      <c r="M4168">
        <f t="shared" si="261"/>
        <v>1</v>
      </c>
      <c r="N4168">
        <f t="shared" si="262"/>
        <v>0</v>
      </c>
      <c r="O4168" t="str">
        <f t="shared" si="263"/>
        <v>Proposta Ok</v>
      </c>
    </row>
    <row r="4169" spans="12:15" x14ac:dyDescent="0.25">
      <c r="L4169">
        <f t="shared" si="260"/>
        <v>0</v>
      </c>
      <c r="M4169">
        <f t="shared" si="261"/>
        <v>1</v>
      </c>
      <c r="N4169">
        <f t="shared" si="262"/>
        <v>0</v>
      </c>
      <c r="O4169" t="str">
        <f t="shared" si="263"/>
        <v>Proposta Ok</v>
      </c>
    </row>
    <row r="4170" spans="12:15" x14ac:dyDescent="0.25">
      <c r="L4170">
        <f t="shared" si="260"/>
        <v>0</v>
      </c>
      <c r="M4170">
        <f t="shared" si="261"/>
        <v>1</v>
      </c>
      <c r="N4170">
        <f t="shared" si="262"/>
        <v>0</v>
      </c>
      <c r="O4170" t="str">
        <f t="shared" si="263"/>
        <v>Proposta Ok</v>
      </c>
    </row>
    <row r="4171" spans="12:15" x14ac:dyDescent="0.25">
      <c r="L4171">
        <f t="shared" si="260"/>
        <v>0</v>
      </c>
      <c r="M4171">
        <f t="shared" si="261"/>
        <v>1</v>
      </c>
      <c r="N4171">
        <f t="shared" si="262"/>
        <v>0</v>
      </c>
      <c r="O4171" t="str">
        <f t="shared" si="263"/>
        <v>Proposta Ok</v>
      </c>
    </row>
    <row r="4172" spans="12:15" x14ac:dyDescent="0.25">
      <c r="L4172">
        <f t="shared" si="260"/>
        <v>0</v>
      </c>
      <c r="M4172">
        <f t="shared" si="261"/>
        <v>1</v>
      </c>
      <c r="N4172">
        <f t="shared" si="262"/>
        <v>0</v>
      </c>
      <c r="O4172" t="str">
        <f t="shared" si="263"/>
        <v>Proposta Ok</v>
      </c>
    </row>
    <row r="4173" spans="12:15" x14ac:dyDescent="0.25">
      <c r="L4173">
        <f t="shared" si="260"/>
        <v>0</v>
      </c>
      <c r="M4173">
        <f t="shared" si="261"/>
        <v>1</v>
      </c>
      <c r="N4173">
        <f t="shared" si="262"/>
        <v>0</v>
      </c>
      <c r="O4173" t="str">
        <f t="shared" si="263"/>
        <v>Proposta Ok</v>
      </c>
    </row>
    <row r="4174" spans="12:15" x14ac:dyDescent="0.25">
      <c r="L4174">
        <f t="shared" si="260"/>
        <v>0</v>
      </c>
      <c r="M4174">
        <f t="shared" si="261"/>
        <v>1</v>
      </c>
      <c r="N4174">
        <f t="shared" si="262"/>
        <v>0</v>
      </c>
      <c r="O4174" t="str">
        <f t="shared" si="263"/>
        <v>Proposta Ok</v>
      </c>
    </row>
    <row r="4175" spans="12:15" x14ac:dyDescent="0.25">
      <c r="L4175">
        <f t="shared" si="260"/>
        <v>0</v>
      </c>
      <c r="M4175">
        <f t="shared" si="261"/>
        <v>1</v>
      </c>
      <c r="N4175">
        <f t="shared" si="262"/>
        <v>0</v>
      </c>
      <c r="O4175" t="str">
        <f t="shared" si="263"/>
        <v>Proposta Ok</v>
      </c>
    </row>
    <row r="4176" spans="12:15" x14ac:dyDescent="0.25">
      <c r="L4176">
        <f t="shared" si="260"/>
        <v>0</v>
      </c>
      <c r="M4176">
        <f t="shared" si="261"/>
        <v>1</v>
      </c>
      <c r="N4176">
        <f t="shared" si="262"/>
        <v>0</v>
      </c>
      <c r="O4176" t="str">
        <f t="shared" si="263"/>
        <v>Proposta Ok</v>
      </c>
    </row>
    <row r="4177" spans="12:15" x14ac:dyDescent="0.25">
      <c r="L4177">
        <f t="shared" si="260"/>
        <v>0</v>
      </c>
      <c r="M4177">
        <f t="shared" si="261"/>
        <v>1</v>
      </c>
      <c r="N4177">
        <f t="shared" si="262"/>
        <v>0</v>
      </c>
      <c r="O4177" t="str">
        <f t="shared" si="263"/>
        <v>Proposta Ok</v>
      </c>
    </row>
    <row r="4178" spans="12:15" x14ac:dyDescent="0.25">
      <c r="L4178">
        <f t="shared" si="260"/>
        <v>0</v>
      </c>
      <c r="M4178">
        <f t="shared" si="261"/>
        <v>1</v>
      </c>
      <c r="N4178">
        <f t="shared" si="262"/>
        <v>0</v>
      </c>
      <c r="O4178" t="str">
        <f t="shared" si="263"/>
        <v>Proposta Ok</v>
      </c>
    </row>
    <row r="4179" spans="12:15" x14ac:dyDescent="0.25">
      <c r="L4179">
        <f t="shared" si="260"/>
        <v>0</v>
      </c>
      <c r="M4179">
        <f t="shared" si="261"/>
        <v>1</v>
      </c>
      <c r="N4179">
        <f t="shared" si="262"/>
        <v>0</v>
      </c>
      <c r="O4179" t="str">
        <f t="shared" si="263"/>
        <v>Proposta Ok</v>
      </c>
    </row>
    <row r="4180" spans="12:15" x14ac:dyDescent="0.25">
      <c r="L4180">
        <f t="shared" si="260"/>
        <v>0</v>
      </c>
      <c r="M4180">
        <f t="shared" si="261"/>
        <v>1</v>
      </c>
      <c r="N4180">
        <f t="shared" si="262"/>
        <v>0</v>
      </c>
      <c r="O4180" t="str">
        <f t="shared" si="263"/>
        <v>Proposta Ok</v>
      </c>
    </row>
    <row r="4181" spans="12:15" x14ac:dyDescent="0.25">
      <c r="L4181">
        <f t="shared" si="260"/>
        <v>0</v>
      </c>
      <c r="M4181">
        <f t="shared" si="261"/>
        <v>1</v>
      </c>
      <c r="N4181">
        <f t="shared" si="262"/>
        <v>0</v>
      </c>
      <c r="O4181" t="str">
        <f t="shared" si="263"/>
        <v>Proposta Ok</v>
      </c>
    </row>
    <row r="4182" spans="12:15" x14ac:dyDescent="0.25">
      <c r="L4182">
        <f t="shared" si="260"/>
        <v>0</v>
      </c>
      <c r="M4182">
        <f t="shared" si="261"/>
        <v>1</v>
      </c>
      <c r="N4182">
        <f t="shared" si="262"/>
        <v>0</v>
      </c>
      <c r="O4182" t="str">
        <f t="shared" si="263"/>
        <v>Proposta Ok</v>
      </c>
    </row>
    <row r="4183" spans="12:15" x14ac:dyDescent="0.25">
      <c r="L4183">
        <f t="shared" si="260"/>
        <v>0</v>
      </c>
      <c r="M4183">
        <f t="shared" si="261"/>
        <v>1</v>
      </c>
      <c r="N4183">
        <f t="shared" si="262"/>
        <v>0</v>
      </c>
      <c r="O4183" t="str">
        <f t="shared" si="263"/>
        <v>Proposta Ok</v>
      </c>
    </row>
    <row r="4184" spans="12:15" x14ac:dyDescent="0.25">
      <c r="L4184">
        <f t="shared" si="260"/>
        <v>0</v>
      </c>
      <c r="M4184">
        <f t="shared" si="261"/>
        <v>1</v>
      </c>
      <c r="N4184">
        <f t="shared" si="262"/>
        <v>0</v>
      </c>
      <c r="O4184" t="str">
        <f t="shared" si="263"/>
        <v>Proposta Ok</v>
      </c>
    </row>
    <row r="4185" spans="12:15" x14ac:dyDescent="0.25">
      <c r="L4185">
        <f t="shared" si="260"/>
        <v>0</v>
      </c>
      <c r="M4185">
        <f t="shared" si="261"/>
        <v>1</v>
      </c>
      <c r="N4185">
        <f t="shared" si="262"/>
        <v>0</v>
      </c>
      <c r="O4185" t="str">
        <f t="shared" si="263"/>
        <v>Proposta Ok</v>
      </c>
    </row>
    <row r="4186" spans="12:15" x14ac:dyDescent="0.25">
      <c r="L4186">
        <f t="shared" si="260"/>
        <v>0</v>
      </c>
      <c r="M4186">
        <f t="shared" si="261"/>
        <v>1</v>
      </c>
      <c r="N4186">
        <f t="shared" si="262"/>
        <v>0</v>
      </c>
      <c r="O4186" t="str">
        <f t="shared" si="263"/>
        <v>Proposta Ok</v>
      </c>
    </row>
    <row r="4187" spans="12:15" x14ac:dyDescent="0.25">
      <c r="L4187">
        <f t="shared" ref="L4187:L4250" si="264">IF(OR(I4187="Termo OK (Exceção)",I4187="Termo OK"),1,0)</f>
        <v>0</v>
      </c>
      <c r="M4187">
        <f t="shared" ref="M4187:M4250" si="265">IF(OR(I4187="Termo OK (Exceção)",I4187="Termo OK"),0,1)</f>
        <v>1</v>
      </c>
      <c r="N4187">
        <f t="shared" ref="N4187:N4250" si="266">IF(J4187="SIM",1,0)</f>
        <v>0</v>
      </c>
      <c r="O4187" t="str">
        <f t="shared" ref="O4187:O4250" si="267">IF(SUMIFS(M:M,A:A,A4187)&gt;0,"Proposta não Ok","Proposta Ok")</f>
        <v>Proposta Ok</v>
      </c>
    </row>
    <row r="4188" spans="12:15" x14ac:dyDescent="0.25">
      <c r="L4188">
        <f t="shared" si="264"/>
        <v>0</v>
      </c>
      <c r="M4188">
        <f t="shared" si="265"/>
        <v>1</v>
      </c>
      <c r="N4188">
        <f t="shared" si="266"/>
        <v>0</v>
      </c>
      <c r="O4188" t="str">
        <f t="shared" si="267"/>
        <v>Proposta Ok</v>
      </c>
    </row>
    <row r="4189" spans="12:15" x14ac:dyDescent="0.25">
      <c r="L4189">
        <f t="shared" si="264"/>
        <v>0</v>
      </c>
      <c r="M4189">
        <f t="shared" si="265"/>
        <v>1</v>
      </c>
      <c r="N4189">
        <f t="shared" si="266"/>
        <v>0</v>
      </c>
      <c r="O4189" t="str">
        <f t="shared" si="267"/>
        <v>Proposta Ok</v>
      </c>
    </row>
    <row r="4190" spans="12:15" x14ac:dyDescent="0.25">
      <c r="L4190">
        <f t="shared" si="264"/>
        <v>0</v>
      </c>
      <c r="M4190">
        <f t="shared" si="265"/>
        <v>1</v>
      </c>
      <c r="N4190">
        <f t="shared" si="266"/>
        <v>0</v>
      </c>
      <c r="O4190" t="str">
        <f t="shared" si="267"/>
        <v>Proposta Ok</v>
      </c>
    </row>
    <row r="4191" spans="12:15" x14ac:dyDescent="0.25">
      <c r="L4191">
        <f t="shared" si="264"/>
        <v>0</v>
      </c>
      <c r="M4191">
        <f t="shared" si="265"/>
        <v>1</v>
      </c>
      <c r="N4191">
        <f t="shared" si="266"/>
        <v>0</v>
      </c>
      <c r="O4191" t="str">
        <f t="shared" si="267"/>
        <v>Proposta Ok</v>
      </c>
    </row>
    <row r="4192" spans="12:15" x14ac:dyDescent="0.25">
      <c r="L4192">
        <f t="shared" si="264"/>
        <v>0</v>
      </c>
      <c r="M4192">
        <f t="shared" si="265"/>
        <v>1</v>
      </c>
      <c r="N4192">
        <f t="shared" si="266"/>
        <v>0</v>
      </c>
      <c r="O4192" t="str">
        <f t="shared" si="267"/>
        <v>Proposta Ok</v>
      </c>
    </row>
    <row r="4193" spans="12:15" x14ac:dyDescent="0.25">
      <c r="L4193">
        <f t="shared" si="264"/>
        <v>0</v>
      </c>
      <c r="M4193">
        <f t="shared" si="265"/>
        <v>1</v>
      </c>
      <c r="N4193">
        <f t="shared" si="266"/>
        <v>0</v>
      </c>
      <c r="O4193" t="str">
        <f t="shared" si="267"/>
        <v>Proposta Ok</v>
      </c>
    </row>
    <row r="4194" spans="12:15" x14ac:dyDescent="0.25">
      <c r="L4194">
        <f t="shared" si="264"/>
        <v>0</v>
      </c>
      <c r="M4194">
        <f t="shared" si="265"/>
        <v>1</v>
      </c>
      <c r="N4194">
        <f t="shared" si="266"/>
        <v>0</v>
      </c>
      <c r="O4194" t="str">
        <f t="shared" si="267"/>
        <v>Proposta Ok</v>
      </c>
    </row>
    <row r="4195" spans="12:15" x14ac:dyDescent="0.25">
      <c r="L4195">
        <f t="shared" si="264"/>
        <v>0</v>
      </c>
      <c r="M4195">
        <f t="shared" si="265"/>
        <v>1</v>
      </c>
      <c r="N4195">
        <f t="shared" si="266"/>
        <v>0</v>
      </c>
      <c r="O4195" t="str">
        <f t="shared" si="267"/>
        <v>Proposta Ok</v>
      </c>
    </row>
    <row r="4196" spans="12:15" x14ac:dyDescent="0.25">
      <c r="L4196">
        <f t="shared" si="264"/>
        <v>0</v>
      </c>
      <c r="M4196">
        <f t="shared" si="265"/>
        <v>1</v>
      </c>
      <c r="N4196">
        <f t="shared" si="266"/>
        <v>0</v>
      </c>
      <c r="O4196" t="str">
        <f t="shared" si="267"/>
        <v>Proposta Ok</v>
      </c>
    </row>
    <row r="4197" spans="12:15" x14ac:dyDescent="0.25">
      <c r="L4197">
        <f t="shared" si="264"/>
        <v>0</v>
      </c>
      <c r="M4197">
        <f t="shared" si="265"/>
        <v>1</v>
      </c>
      <c r="N4197">
        <f t="shared" si="266"/>
        <v>0</v>
      </c>
      <c r="O4197" t="str">
        <f t="shared" si="267"/>
        <v>Proposta Ok</v>
      </c>
    </row>
    <row r="4198" spans="12:15" x14ac:dyDescent="0.25">
      <c r="L4198">
        <f t="shared" si="264"/>
        <v>0</v>
      </c>
      <c r="M4198">
        <f t="shared" si="265"/>
        <v>1</v>
      </c>
      <c r="N4198">
        <f t="shared" si="266"/>
        <v>0</v>
      </c>
      <c r="O4198" t="str">
        <f t="shared" si="267"/>
        <v>Proposta Ok</v>
      </c>
    </row>
    <row r="4199" spans="12:15" x14ac:dyDescent="0.25">
      <c r="L4199">
        <f t="shared" si="264"/>
        <v>0</v>
      </c>
      <c r="M4199">
        <f t="shared" si="265"/>
        <v>1</v>
      </c>
      <c r="N4199">
        <f t="shared" si="266"/>
        <v>0</v>
      </c>
      <c r="O4199" t="str">
        <f t="shared" si="267"/>
        <v>Proposta Ok</v>
      </c>
    </row>
    <row r="4200" spans="12:15" x14ac:dyDescent="0.25">
      <c r="L4200">
        <f t="shared" si="264"/>
        <v>0</v>
      </c>
      <c r="M4200">
        <f t="shared" si="265"/>
        <v>1</v>
      </c>
      <c r="N4200">
        <f t="shared" si="266"/>
        <v>0</v>
      </c>
      <c r="O4200" t="str">
        <f t="shared" si="267"/>
        <v>Proposta Ok</v>
      </c>
    </row>
    <row r="4201" spans="12:15" x14ac:dyDescent="0.25">
      <c r="L4201">
        <f t="shared" si="264"/>
        <v>0</v>
      </c>
      <c r="M4201">
        <f t="shared" si="265"/>
        <v>1</v>
      </c>
      <c r="N4201">
        <f t="shared" si="266"/>
        <v>0</v>
      </c>
      <c r="O4201" t="str">
        <f t="shared" si="267"/>
        <v>Proposta Ok</v>
      </c>
    </row>
    <row r="4202" spans="12:15" x14ac:dyDescent="0.25">
      <c r="L4202">
        <f t="shared" si="264"/>
        <v>0</v>
      </c>
      <c r="M4202">
        <f t="shared" si="265"/>
        <v>1</v>
      </c>
      <c r="N4202">
        <f t="shared" si="266"/>
        <v>0</v>
      </c>
      <c r="O4202" t="str">
        <f t="shared" si="267"/>
        <v>Proposta Ok</v>
      </c>
    </row>
    <row r="4203" spans="12:15" x14ac:dyDescent="0.25">
      <c r="L4203">
        <f t="shared" si="264"/>
        <v>0</v>
      </c>
      <c r="M4203">
        <f t="shared" si="265"/>
        <v>1</v>
      </c>
      <c r="N4203">
        <f t="shared" si="266"/>
        <v>0</v>
      </c>
      <c r="O4203" t="str">
        <f t="shared" si="267"/>
        <v>Proposta Ok</v>
      </c>
    </row>
    <row r="4204" spans="12:15" x14ac:dyDescent="0.25">
      <c r="L4204">
        <f t="shared" si="264"/>
        <v>0</v>
      </c>
      <c r="M4204">
        <f t="shared" si="265"/>
        <v>1</v>
      </c>
      <c r="N4204">
        <f t="shared" si="266"/>
        <v>0</v>
      </c>
      <c r="O4204" t="str">
        <f t="shared" si="267"/>
        <v>Proposta Ok</v>
      </c>
    </row>
    <row r="4205" spans="12:15" x14ac:dyDescent="0.25">
      <c r="L4205">
        <f t="shared" si="264"/>
        <v>0</v>
      </c>
      <c r="M4205">
        <f t="shared" si="265"/>
        <v>1</v>
      </c>
      <c r="N4205">
        <f t="shared" si="266"/>
        <v>0</v>
      </c>
      <c r="O4205" t="str">
        <f t="shared" si="267"/>
        <v>Proposta Ok</v>
      </c>
    </row>
    <row r="4206" spans="12:15" x14ac:dyDescent="0.25">
      <c r="L4206">
        <f t="shared" si="264"/>
        <v>0</v>
      </c>
      <c r="M4206">
        <f t="shared" si="265"/>
        <v>1</v>
      </c>
      <c r="N4206">
        <f t="shared" si="266"/>
        <v>0</v>
      </c>
      <c r="O4206" t="str">
        <f t="shared" si="267"/>
        <v>Proposta Ok</v>
      </c>
    </row>
    <row r="4207" spans="12:15" x14ac:dyDescent="0.25">
      <c r="L4207">
        <f t="shared" si="264"/>
        <v>0</v>
      </c>
      <c r="M4207">
        <f t="shared" si="265"/>
        <v>1</v>
      </c>
      <c r="N4207">
        <f t="shared" si="266"/>
        <v>0</v>
      </c>
      <c r="O4207" t="str">
        <f t="shared" si="267"/>
        <v>Proposta Ok</v>
      </c>
    </row>
    <row r="4208" spans="12:15" x14ac:dyDescent="0.25">
      <c r="L4208">
        <f t="shared" si="264"/>
        <v>0</v>
      </c>
      <c r="M4208">
        <f t="shared" si="265"/>
        <v>1</v>
      </c>
      <c r="N4208">
        <f t="shared" si="266"/>
        <v>0</v>
      </c>
      <c r="O4208" t="str">
        <f t="shared" si="267"/>
        <v>Proposta Ok</v>
      </c>
    </row>
    <row r="4209" spans="12:15" x14ac:dyDescent="0.25">
      <c r="L4209">
        <f t="shared" si="264"/>
        <v>0</v>
      </c>
      <c r="M4209">
        <f t="shared" si="265"/>
        <v>1</v>
      </c>
      <c r="N4209">
        <f t="shared" si="266"/>
        <v>0</v>
      </c>
      <c r="O4209" t="str">
        <f t="shared" si="267"/>
        <v>Proposta Ok</v>
      </c>
    </row>
    <row r="4210" spans="12:15" x14ac:dyDescent="0.25">
      <c r="L4210">
        <f t="shared" si="264"/>
        <v>0</v>
      </c>
      <c r="M4210">
        <f t="shared" si="265"/>
        <v>1</v>
      </c>
      <c r="N4210">
        <f t="shared" si="266"/>
        <v>0</v>
      </c>
      <c r="O4210" t="str">
        <f t="shared" si="267"/>
        <v>Proposta Ok</v>
      </c>
    </row>
    <row r="4211" spans="12:15" x14ac:dyDescent="0.25">
      <c r="L4211">
        <f t="shared" si="264"/>
        <v>0</v>
      </c>
      <c r="M4211">
        <f t="shared" si="265"/>
        <v>1</v>
      </c>
      <c r="N4211">
        <f t="shared" si="266"/>
        <v>0</v>
      </c>
      <c r="O4211" t="str">
        <f t="shared" si="267"/>
        <v>Proposta Ok</v>
      </c>
    </row>
    <row r="4212" spans="12:15" x14ac:dyDescent="0.25">
      <c r="L4212">
        <f t="shared" si="264"/>
        <v>0</v>
      </c>
      <c r="M4212">
        <f t="shared" si="265"/>
        <v>1</v>
      </c>
      <c r="N4212">
        <f t="shared" si="266"/>
        <v>0</v>
      </c>
      <c r="O4212" t="str">
        <f t="shared" si="267"/>
        <v>Proposta Ok</v>
      </c>
    </row>
    <row r="4213" spans="12:15" x14ac:dyDescent="0.25">
      <c r="L4213">
        <f t="shared" si="264"/>
        <v>0</v>
      </c>
      <c r="M4213">
        <f t="shared" si="265"/>
        <v>1</v>
      </c>
      <c r="N4213">
        <f t="shared" si="266"/>
        <v>0</v>
      </c>
      <c r="O4213" t="str">
        <f t="shared" si="267"/>
        <v>Proposta Ok</v>
      </c>
    </row>
    <row r="4214" spans="12:15" x14ac:dyDescent="0.25">
      <c r="L4214">
        <f t="shared" si="264"/>
        <v>0</v>
      </c>
      <c r="M4214">
        <f t="shared" si="265"/>
        <v>1</v>
      </c>
      <c r="N4214">
        <f t="shared" si="266"/>
        <v>0</v>
      </c>
      <c r="O4214" t="str">
        <f t="shared" si="267"/>
        <v>Proposta Ok</v>
      </c>
    </row>
    <row r="4215" spans="12:15" x14ac:dyDescent="0.25">
      <c r="L4215">
        <f t="shared" si="264"/>
        <v>0</v>
      </c>
      <c r="M4215">
        <f t="shared" si="265"/>
        <v>1</v>
      </c>
      <c r="N4215">
        <f t="shared" si="266"/>
        <v>0</v>
      </c>
      <c r="O4215" t="str">
        <f t="shared" si="267"/>
        <v>Proposta Ok</v>
      </c>
    </row>
    <row r="4216" spans="12:15" x14ac:dyDescent="0.25">
      <c r="L4216">
        <f t="shared" si="264"/>
        <v>0</v>
      </c>
      <c r="M4216">
        <f t="shared" si="265"/>
        <v>1</v>
      </c>
      <c r="N4216">
        <f t="shared" si="266"/>
        <v>0</v>
      </c>
      <c r="O4216" t="str">
        <f t="shared" si="267"/>
        <v>Proposta Ok</v>
      </c>
    </row>
    <row r="4217" spans="12:15" x14ac:dyDescent="0.25">
      <c r="L4217">
        <f t="shared" si="264"/>
        <v>0</v>
      </c>
      <c r="M4217">
        <f t="shared" si="265"/>
        <v>1</v>
      </c>
      <c r="N4217">
        <f t="shared" si="266"/>
        <v>0</v>
      </c>
      <c r="O4217" t="str">
        <f t="shared" si="267"/>
        <v>Proposta Ok</v>
      </c>
    </row>
    <row r="4218" spans="12:15" x14ac:dyDescent="0.25">
      <c r="L4218">
        <f t="shared" si="264"/>
        <v>0</v>
      </c>
      <c r="M4218">
        <f t="shared" si="265"/>
        <v>1</v>
      </c>
      <c r="N4218">
        <f t="shared" si="266"/>
        <v>0</v>
      </c>
      <c r="O4218" t="str">
        <f t="shared" si="267"/>
        <v>Proposta Ok</v>
      </c>
    </row>
    <row r="4219" spans="12:15" x14ac:dyDescent="0.25">
      <c r="L4219">
        <f t="shared" si="264"/>
        <v>0</v>
      </c>
      <c r="M4219">
        <f t="shared" si="265"/>
        <v>1</v>
      </c>
      <c r="N4219">
        <f t="shared" si="266"/>
        <v>0</v>
      </c>
      <c r="O4219" t="str">
        <f t="shared" si="267"/>
        <v>Proposta Ok</v>
      </c>
    </row>
    <row r="4220" spans="12:15" x14ac:dyDescent="0.25">
      <c r="L4220">
        <f t="shared" si="264"/>
        <v>0</v>
      </c>
      <c r="M4220">
        <f t="shared" si="265"/>
        <v>1</v>
      </c>
      <c r="N4220">
        <f t="shared" si="266"/>
        <v>0</v>
      </c>
      <c r="O4220" t="str">
        <f t="shared" si="267"/>
        <v>Proposta Ok</v>
      </c>
    </row>
    <row r="4221" spans="12:15" x14ac:dyDescent="0.25">
      <c r="L4221">
        <f t="shared" si="264"/>
        <v>0</v>
      </c>
      <c r="M4221">
        <f t="shared" si="265"/>
        <v>1</v>
      </c>
      <c r="N4221">
        <f t="shared" si="266"/>
        <v>0</v>
      </c>
      <c r="O4221" t="str">
        <f t="shared" si="267"/>
        <v>Proposta Ok</v>
      </c>
    </row>
    <row r="4222" spans="12:15" x14ac:dyDescent="0.25">
      <c r="L4222">
        <f t="shared" si="264"/>
        <v>0</v>
      </c>
      <c r="M4222">
        <f t="shared" si="265"/>
        <v>1</v>
      </c>
      <c r="N4222">
        <f t="shared" si="266"/>
        <v>0</v>
      </c>
      <c r="O4222" t="str">
        <f t="shared" si="267"/>
        <v>Proposta Ok</v>
      </c>
    </row>
    <row r="4223" spans="12:15" x14ac:dyDescent="0.25">
      <c r="L4223">
        <f t="shared" si="264"/>
        <v>0</v>
      </c>
      <c r="M4223">
        <f t="shared" si="265"/>
        <v>1</v>
      </c>
      <c r="N4223">
        <f t="shared" si="266"/>
        <v>0</v>
      </c>
      <c r="O4223" t="str">
        <f t="shared" si="267"/>
        <v>Proposta Ok</v>
      </c>
    </row>
    <row r="4224" spans="12:15" x14ac:dyDescent="0.25">
      <c r="L4224">
        <f t="shared" si="264"/>
        <v>0</v>
      </c>
      <c r="M4224">
        <f t="shared" si="265"/>
        <v>1</v>
      </c>
      <c r="N4224">
        <f t="shared" si="266"/>
        <v>0</v>
      </c>
      <c r="O4224" t="str">
        <f t="shared" si="267"/>
        <v>Proposta Ok</v>
      </c>
    </row>
    <row r="4225" spans="12:15" x14ac:dyDescent="0.25">
      <c r="L4225">
        <f t="shared" si="264"/>
        <v>0</v>
      </c>
      <c r="M4225">
        <f t="shared" si="265"/>
        <v>1</v>
      </c>
      <c r="N4225">
        <f t="shared" si="266"/>
        <v>0</v>
      </c>
      <c r="O4225" t="str">
        <f t="shared" si="267"/>
        <v>Proposta Ok</v>
      </c>
    </row>
    <row r="4226" spans="12:15" x14ac:dyDescent="0.25">
      <c r="L4226">
        <f t="shared" si="264"/>
        <v>0</v>
      </c>
      <c r="M4226">
        <f t="shared" si="265"/>
        <v>1</v>
      </c>
      <c r="N4226">
        <f t="shared" si="266"/>
        <v>0</v>
      </c>
      <c r="O4226" t="str">
        <f t="shared" si="267"/>
        <v>Proposta Ok</v>
      </c>
    </row>
    <row r="4227" spans="12:15" x14ac:dyDescent="0.25">
      <c r="L4227">
        <f t="shared" si="264"/>
        <v>0</v>
      </c>
      <c r="M4227">
        <f t="shared" si="265"/>
        <v>1</v>
      </c>
      <c r="N4227">
        <f t="shared" si="266"/>
        <v>0</v>
      </c>
      <c r="O4227" t="str">
        <f t="shared" si="267"/>
        <v>Proposta Ok</v>
      </c>
    </row>
    <row r="4228" spans="12:15" x14ac:dyDescent="0.25">
      <c r="L4228">
        <f t="shared" si="264"/>
        <v>0</v>
      </c>
      <c r="M4228">
        <f t="shared" si="265"/>
        <v>1</v>
      </c>
      <c r="N4228">
        <f t="shared" si="266"/>
        <v>0</v>
      </c>
      <c r="O4228" t="str">
        <f t="shared" si="267"/>
        <v>Proposta Ok</v>
      </c>
    </row>
    <row r="4229" spans="12:15" x14ac:dyDescent="0.25">
      <c r="L4229">
        <f t="shared" si="264"/>
        <v>0</v>
      </c>
      <c r="M4229">
        <f t="shared" si="265"/>
        <v>1</v>
      </c>
      <c r="N4229">
        <f t="shared" si="266"/>
        <v>0</v>
      </c>
      <c r="O4229" t="str">
        <f t="shared" si="267"/>
        <v>Proposta Ok</v>
      </c>
    </row>
    <row r="4230" spans="12:15" x14ac:dyDescent="0.25">
      <c r="L4230">
        <f t="shared" si="264"/>
        <v>0</v>
      </c>
      <c r="M4230">
        <f t="shared" si="265"/>
        <v>1</v>
      </c>
      <c r="N4230">
        <f t="shared" si="266"/>
        <v>0</v>
      </c>
      <c r="O4230" t="str">
        <f t="shared" si="267"/>
        <v>Proposta Ok</v>
      </c>
    </row>
    <row r="4231" spans="12:15" x14ac:dyDescent="0.25">
      <c r="L4231">
        <f t="shared" si="264"/>
        <v>0</v>
      </c>
      <c r="M4231">
        <f t="shared" si="265"/>
        <v>1</v>
      </c>
      <c r="N4231">
        <f t="shared" si="266"/>
        <v>0</v>
      </c>
      <c r="O4231" t="str">
        <f t="shared" si="267"/>
        <v>Proposta Ok</v>
      </c>
    </row>
    <row r="4232" spans="12:15" x14ac:dyDescent="0.25">
      <c r="L4232">
        <f t="shared" si="264"/>
        <v>0</v>
      </c>
      <c r="M4232">
        <f t="shared" si="265"/>
        <v>1</v>
      </c>
      <c r="N4232">
        <f t="shared" si="266"/>
        <v>0</v>
      </c>
      <c r="O4232" t="str">
        <f t="shared" si="267"/>
        <v>Proposta Ok</v>
      </c>
    </row>
    <row r="4233" spans="12:15" x14ac:dyDescent="0.25">
      <c r="L4233">
        <f t="shared" si="264"/>
        <v>0</v>
      </c>
      <c r="M4233">
        <f t="shared" si="265"/>
        <v>1</v>
      </c>
      <c r="N4233">
        <f t="shared" si="266"/>
        <v>0</v>
      </c>
      <c r="O4233" t="str">
        <f t="shared" si="267"/>
        <v>Proposta Ok</v>
      </c>
    </row>
    <row r="4234" spans="12:15" x14ac:dyDescent="0.25">
      <c r="L4234">
        <f t="shared" si="264"/>
        <v>0</v>
      </c>
      <c r="M4234">
        <f t="shared" si="265"/>
        <v>1</v>
      </c>
      <c r="N4234">
        <f t="shared" si="266"/>
        <v>0</v>
      </c>
      <c r="O4234" t="str">
        <f t="shared" si="267"/>
        <v>Proposta Ok</v>
      </c>
    </row>
    <row r="4235" spans="12:15" x14ac:dyDescent="0.25">
      <c r="L4235">
        <f t="shared" si="264"/>
        <v>0</v>
      </c>
      <c r="M4235">
        <f t="shared" si="265"/>
        <v>1</v>
      </c>
      <c r="N4235">
        <f t="shared" si="266"/>
        <v>0</v>
      </c>
      <c r="O4235" t="str">
        <f t="shared" si="267"/>
        <v>Proposta Ok</v>
      </c>
    </row>
    <row r="4236" spans="12:15" x14ac:dyDescent="0.25">
      <c r="L4236">
        <f t="shared" si="264"/>
        <v>0</v>
      </c>
      <c r="M4236">
        <f t="shared" si="265"/>
        <v>1</v>
      </c>
      <c r="N4236">
        <f t="shared" si="266"/>
        <v>0</v>
      </c>
      <c r="O4236" t="str">
        <f t="shared" si="267"/>
        <v>Proposta Ok</v>
      </c>
    </row>
    <row r="4237" spans="12:15" x14ac:dyDescent="0.25">
      <c r="L4237">
        <f t="shared" si="264"/>
        <v>0</v>
      </c>
      <c r="M4237">
        <f t="shared" si="265"/>
        <v>1</v>
      </c>
      <c r="N4237">
        <f t="shared" si="266"/>
        <v>0</v>
      </c>
      <c r="O4237" t="str">
        <f t="shared" si="267"/>
        <v>Proposta Ok</v>
      </c>
    </row>
    <row r="4238" spans="12:15" x14ac:dyDescent="0.25">
      <c r="L4238">
        <f t="shared" si="264"/>
        <v>0</v>
      </c>
      <c r="M4238">
        <f t="shared" si="265"/>
        <v>1</v>
      </c>
      <c r="N4238">
        <f t="shared" si="266"/>
        <v>0</v>
      </c>
      <c r="O4238" t="str">
        <f t="shared" si="267"/>
        <v>Proposta Ok</v>
      </c>
    </row>
    <row r="4239" spans="12:15" x14ac:dyDescent="0.25">
      <c r="L4239">
        <f t="shared" si="264"/>
        <v>0</v>
      </c>
      <c r="M4239">
        <f t="shared" si="265"/>
        <v>1</v>
      </c>
      <c r="N4239">
        <f t="shared" si="266"/>
        <v>0</v>
      </c>
      <c r="O4239" t="str">
        <f t="shared" si="267"/>
        <v>Proposta Ok</v>
      </c>
    </row>
    <row r="4240" spans="12:15" x14ac:dyDescent="0.25">
      <c r="L4240">
        <f t="shared" si="264"/>
        <v>0</v>
      </c>
      <c r="M4240">
        <f t="shared" si="265"/>
        <v>1</v>
      </c>
      <c r="N4240">
        <f t="shared" si="266"/>
        <v>0</v>
      </c>
      <c r="O4240" t="str">
        <f t="shared" si="267"/>
        <v>Proposta Ok</v>
      </c>
    </row>
    <row r="4241" spans="12:15" x14ac:dyDescent="0.25">
      <c r="L4241">
        <f t="shared" si="264"/>
        <v>0</v>
      </c>
      <c r="M4241">
        <f t="shared" si="265"/>
        <v>1</v>
      </c>
      <c r="N4241">
        <f t="shared" si="266"/>
        <v>0</v>
      </c>
      <c r="O4241" t="str">
        <f t="shared" si="267"/>
        <v>Proposta Ok</v>
      </c>
    </row>
    <row r="4242" spans="12:15" x14ac:dyDescent="0.25">
      <c r="L4242">
        <f t="shared" si="264"/>
        <v>0</v>
      </c>
      <c r="M4242">
        <f t="shared" si="265"/>
        <v>1</v>
      </c>
      <c r="N4242">
        <f t="shared" si="266"/>
        <v>0</v>
      </c>
      <c r="O4242" t="str">
        <f t="shared" si="267"/>
        <v>Proposta Ok</v>
      </c>
    </row>
    <row r="4243" spans="12:15" x14ac:dyDescent="0.25">
      <c r="L4243">
        <f t="shared" si="264"/>
        <v>0</v>
      </c>
      <c r="M4243">
        <f t="shared" si="265"/>
        <v>1</v>
      </c>
      <c r="N4243">
        <f t="shared" si="266"/>
        <v>0</v>
      </c>
      <c r="O4243" t="str">
        <f t="shared" si="267"/>
        <v>Proposta Ok</v>
      </c>
    </row>
    <row r="4244" spans="12:15" x14ac:dyDescent="0.25">
      <c r="L4244">
        <f t="shared" si="264"/>
        <v>0</v>
      </c>
      <c r="M4244">
        <f t="shared" si="265"/>
        <v>1</v>
      </c>
      <c r="N4244">
        <f t="shared" si="266"/>
        <v>0</v>
      </c>
      <c r="O4244" t="str">
        <f t="shared" si="267"/>
        <v>Proposta Ok</v>
      </c>
    </row>
    <row r="4245" spans="12:15" x14ac:dyDescent="0.25">
      <c r="L4245">
        <f t="shared" si="264"/>
        <v>0</v>
      </c>
      <c r="M4245">
        <f t="shared" si="265"/>
        <v>1</v>
      </c>
      <c r="N4245">
        <f t="shared" si="266"/>
        <v>0</v>
      </c>
      <c r="O4245" t="str">
        <f t="shared" si="267"/>
        <v>Proposta Ok</v>
      </c>
    </row>
    <row r="4246" spans="12:15" x14ac:dyDescent="0.25">
      <c r="L4246">
        <f t="shared" si="264"/>
        <v>0</v>
      </c>
      <c r="M4246">
        <f t="shared" si="265"/>
        <v>1</v>
      </c>
      <c r="N4246">
        <f t="shared" si="266"/>
        <v>0</v>
      </c>
      <c r="O4246" t="str">
        <f t="shared" si="267"/>
        <v>Proposta Ok</v>
      </c>
    </row>
    <row r="4247" spans="12:15" x14ac:dyDescent="0.25">
      <c r="L4247">
        <f t="shared" si="264"/>
        <v>0</v>
      </c>
      <c r="M4247">
        <f t="shared" si="265"/>
        <v>1</v>
      </c>
      <c r="N4247">
        <f t="shared" si="266"/>
        <v>0</v>
      </c>
      <c r="O4247" t="str">
        <f t="shared" si="267"/>
        <v>Proposta Ok</v>
      </c>
    </row>
    <row r="4248" spans="12:15" x14ac:dyDescent="0.25">
      <c r="L4248">
        <f t="shared" si="264"/>
        <v>0</v>
      </c>
      <c r="M4248">
        <f t="shared" si="265"/>
        <v>1</v>
      </c>
      <c r="N4248">
        <f t="shared" si="266"/>
        <v>0</v>
      </c>
      <c r="O4248" t="str">
        <f t="shared" si="267"/>
        <v>Proposta Ok</v>
      </c>
    </row>
    <row r="4249" spans="12:15" x14ac:dyDescent="0.25">
      <c r="L4249">
        <f t="shared" si="264"/>
        <v>0</v>
      </c>
      <c r="M4249">
        <f t="shared" si="265"/>
        <v>1</v>
      </c>
      <c r="N4249">
        <f t="shared" si="266"/>
        <v>0</v>
      </c>
      <c r="O4249" t="str">
        <f t="shared" si="267"/>
        <v>Proposta Ok</v>
      </c>
    </row>
    <row r="4250" spans="12:15" x14ac:dyDescent="0.25">
      <c r="L4250">
        <f t="shared" si="264"/>
        <v>0</v>
      </c>
      <c r="M4250">
        <f t="shared" si="265"/>
        <v>1</v>
      </c>
      <c r="N4250">
        <f t="shared" si="266"/>
        <v>0</v>
      </c>
      <c r="O4250" t="str">
        <f t="shared" si="267"/>
        <v>Proposta Ok</v>
      </c>
    </row>
    <row r="4251" spans="12:15" x14ac:dyDescent="0.25">
      <c r="L4251">
        <f t="shared" ref="L4251:L4314" si="268">IF(OR(I4251="Termo OK (Exceção)",I4251="Termo OK"),1,0)</f>
        <v>0</v>
      </c>
      <c r="M4251">
        <f t="shared" ref="M4251:M4314" si="269">IF(OR(I4251="Termo OK (Exceção)",I4251="Termo OK"),0,1)</f>
        <v>1</v>
      </c>
      <c r="N4251">
        <f t="shared" ref="N4251:N4314" si="270">IF(J4251="SIM",1,0)</f>
        <v>0</v>
      </c>
      <c r="O4251" t="str">
        <f t="shared" ref="O4251:O4314" si="271">IF(SUMIFS(M:M,A:A,A4251)&gt;0,"Proposta não Ok","Proposta Ok")</f>
        <v>Proposta Ok</v>
      </c>
    </row>
    <row r="4252" spans="12:15" x14ac:dyDescent="0.25">
      <c r="L4252">
        <f t="shared" si="268"/>
        <v>0</v>
      </c>
      <c r="M4252">
        <f t="shared" si="269"/>
        <v>1</v>
      </c>
      <c r="N4252">
        <f t="shared" si="270"/>
        <v>0</v>
      </c>
      <c r="O4252" t="str">
        <f t="shared" si="271"/>
        <v>Proposta Ok</v>
      </c>
    </row>
    <row r="4253" spans="12:15" x14ac:dyDescent="0.25">
      <c r="L4253">
        <f t="shared" si="268"/>
        <v>0</v>
      </c>
      <c r="M4253">
        <f t="shared" si="269"/>
        <v>1</v>
      </c>
      <c r="N4253">
        <f t="shared" si="270"/>
        <v>0</v>
      </c>
      <c r="O4253" t="str">
        <f t="shared" si="271"/>
        <v>Proposta Ok</v>
      </c>
    </row>
    <row r="4254" spans="12:15" x14ac:dyDescent="0.25">
      <c r="L4254">
        <f t="shared" si="268"/>
        <v>0</v>
      </c>
      <c r="M4254">
        <f t="shared" si="269"/>
        <v>1</v>
      </c>
      <c r="N4254">
        <f t="shared" si="270"/>
        <v>0</v>
      </c>
      <c r="O4254" t="str">
        <f t="shared" si="271"/>
        <v>Proposta Ok</v>
      </c>
    </row>
    <row r="4255" spans="12:15" x14ac:dyDescent="0.25">
      <c r="L4255">
        <f t="shared" si="268"/>
        <v>0</v>
      </c>
      <c r="M4255">
        <f t="shared" si="269"/>
        <v>1</v>
      </c>
      <c r="N4255">
        <f t="shared" si="270"/>
        <v>0</v>
      </c>
      <c r="O4255" t="str">
        <f t="shared" si="271"/>
        <v>Proposta Ok</v>
      </c>
    </row>
    <row r="4256" spans="12:15" x14ac:dyDescent="0.25">
      <c r="L4256">
        <f t="shared" si="268"/>
        <v>0</v>
      </c>
      <c r="M4256">
        <f t="shared" si="269"/>
        <v>1</v>
      </c>
      <c r="N4256">
        <f t="shared" si="270"/>
        <v>0</v>
      </c>
      <c r="O4256" t="str">
        <f t="shared" si="271"/>
        <v>Proposta Ok</v>
      </c>
    </row>
    <row r="4257" spans="12:15" x14ac:dyDescent="0.25">
      <c r="L4257">
        <f t="shared" si="268"/>
        <v>0</v>
      </c>
      <c r="M4257">
        <f t="shared" si="269"/>
        <v>1</v>
      </c>
      <c r="N4257">
        <f t="shared" si="270"/>
        <v>0</v>
      </c>
      <c r="O4257" t="str">
        <f t="shared" si="271"/>
        <v>Proposta Ok</v>
      </c>
    </row>
    <row r="4258" spans="12:15" x14ac:dyDescent="0.25">
      <c r="L4258">
        <f t="shared" si="268"/>
        <v>0</v>
      </c>
      <c r="M4258">
        <f t="shared" si="269"/>
        <v>1</v>
      </c>
      <c r="N4258">
        <f t="shared" si="270"/>
        <v>0</v>
      </c>
      <c r="O4258" t="str">
        <f t="shared" si="271"/>
        <v>Proposta Ok</v>
      </c>
    </row>
    <row r="4259" spans="12:15" x14ac:dyDescent="0.25">
      <c r="L4259">
        <f t="shared" si="268"/>
        <v>0</v>
      </c>
      <c r="M4259">
        <f t="shared" si="269"/>
        <v>1</v>
      </c>
      <c r="N4259">
        <f t="shared" si="270"/>
        <v>0</v>
      </c>
      <c r="O4259" t="str">
        <f t="shared" si="271"/>
        <v>Proposta Ok</v>
      </c>
    </row>
    <row r="4260" spans="12:15" x14ac:dyDescent="0.25">
      <c r="L4260">
        <f t="shared" si="268"/>
        <v>0</v>
      </c>
      <c r="M4260">
        <f t="shared" si="269"/>
        <v>1</v>
      </c>
      <c r="N4260">
        <f t="shared" si="270"/>
        <v>0</v>
      </c>
      <c r="O4260" t="str">
        <f t="shared" si="271"/>
        <v>Proposta Ok</v>
      </c>
    </row>
    <row r="4261" spans="12:15" x14ac:dyDescent="0.25">
      <c r="L4261">
        <f t="shared" si="268"/>
        <v>0</v>
      </c>
      <c r="M4261">
        <f t="shared" si="269"/>
        <v>1</v>
      </c>
      <c r="N4261">
        <f t="shared" si="270"/>
        <v>0</v>
      </c>
      <c r="O4261" t="str">
        <f t="shared" si="271"/>
        <v>Proposta Ok</v>
      </c>
    </row>
    <row r="4262" spans="12:15" x14ac:dyDescent="0.25">
      <c r="L4262">
        <f t="shared" si="268"/>
        <v>0</v>
      </c>
      <c r="M4262">
        <f t="shared" si="269"/>
        <v>1</v>
      </c>
      <c r="N4262">
        <f t="shared" si="270"/>
        <v>0</v>
      </c>
      <c r="O4262" t="str">
        <f t="shared" si="271"/>
        <v>Proposta Ok</v>
      </c>
    </row>
    <row r="4263" spans="12:15" x14ac:dyDescent="0.25">
      <c r="L4263">
        <f t="shared" si="268"/>
        <v>0</v>
      </c>
      <c r="M4263">
        <f t="shared" si="269"/>
        <v>1</v>
      </c>
      <c r="N4263">
        <f t="shared" si="270"/>
        <v>0</v>
      </c>
      <c r="O4263" t="str">
        <f t="shared" si="271"/>
        <v>Proposta Ok</v>
      </c>
    </row>
    <row r="4264" spans="12:15" x14ac:dyDescent="0.25">
      <c r="L4264">
        <f t="shared" si="268"/>
        <v>0</v>
      </c>
      <c r="M4264">
        <f t="shared" si="269"/>
        <v>1</v>
      </c>
      <c r="N4264">
        <f t="shared" si="270"/>
        <v>0</v>
      </c>
      <c r="O4264" t="str">
        <f t="shared" si="271"/>
        <v>Proposta Ok</v>
      </c>
    </row>
    <row r="4265" spans="12:15" x14ac:dyDescent="0.25">
      <c r="L4265">
        <f t="shared" si="268"/>
        <v>0</v>
      </c>
      <c r="M4265">
        <f t="shared" si="269"/>
        <v>1</v>
      </c>
      <c r="N4265">
        <f t="shared" si="270"/>
        <v>0</v>
      </c>
      <c r="O4265" t="str">
        <f t="shared" si="271"/>
        <v>Proposta Ok</v>
      </c>
    </row>
    <row r="4266" spans="12:15" x14ac:dyDescent="0.25">
      <c r="L4266">
        <f t="shared" si="268"/>
        <v>0</v>
      </c>
      <c r="M4266">
        <f t="shared" si="269"/>
        <v>1</v>
      </c>
      <c r="N4266">
        <f t="shared" si="270"/>
        <v>0</v>
      </c>
      <c r="O4266" t="str">
        <f t="shared" si="271"/>
        <v>Proposta Ok</v>
      </c>
    </row>
    <row r="4267" spans="12:15" x14ac:dyDescent="0.25">
      <c r="L4267">
        <f t="shared" si="268"/>
        <v>0</v>
      </c>
      <c r="M4267">
        <f t="shared" si="269"/>
        <v>1</v>
      </c>
      <c r="N4267">
        <f t="shared" si="270"/>
        <v>0</v>
      </c>
      <c r="O4267" t="str">
        <f t="shared" si="271"/>
        <v>Proposta Ok</v>
      </c>
    </row>
    <row r="4268" spans="12:15" x14ac:dyDescent="0.25">
      <c r="L4268">
        <f t="shared" si="268"/>
        <v>0</v>
      </c>
      <c r="M4268">
        <f t="shared" si="269"/>
        <v>1</v>
      </c>
      <c r="N4268">
        <f t="shared" si="270"/>
        <v>0</v>
      </c>
      <c r="O4268" t="str">
        <f t="shared" si="271"/>
        <v>Proposta Ok</v>
      </c>
    </row>
    <row r="4269" spans="12:15" x14ac:dyDescent="0.25">
      <c r="L4269">
        <f t="shared" si="268"/>
        <v>0</v>
      </c>
      <c r="M4269">
        <f t="shared" si="269"/>
        <v>1</v>
      </c>
      <c r="N4269">
        <f t="shared" si="270"/>
        <v>0</v>
      </c>
      <c r="O4269" t="str">
        <f t="shared" si="271"/>
        <v>Proposta Ok</v>
      </c>
    </row>
    <row r="4270" spans="12:15" x14ac:dyDescent="0.25">
      <c r="L4270">
        <f t="shared" si="268"/>
        <v>0</v>
      </c>
      <c r="M4270">
        <f t="shared" si="269"/>
        <v>1</v>
      </c>
      <c r="N4270">
        <f t="shared" si="270"/>
        <v>0</v>
      </c>
      <c r="O4270" t="str">
        <f t="shared" si="271"/>
        <v>Proposta Ok</v>
      </c>
    </row>
    <row r="4271" spans="12:15" x14ac:dyDescent="0.25">
      <c r="L4271">
        <f t="shared" si="268"/>
        <v>0</v>
      </c>
      <c r="M4271">
        <f t="shared" si="269"/>
        <v>1</v>
      </c>
      <c r="N4271">
        <f t="shared" si="270"/>
        <v>0</v>
      </c>
      <c r="O4271" t="str">
        <f t="shared" si="271"/>
        <v>Proposta Ok</v>
      </c>
    </row>
    <row r="4272" spans="12:15" x14ac:dyDescent="0.25">
      <c r="L4272">
        <f t="shared" si="268"/>
        <v>0</v>
      </c>
      <c r="M4272">
        <f t="shared" si="269"/>
        <v>1</v>
      </c>
      <c r="N4272">
        <f t="shared" si="270"/>
        <v>0</v>
      </c>
      <c r="O4272" t="str">
        <f t="shared" si="271"/>
        <v>Proposta Ok</v>
      </c>
    </row>
    <row r="4273" spans="12:15" x14ac:dyDescent="0.25">
      <c r="L4273">
        <f t="shared" si="268"/>
        <v>0</v>
      </c>
      <c r="M4273">
        <f t="shared" si="269"/>
        <v>1</v>
      </c>
      <c r="N4273">
        <f t="shared" si="270"/>
        <v>0</v>
      </c>
      <c r="O4273" t="str">
        <f t="shared" si="271"/>
        <v>Proposta Ok</v>
      </c>
    </row>
    <row r="4274" spans="12:15" x14ac:dyDescent="0.25">
      <c r="L4274">
        <f t="shared" si="268"/>
        <v>0</v>
      </c>
      <c r="M4274">
        <f t="shared" si="269"/>
        <v>1</v>
      </c>
      <c r="N4274">
        <f t="shared" si="270"/>
        <v>0</v>
      </c>
      <c r="O4274" t="str">
        <f t="shared" si="271"/>
        <v>Proposta Ok</v>
      </c>
    </row>
    <row r="4275" spans="12:15" x14ac:dyDescent="0.25">
      <c r="L4275">
        <f t="shared" si="268"/>
        <v>0</v>
      </c>
      <c r="M4275">
        <f t="shared" si="269"/>
        <v>1</v>
      </c>
      <c r="N4275">
        <f t="shared" si="270"/>
        <v>0</v>
      </c>
      <c r="O4275" t="str">
        <f t="shared" si="271"/>
        <v>Proposta Ok</v>
      </c>
    </row>
    <row r="4276" spans="12:15" x14ac:dyDescent="0.25">
      <c r="L4276">
        <f t="shared" si="268"/>
        <v>0</v>
      </c>
      <c r="M4276">
        <f t="shared" si="269"/>
        <v>1</v>
      </c>
      <c r="N4276">
        <f t="shared" si="270"/>
        <v>0</v>
      </c>
      <c r="O4276" t="str">
        <f t="shared" si="271"/>
        <v>Proposta Ok</v>
      </c>
    </row>
    <row r="4277" spans="12:15" x14ac:dyDescent="0.25">
      <c r="L4277">
        <f t="shared" si="268"/>
        <v>0</v>
      </c>
      <c r="M4277">
        <f t="shared" si="269"/>
        <v>1</v>
      </c>
      <c r="N4277">
        <f t="shared" si="270"/>
        <v>0</v>
      </c>
      <c r="O4277" t="str">
        <f t="shared" si="271"/>
        <v>Proposta Ok</v>
      </c>
    </row>
    <row r="4278" spans="12:15" x14ac:dyDescent="0.25">
      <c r="L4278">
        <f t="shared" si="268"/>
        <v>0</v>
      </c>
      <c r="M4278">
        <f t="shared" si="269"/>
        <v>1</v>
      </c>
      <c r="N4278">
        <f t="shared" si="270"/>
        <v>0</v>
      </c>
      <c r="O4278" t="str">
        <f t="shared" si="271"/>
        <v>Proposta Ok</v>
      </c>
    </row>
    <row r="4279" spans="12:15" x14ac:dyDescent="0.25">
      <c r="L4279">
        <f t="shared" si="268"/>
        <v>0</v>
      </c>
      <c r="M4279">
        <f t="shared" si="269"/>
        <v>1</v>
      </c>
      <c r="N4279">
        <f t="shared" si="270"/>
        <v>0</v>
      </c>
      <c r="O4279" t="str">
        <f t="shared" si="271"/>
        <v>Proposta Ok</v>
      </c>
    </row>
    <row r="4280" spans="12:15" x14ac:dyDescent="0.25">
      <c r="L4280">
        <f t="shared" si="268"/>
        <v>0</v>
      </c>
      <c r="M4280">
        <f t="shared" si="269"/>
        <v>1</v>
      </c>
      <c r="N4280">
        <f t="shared" si="270"/>
        <v>0</v>
      </c>
      <c r="O4280" t="str">
        <f t="shared" si="271"/>
        <v>Proposta Ok</v>
      </c>
    </row>
    <row r="4281" spans="12:15" x14ac:dyDescent="0.25">
      <c r="L4281">
        <f t="shared" si="268"/>
        <v>0</v>
      </c>
      <c r="M4281">
        <f t="shared" si="269"/>
        <v>1</v>
      </c>
      <c r="N4281">
        <f t="shared" si="270"/>
        <v>0</v>
      </c>
      <c r="O4281" t="str">
        <f t="shared" si="271"/>
        <v>Proposta Ok</v>
      </c>
    </row>
    <row r="4282" spans="12:15" x14ac:dyDescent="0.25">
      <c r="L4282">
        <f t="shared" si="268"/>
        <v>0</v>
      </c>
      <c r="M4282">
        <f t="shared" si="269"/>
        <v>1</v>
      </c>
      <c r="N4282">
        <f t="shared" si="270"/>
        <v>0</v>
      </c>
      <c r="O4282" t="str">
        <f t="shared" si="271"/>
        <v>Proposta Ok</v>
      </c>
    </row>
    <row r="4283" spans="12:15" x14ac:dyDescent="0.25">
      <c r="L4283">
        <f t="shared" si="268"/>
        <v>0</v>
      </c>
      <c r="M4283">
        <f t="shared" si="269"/>
        <v>1</v>
      </c>
      <c r="N4283">
        <f t="shared" si="270"/>
        <v>0</v>
      </c>
      <c r="O4283" t="str">
        <f t="shared" si="271"/>
        <v>Proposta Ok</v>
      </c>
    </row>
    <row r="4284" spans="12:15" x14ac:dyDescent="0.25">
      <c r="L4284">
        <f t="shared" si="268"/>
        <v>0</v>
      </c>
      <c r="M4284">
        <f t="shared" si="269"/>
        <v>1</v>
      </c>
      <c r="N4284">
        <f t="shared" si="270"/>
        <v>0</v>
      </c>
      <c r="O4284" t="str">
        <f t="shared" si="271"/>
        <v>Proposta Ok</v>
      </c>
    </row>
    <row r="4285" spans="12:15" x14ac:dyDescent="0.25">
      <c r="L4285">
        <f t="shared" si="268"/>
        <v>0</v>
      </c>
      <c r="M4285">
        <f t="shared" si="269"/>
        <v>1</v>
      </c>
      <c r="N4285">
        <f t="shared" si="270"/>
        <v>0</v>
      </c>
      <c r="O4285" t="str">
        <f t="shared" si="271"/>
        <v>Proposta Ok</v>
      </c>
    </row>
    <row r="4286" spans="12:15" x14ac:dyDescent="0.25">
      <c r="L4286">
        <f t="shared" si="268"/>
        <v>0</v>
      </c>
      <c r="M4286">
        <f t="shared" si="269"/>
        <v>1</v>
      </c>
      <c r="N4286">
        <f t="shared" si="270"/>
        <v>0</v>
      </c>
      <c r="O4286" t="str">
        <f t="shared" si="271"/>
        <v>Proposta Ok</v>
      </c>
    </row>
    <row r="4287" spans="12:15" x14ac:dyDescent="0.25">
      <c r="L4287">
        <f t="shared" si="268"/>
        <v>0</v>
      </c>
      <c r="M4287">
        <f t="shared" si="269"/>
        <v>1</v>
      </c>
      <c r="N4287">
        <f t="shared" si="270"/>
        <v>0</v>
      </c>
      <c r="O4287" t="str">
        <f t="shared" si="271"/>
        <v>Proposta Ok</v>
      </c>
    </row>
    <row r="4288" spans="12:15" x14ac:dyDescent="0.25">
      <c r="L4288">
        <f t="shared" si="268"/>
        <v>0</v>
      </c>
      <c r="M4288">
        <f t="shared" si="269"/>
        <v>1</v>
      </c>
      <c r="N4288">
        <f t="shared" si="270"/>
        <v>0</v>
      </c>
      <c r="O4288" t="str">
        <f t="shared" si="271"/>
        <v>Proposta Ok</v>
      </c>
    </row>
    <row r="4289" spans="12:15" x14ac:dyDescent="0.25">
      <c r="L4289">
        <f t="shared" si="268"/>
        <v>0</v>
      </c>
      <c r="M4289">
        <f t="shared" si="269"/>
        <v>1</v>
      </c>
      <c r="N4289">
        <f t="shared" si="270"/>
        <v>0</v>
      </c>
      <c r="O4289" t="str">
        <f t="shared" si="271"/>
        <v>Proposta Ok</v>
      </c>
    </row>
    <row r="4290" spans="12:15" x14ac:dyDescent="0.25">
      <c r="L4290">
        <f t="shared" si="268"/>
        <v>0</v>
      </c>
      <c r="M4290">
        <f t="shared" si="269"/>
        <v>1</v>
      </c>
      <c r="N4290">
        <f t="shared" si="270"/>
        <v>0</v>
      </c>
      <c r="O4290" t="str">
        <f t="shared" si="271"/>
        <v>Proposta Ok</v>
      </c>
    </row>
    <row r="4291" spans="12:15" x14ac:dyDescent="0.25">
      <c r="L4291">
        <f t="shared" si="268"/>
        <v>0</v>
      </c>
      <c r="M4291">
        <f t="shared" si="269"/>
        <v>1</v>
      </c>
      <c r="N4291">
        <f t="shared" si="270"/>
        <v>0</v>
      </c>
      <c r="O4291" t="str">
        <f t="shared" si="271"/>
        <v>Proposta Ok</v>
      </c>
    </row>
    <row r="4292" spans="12:15" x14ac:dyDescent="0.25">
      <c r="L4292">
        <f t="shared" si="268"/>
        <v>0</v>
      </c>
      <c r="M4292">
        <f t="shared" si="269"/>
        <v>1</v>
      </c>
      <c r="N4292">
        <f t="shared" si="270"/>
        <v>0</v>
      </c>
      <c r="O4292" t="str">
        <f t="shared" si="271"/>
        <v>Proposta Ok</v>
      </c>
    </row>
    <row r="4293" spans="12:15" x14ac:dyDescent="0.25">
      <c r="L4293">
        <f t="shared" si="268"/>
        <v>0</v>
      </c>
      <c r="M4293">
        <f t="shared" si="269"/>
        <v>1</v>
      </c>
      <c r="N4293">
        <f t="shared" si="270"/>
        <v>0</v>
      </c>
      <c r="O4293" t="str">
        <f t="shared" si="271"/>
        <v>Proposta Ok</v>
      </c>
    </row>
    <row r="4294" spans="12:15" x14ac:dyDescent="0.25">
      <c r="L4294">
        <f t="shared" si="268"/>
        <v>0</v>
      </c>
      <c r="M4294">
        <f t="shared" si="269"/>
        <v>1</v>
      </c>
      <c r="N4294">
        <f t="shared" si="270"/>
        <v>0</v>
      </c>
      <c r="O4294" t="str">
        <f t="shared" si="271"/>
        <v>Proposta Ok</v>
      </c>
    </row>
    <row r="4295" spans="12:15" x14ac:dyDescent="0.25">
      <c r="L4295">
        <f t="shared" si="268"/>
        <v>0</v>
      </c>
      <c r="M4295">
        <f t="shared" si="269"/>
        <v>1</v>
      </c>
      <c r="N4295">
        <f t="shared" si="270"/>
        <v>0</v>
      </c>
      <c r="O4295" t="str">
        <f t="shared" si="271"/>
        <v>Proposta Ok</v>
      </c>
    </row>
    <row r="4296" spans="12:15" x14ac:dyDescent="0.25">
      <c r="L4296">
        <f t="shared" si="268"/>
        <v>0</v>
      </c>
      <c r="M4296">
        <f t="shared" si="269"/>
        <v>1</v>
      </c>
      <c r="N4296">
        <f t="shared" si="270"/>
        <v>0</v>
      </c>
      <c r="O4296" t="str">
        <f t="shared" si="271"/>
        <v>Proposta Ok</v>
      </c>
    </row>
    <row r="4297" spans="12:15" x14ac:dyDescent="0.25">
      <c r="L4297">
        <f t="shared" si="268"/>
        <v>0</v>
      </c>
      <c r="M4297">
        <f t="shared" si="269"/>
        <v>1</v>
      </c>
      <c r="N4297">
        <f t="shared" si="270"/>
        <v>0</v>
      </c>
      <c r="O4297" t="str">
        <f t="shared" si="271"/>
        <v>Proposta Ok</v>
      </c>
    </row>
    <row r="4298" spans="12:15" x14ac:dyDescent="0.25">
      <c r="L4298">
        <f t="shared" si="268"/>
        <v>0</v>
      </c>
      <c r="M4298">
        <f t="shared" si="269"/>
        <v>1</v>
      </c>
      <c r="N4298">
        <f t="shared" si="270"/>
        <v>0</v>
      </c>
      <c r="O4298" t="str">
        <f t="shared" si="271"/>
        <v>Proposta Ok</v>
      </c>
    </row>
    <row r="4299" spans="12:15" x14ac:dyDescent="0.25">
      <c r="L4299">
        <f t="shared" si="268"/>
        <v>0</v>
      </c>
      <c r="M4299">
        <f t="shared" si="269"/>
        <v>1</v>
      </c>
      <c r="N4299">
        <f t="shared" si="270"/>
        <v>0</v>
      </c>
      <c r="O4299" t="str">
        <f t="shared" si="271"/>
        <v>Proposta Ok</v>
      </c>
    </row>
    <row r="4300" spans="12:15" x14ac:dyDescent="0.25">
      <c r="L4300">
        <f t="shared" si="268"/>
        <v>0</v>
      </c>
      <c r="M4300">
        <f t="shared" si="269"/>
        <v>1</v>
      </c>
      <c r="N4300">
        <f t="shared" si="270"/>
        <v>0</v>
      </c>
      <c r="O4300" t="str">
        <f t="shared" si="271"/>
        <v>Proposta Ok</v>
      </c>
    </row>
    <row r="4301" spans="12:15" x14ac:dyDescent="0.25">
      <c r="L4301">
        <f t="shared" si="268"/>
        <v>0</v>
      </c>
      <c r="M4301">
        <f t="shared" si="269"/>
        <v>1</v>
      </c>
      <c r="N4301">
        <f t="shared" si="270"/>
        <v>0</v>
      </c>
      <c r="O4301" t="str">
        <f t="shared" si="271"/>
        <v>Proposta Ok</v>
      </c>
    </row>
    <row r="4302" spans="12:15" x14ac:dyDescent="0.25">
      <c r="L4302">
        <f t="shared" si="268"/>
        <v>0</v>
      </c>
      <c r="M4302">
        <f t="shared" si="269"/>
        <v>1</v>
      </c>
      <c r="N4302">
        <f t="shared" si="270"/>
        <v>0</v>
      </c>
      <c r="O4302" t="str">
        <f t="shared" si="271"/>
        <v>Proposta Ok</v>
      </c>
    </row>
    <row r="4303" spans="12:15" x14ac:dyDescent="0.25">
      <c r="L4303">
        <f t="shared" si="268"/>
        <v>0</v>
      </c>
      <c r="M4303">
        <f t="shared" si="269"/>
        <v>1</v>
      </c>
      <c r="N4303">
        <f t="shared" si="270"/>
        <v>0</v>
      </c>
      <c r="O4303" t="str">
        <f t="shared" si="271"/>
        <v>Proposta Ok</v>
      </c>
    </row>
    <row r="4304" spans="12:15" x14ac:dyDescent="0.25">
      <c r="L4304">
        <f t="shared" si="268"/>
        <v>0</v>
      </c>
      <c r="M4304">
        <f t="shared" si="269"/>
        <v>1</v>
      </c>
      <c r="N4304">
        <f t="shared" si="270"/>
        <v>0</v>
      </c>
      <c r="O4304" t="str">
        <f t="shared" si="271"/>
        <v>Proposta Ok</v>
      </c>
    </row>
    <row r="4305" spans="12:15" x14ac:dyDescent="0.25">
      <c r="L4305">
        <f t="shared" si="268"/>
        <v>0</v>
      </c>
      <c r="M4305">
        <f t="shared" si="269"/>
        <v>1</v>
      </c>
      <c r="N4305">
        <f t="shared" si="270"/>
        <v>0</v>
      </c>
      <c r="O4305" t="str">
        <f t="shared" si="271"/>
        <v>Proposta Ok</v>
      </c>
    </row>
    <row r="4306" spans="12:15" x14ac:dyDescent="0.25">
      <c r="L4306">
        <f t="shared" si="268"/>
        <v>0</v>
      </c>
      <c r="M4306">
        <f t="shared" si="269"/>
        <v>1</v>
      </c>
      <c r="N4306">
        <f t="shared" si="270"/>
        <v>0</v>
      </c>
      <c r="O4306" t="str">
        <f t="shared" si="271"/>
        <v>Proposta Ok</v>
      </c>
    </row>
    <row r="4307" spans="12:15" x14ac:dyDescent="0.25">
      <c r="L4307">
        <f t="shared" si="268"/>
        <v>0</v>
      </c>
      <c r="M4307">
        <f t="shared" si="269"/>
        <v>1</v>
      </c>
      <c r="N4307">
        <f t="shared" si="270"/>
        <v>0</v>
      </c>
      <c r="O4307" t="str">
        <f t="shared" si="271"/>
        <v>Proposta Ok</v>
      </c>
    </row>
    <row r="4308" spans="12:15" x14ac:dyDescent="0.25">
      <c r="L4308">
        <f t="shared" si="268"/>
        <v>0</v>
      </c>
      <c r="M4308">
        <f t="shared" si="269"/>
        <v>1</v>
      </c>
      <c r="N4308">
        <f t="shared" si="270"/>
        <v>0</v>
      </c>
      <c r="O4308" t="str">
        <f t="shared" si="271"/>
        <v>Proposta Ok</v>
      </c>
    </row>
    <row r="4309" spans="12:15" x14ac:dyDescent="0.25">
      <c r="L4309">
        <f t="shared" si="268"/>
        <v>0</v>
      </c>
      <c r="M4309">
        <f t="shared" si="269"/>
        <v>1</v>
      </c>
      <c r="N4309">
        <f t="shared" si="270"/>
        <v>0</v>
      </c>
      <c r="O4309" t="str">
        <f t="shared" si="271"/>
        <v>Proposta Ok</v>
      </c>
    </row>
    <row r="4310" spans="12:15" x14ac:dyDescent="0.25">
      <c r="L4310">
        <f t="shared" si="268"/>
        <v>0</v>
      </c>
      <c r="M4310">
        <f t="shared" si="269"/>
        <v>1</v>
      </c>
      <c r="N4310">
        <f t="shared" si="270"/>
        <v>0</v>
      </c>
      <c r="O4310" t="str">
        <f t="shared" si="271"/>
        <v>Proposta Ok</v>
      </c>
    </row>
    <row r="4311" spans="12:15" x14ac:dyDescent="0.25">
      <c r="L4311">
        <f t="shared" si="268"/>
        <v>0</v>
      </c>
      <c r="M4311">
        <f t="shared" si="269"/>
        <v>1</v>
      </c>
      <c r="N4311">
        <f t="shared" si="270"/>
        <v>0</v>
      </c>
      <c r="O4311" t="str">
        <f t="shared" si="271"/>
        <v>Proposta Ok</v>
      </c>
    </row>
    <row r="4312" spans="12:15" x14ac:dyDescent="0.25">
      <c r="L4312">
        <f t="shared" si="268"/>
        <v>0</v>
      </c>
      <c r="M4312">
        <f t="shared" si="269"/>
        <v>1</v>
      </c>
      <c r="N4312">
        <f t="shared" si="270"/>
        <v>0</v>
      </c>
      <c r="O4312" t="str">
        <f t="shared" si="271"/>
        <v>Proposta Ok</v>
      </c>
    </row>
    <row r="4313" spans="12:15" x14ac:dyDescent="0.25">
      <c r="L4313">
        <f t="shared" si="268"/>
        <v>0</v>
      </c>
      <c r="M4313">
        <f t="shared" si="269"/>
        <v>1</v>
      </c>
      <c r="N4313">
        <f t="shared" si="270"/>
        <v>0</v>
      </c>
      <c r="O4313" t="str">
        <f t="shared" si="271"/>
        <v>Proposta Ok</v>
      </c>
    </row>
    <row r="4314" spans="12:15" x14ac:dyDescent="0.25">
      <c r="L4314">
        <f t="shared" si="268"/>
        <v>0</v>
      </c>
      <c r="M4314">
        <f t="shared" si="269"/>
        <v>1</v>
      </c>
      <c r="N4314">
        <f t="shared" si="270"/>
        <v>0</v>
      </c>
      <c r="O4314" t="str">
        <f t="shared" si="271"/>
        <v>Proposta Ok</v>
      </c>
    </row>
    <row r="4315" spans="12:15" x14ac:dyDescent="0.25">
      <c r="L4315">
        <f t="shared" ref="L4315:L4378" si="272">IF(OR(I4315="Termo OK (Exceção)",I4315="Termo OK"),1,0)</f>
        <v>0</v>
      </c>
      <c r="M4315">
        <f t="shared" ref="M4315:M4378" si="273">IF(OR(I4315="Termo OK (Exceção)",I4315="Termo OK"),0,1)</f>
        <v>1</v>
      </c>
      <c r="N4315">
        <f t="shared" ref="N4315:N4378" si="274">IF(J4315="SIM",1,0)</f>
        <v>0</v>
      </c>
      <c r="O4315" t="str">
        <f t="shared" ref="O4315:O4378" si="275">IF(SUMIFS(M:M,A:A,A4315)&gt;0,"Proposta não Ok","Proposta Ok")</f>
        <v>Proposta Ok</v>
      </c>
    </row>
    <row r="4316" spans="12:15" x14ac:dyDescent="0.25">
      <c r="L4316">
        <f t="shared" si="272"/>
        <v>0</v>
      </c>
      <c r="M4316">
        <f t="shared" si="273"/>
        <v>1</v>
      </c>
      <c r="N4316">
        <f t="shared" si="274"/>
        <v>0</v>
      </c>
      <c r="O4316" t="str">
        <f t="shared" si="275"/>
        <v>Proposta Ok</v>
      </c>
    </row>
    <row r="4317" spans="12:15" x14ac:dyDescent="0.25">
      <c r="L4317">
        <f t="shared" si="272"/>
        <v>0</v>
      </c>
      <c r="M4317">
        <f t="shared" si="273"/>
        <v>1</v>
      </c>
      <c r="N4317">
        <f t="shared" si="274"/>
        <v>0</v>
      </c>
      <c r="O4317" t="str">
        <f t="shared" si="275"/>
        <v>Proposta Ok</v>
      </c>
    </row>
    <row r="4318" spans="12:15" x14ac:dyDescent="0.25">
      <c r="L4318">
        <f t="shared" si="272"/>
        <v>0</v>
      </c>
      <c r="M4318">
        <f t="shared" si="273"/>
        <v>1</v>
      </c>
      <c r="N4318">
        <f t="shared" si="274"/>
        <v>0</v>
      </c>
      <c r="O4318" t="str">
        <f t="shared" si="275"/>
        <v>Proposta Ok</v>
      </c>
    </row>
    <row r="4319" spans="12:15" x14ac:dyDescent="0.25">
      <c r="L4319">
        <f t="shared" si="272"/>
        <v>0</v>
      </c>
      <c r="M4319">
        <f t="shared" si="273"/>
        <v>1</v>
      </c>
      <c r="N4319">
        <f t="shared" si="274"/>
        <v>0</v>
      </c>
      <c r="O4319" t="str">
        <f t="shared" si="275"/>
        <v>Proposta Ok</v>
      </c>
    </row>
    <row r="4320" spans="12:15" x14ac:dyDescent="0.25">
      <c r="L4320">
        <f t="shared" si="272"/>
        <v>0</v>
      </c>
      <c r="M4320">
        <f t="shared" si="273"/>
        <v>1</v>
      </c>
      <c r="N4320">
        <f t="shared" si="274"/>
        <v>0</v>
      </c>
      <c r="O4320" t="str">
        <f t="shared" si="275"/>
        <v>Proposta Ok</v>
      </c>
    </row>
    <row r="4321" spans="12:15" x14ac:dyDescent="0.25">
      <c r="L4321">
        <f t="shared" si="272"/>
        <v>0</v>
      </c>
      <c r="M4321">
        <f t="shared" si="273"/>
        <v>1</v>
      </c>
      <c r="N4321">
        <f t="shared" si="274"/>
        <v>0</v>
      </c>
      <c r="O4321" t="str">
        <f t="shared" si="275"/>
        <v>Proposta Ok</v>
      </c>
    </row>
    <row r="4322" spans="12:15" x14ac:dyDescent="0.25">
      <c r="L4322">
        <f t="shared" si="272"/>
        <v>0</v>
      </c>
      <c r="M4322">
        <f t="shared" si="273"/>
        <v>1</v>
      </c>
      <c r="N4322">
        <f t="shared" si="274"/>
        <v>0</v>
      </c>
      <c r="O4322" t="str">
        <f t="shared" si="275"/>
        <v>Proposta Ok</v>
      </c>
    </row>
    <row r="4323" spans="12:15" x14ac:dyDescent="0.25">
      <c r="L4323">
        <f t="shared" si="272"/>
        <v>0</v>
      </c>
      <c r="M4323">
        <f t="shared" si="273"/>
        <v>1</v>
      </c>
      <c r="N4323">
        <f t="shared" si="274"/>
        <v>0</v>
      </c>
      <c r="O4323" t="str">
        <f t="shared" si="275"/>
        <v>Proposta Ok</v>
      </c>
    </row>
    <row r="4324" spans="12:15" x14ac:dyDescent="0.25">
      <c r="L4324">
        <f t="shared" si="272"/>
        <v>0</v>
      </c>
      <c r="M4324">
        <f t="shared" si="273"/>
        <v>1</v>
      </c>
      <c r="N4324">
        <f t="shared" si="274"/>
        <v>0</v>
      </c>
      <c r="O4324" t="str">
        <f t="shared" si="275"/>
        <v>Proposta Ok</v>
      </c>
    </row>
    <row r="4325" spans="12:15" x14ac:dyDescent="0.25">
      <c r="L4325">
        <f t="shared" si="272"/>
        <v>0</v>
      </c>
      <c r="M4325">
        <f t="shared" si="273"/>
        <v>1</v>
      </c>
      <c r="N4325">
        <f t="shared" si="274"/>
        <v>0</v>
      </c>
      <c r="O4325" t="str">
        <f t="shared" si="275"/>
        <v>Proposta Ok</v>
      </c>
    </row>
    <row r="4326" spans="12:15" x14ac:dyDescent="0.25">
      <c r="L4326">
        <f t="shared" si="272"/>
        <v>0</v>
      </c>
      <c r="M4326">
        <f t="shared" si="273"/>
        <v>1</v>
      </c>
      <c r="N4326">
        <f t="shared" si="274"/>
        <v>0</v>
      </c>
      <c r="O4326" t="str">
        <f t="shared" si="275"/>
        <v>Proposta Ok</v>
      </c>
    </row>
    <row r="4327" spans="12:15" x14ac:dyDescent="0.25">
      <c r="L4327">
        <f t="shared" si="272"/>
        <v>0</v>
      </c>
      <c r="M4327">
        <f t="shared" si="273"/>
        <v>1</v>
      </c>
      <c r="N4327">
        <f t="shared" si="274"/>
        <v>0</v>
      </c>
      <c r="O4327" t="str">
        <f t="shared" si="275"/>
        <v>Proposta Ok</v>
      </c>
    </row>
    <row r="4328" spans="12:15" x14ac:dyDescent="0.25">
      <c r="L4328">
        <f t="shared" si="272"/>
        <v>0</v>
      </c>
      <c r="M4328">
        <f t="shared" si="273"/>
        <v>1</v>
      </c>
      <c r="N4328">
        <f t="shared" si="274"/>
        <v>0</v>
      </c>
      <c r="O4328" t="str">
        <f t="shared" si="275"/>
        <v>Proposta Ok</v>
      </c>
    </row>
    <row r="4329" spans="12:15" x14ac:dyDescent="0.25">
      <c r="L4329">
        <f t="shared" si="272"/>
        <v>0</v>
      </c>
      <c r="M4329">
        <f t="shared" si="273"/>
        <v>1</v>
      </c>
      <c r="N4329">
        <f t="shared" si="274"/>
        <v>0</v>
      </c>
      <c r="O4329" t="str">
        <f t="shared" si="275"/>
        <v>Proposta Ok</v>
      </c>
    </row>
    <row r="4330" spans="12:15" x14ac:dyDescent="0.25">
      <c r="L4330">
        <f t="shared" si="272"/>
        <v>0</v>
      </c>
      <c r="M4330">
        <f t="shared" si="273"/>
        <v>1</v>
      </c>
      <c r="N4330">
        <f t="shared" si="274"/>
        <v>0</v>
      </c>
      <c r="O4330" t="str">
        <f t="shared" si="275"/>
        <v>Proposta Ok</v>
      </c>
    </row>
    <row r="4331" spans="12:15" x14ac:dyDescent="0.25">
      <c r="L4331">
        <f t="shared" si="272"/>
        <v>0</v>
      </c>
      <c r="M4331">
        <f t="shared" si="273"/>
        <v>1</v>
      </c>
      <c r="N4331">
        <f t="shared" si="274"/>
        <v>0</v>
      </c>
      <c r="O4331" t="str">
        <f t="shared" si="275"/>
        <v>Proposta Ok</v>
      </c>
    </row>
    <row r="4332" spans="12:15" x14ac:dyDescent="0.25">
      <c r="L4332">
        <f t="shared" si="272"/>
        <v>0</v>
      </c>
      <c r="M4332">
        <f t="shared" si="273"/>
        <v>1</v>
      </c>
      <c r="N4332">
        <f t="shared" si="274"/>
        <v>0</v>
      </c>
      <c r="O4332" t="str">
        <f t="shared" si="275"/>
        <v>Proposta Ok</v>
      </c>
    </row>
    <row r="4333" spans="12:15" x14ac:dyDescent="0.25">
      <c r="L4333">
        <f t="shared" si="272"/>
        <v>0</v>
      </c>
      <c r="M4333">
        <f t="shared" si="273"/>
        <v>1</v>
      </c>
      <c r="N4333">
        <f t="shared" si="274"/>
        <v>0</v>
      </c>
      <c r="O4333" t="str">
        <f t="shared" si="275"/>
        <v>Proposta Ok</v>
      </c>
    </row>
    <row r="4334" spans="12:15" x14ac:dyDescent="0.25">
      <c r="L4334">
        <f t="shared" si="272"/>
        <v>0</v>
      </c>
      <c r="M4334">
        <f t="shared" si="273"/>
        <v>1</v>
      </c>
      <c r="N4334">
        <f t="shared" si="274"/>
        <v>0</v>
      </c>
      <c r="O4334" t="str">
        <f t="shared" si="275"/>
        <v>Proposta Ok</v>
      </c>
    </row>
    <row r="4335" spans="12:15" x14ac:dyDescent="0.25">
      <c r="L4335">
        <f t="shared" si="272"/>
        <v>0</v>
      </c>
      <c r="M4335">
        <f t="shared" si="273"/>
        <v>1</v>
      </c>
      <c r="N4335">
        <f t="shared" si="274"/>
        <v>0</v>
      </c>
      <c r="O4335" t="str">
        <f t="shared" si="275"/>
        <v>Proposta Ok</v>
      </c>
    </row>
    <row r="4336" spans="12:15" x14ac:dyDescent="0.25">
      <c r="L4336">
        <f t="shared" si="272"/>
        <v>0</v>
      </c>
      <c r="M4336">
        <f t="shared" si="273"/>
        <v>1</v>
      </c>
      <c r="N4336">
        <f t="shared" si="274"/>
        <v>0</v>
      </c>
      <c r="O4336" t="str">
        <f t="shared" si="275"/>
        <v>Proposta Ok</v>
      </c>
    </row>
    <row r="4337" spans="12:15" x14ac:dyDescent="0.25">
      <c r="L4337">
        <f t="shared" si="272"/>
        <v>0</v>
      </c>
      <c r="M4337">
        <f t="shared" si="273"/>
        <v>1</v>
      </c>
      <c r="N4337">
        <f t="shared" si="274"/>
        <v>0</v>
      </c>
      <c r="O4337" t="str">
        <f t="shared" si="275"/>
        <v>Proposta Ok</v>
      </c>
    </row>
    <row r="4338" spans="12:15" x14ac:dyDescent="0.25">
      <c r="L4338">
        <f t="shared" si="272"/>
        <v>0</v>
      </c>
      <c r="M4338">
        <f t="shared" si="273"/>
        <v>1</v>
      </c>
      <c r="N4338">
        <f t="shared" si="274"/>
        <v>0</v>
      </c>
      <c r="O4338" t="str">
        <f t="shared" si="275"/>
        <v>Proposta Ok</v>
      </c>
    </row>
    <row r="4339" spans="12:15" x14ac:dyDescent="0.25">
      <c r="L4339">
        <f t="shared" si="272"/>
        <v>0</v>
      </c>
      <c r="M4339">
        <f t="shared" si="273"/>
        <v>1</v>
      </c>
      <c r="N4339">
        <f t="shared" si="274"/>
        <v>0</v>
      </c>
      <c r="O4339" t="str">
        <f t="shared" si="275"/>
        <v>Proposta Ok</v>
      </c>
    </row>
    <row r="4340" spans="12:15" x14ac:dyDescent="0.25">
      <c r="L4340">
        <f t="shared" si="272"/>
        <v>0</v>
      </c>
      <c r="M4340">
        <f t="shared" si="273"/>
        <v>1</v>
      </c>
      <c r="N4340">
        <f t="shared" si="274"/>
        <v>0</v>
      </c>
      <c r="O4340" t="str">
        <f t="shared" si="275"/>
        <v>Proposta Ok</v>
      </c>
    </row>
    <row r="4341" spans="12:15" x14ac:dyDescent="0.25">
      <c r="L4341">
        <f t="shared" si="272"/>
        <v>0</v>
      </c>
      <c r="M4341">
        <f t="shared" si="273"/>
        <v>1</v>
      </c>
      <c r="N4341">
        <f t="shared" si="274"/>
        <v>0</v>
      </c>
      <c r="O4341" t="str">
        <f t="shared" si="275"/>
        <v>Proposta Ok</v>
      </c>
    </row>
    <row r="4342" spans="12:15" x14ac:dyDescent="0.25">
      <c r="L4342">
        <f t="shared" si="272"/>
        <v>0</v>
      </c>
      <c r="M4342">
        <f t="shared" si="273"/>
        <v>1</v>
      </c>
      <c r="N4342">
        <f t="shared" si="274"/>
        <v>0</v>
      </c>
      <c r="O4342" t="str">
        <f t="shared" si="275"/>
        <v>Proposta Ok</v>
      </c>
    </row>
    <row r="4343" spans="12:15" x14ac:dyDescent="0.25">
      <c r="L4343">
        <f t="shared" si="272"/>
        <v>0</v>
      </c>
      <c r="M4343">
        <f t="shared" si="273"/>
        <v>1</v>
      </c>
      <c r="N4343">
        <f t="shared" si="274"/>
        <v>0</v>
      </c>
      <c r="O4343" t="str">
        <f t="shared" si="275"/>
        <v>Proposta Ok</v>
      </c>
    </row>
    <row r="4344" spans="12:15" x14ac:dyDescent="0.25">
      <c r="L4344">
        <f t="shared" si="272"/>
        <v>0</v>
      </c>
      <c r="M4344">
        <f t="shared" si="273"/>
        <v>1</v>
      </c>
      <c r="N4344">
        <f t="shared" si="274"/>
        <v>0</v>
      </c>
      <c r="O4344" t="str">
        <f t="shared" si="275"/>
        <v>Proposta Ok</v>
      </c>
    </row>
    <row r="4345" spans="12:15" x14ac:dyDescent="0.25">
      <c r="L4345">
        <f t="shared" si="272"/>
        <v>0</v>
      </c>
      <c r="M4345">
        <f t="shared" si="273"/>
        <v>1</v>
      </c>
      <c r="N4345">
        <f t="shared" si="274"/>
        <v>0</v>
      </c>
      <c r="O4345" t="str">
        <f t="shared" si="275"/>
        <v>Proposta Ok</v>
      </c>
    </row>
    <row r="4346" spans="12:15" x14ac:dyDescent="0.25">
      <c r="L4346">
        <f t="shared" si="272"/>
        <v>0</v>
      </c>
      <c r="M4346">
        <f t="shared" si="273"/>
        <v>1</v>
      </c>
      <c r="N4346">
        <f t="shared" si="274"/>
        <v>0</v>
      </c>
      <c r="O4346" t="str">
        <f t="shared" si="275"/>
        <v>Proposta Ok</v>
      </c>
    </row>
    <row r="4347" spans="12:15" x14ac:dyDescent="0.25">
      <c r="L4347">
        <f t="shared" si="272"/>
        <v>0</v>
      </c>
      <c r="M4347">
        <f t="shared" si="273"/>
        <v>1</v>
      </c>
      <c r="N4347">
        <f t="shared" si="274"/>
        <v>0</v>
      </c>
      <c r="O4347" t="str">
        <f t="shared" si="275"/>
        <v>Proposta Ok</v>
      </c>
    </row>
    <row r="4348" spans="12:15" x14ac:dyDescent="0.25">
      <c r="L4348">
        <f t="shared" si="272"/>
        <v>0</v>
      </c>
      <c r="M4348">
        <f t="shared" si="273"/>
        <v>1</v>
      </c>
      <c r="N4348">
        <f t="shared" si="274"/>
        <v>0</v>
      </c>
      <c r="O4348" t="str">
        <f t="shared" si="275"/>
        <v>Proposta Ok</v>
      </c>
    </row>
    <row r="4349" spans="12:15" x14ac:dyDescent="0.25">
      <c r="L4349">
        <f t="shared" si="272"/>
        <v>0</v>
      </c>
      <c r="M4349">
        <f t="shared" si="273"/>
        <v>1</v>
      </c>
      <c r="N4349">
        <f t="shared" si="274"/>
        <v>0</v>
      </c>
      <c r="O4349" t="str">
        <f t="shared" si="275"/>
        <v>Proposta Ok</v>
      </c>
    </row>
    <row r="4350" spans="12:15" x14ac:dyDescent="0.25">
      <c r="L4350">
        <f t="shared" si="272"/>
        <v>0</v>
      </c>
      <c r="M4350">
        <f t="shared" si="273"/>
        <v>1</v>
      </c>
      <c r="N4350">
        <f t="shared" si="274"/>
        <v>0</v>
      </c>
      <c r="O4350" t="str">
        <f t="shared" si="275"/>
        <v>Proposta Ok</v>
      </c>
    </row>
    <row r="4351" spans="12:15" x14ac:dyDescent="0.25">
      <c r="L4351">
        <f t="shared" si="272"/>
        <v>0</v>
      </c>
      <c r="M4351">
        <f t="shared" si="273"/>
        <v>1</v>
      </c>
      <c r="N4351">
        <f t="shared" si="274"/>
        <v>0</v>
      </c>
      <c r="O4351" t="str">
        <f t="shared" si="275"/>
        <v>Proposta Ok</v>
      </c>
    </row>
    <row r="4352" spans="12:15" x14ac:dyDescent="0.25">
      <c r="L4352">
        <f t="shared" si="272"/>
        <v>0</v>
      </c>
      <c r="M4352">
        <f t="shared" si="273"/>
        <v>1</v>
      </c>
      <c r="N4352">
        <f t="shared" si="274"/>
        <v>0</v>
      </c>
      <c r="O4352" t="str">
        <f t="shared" si="275"/>
        <v>Proposta Ok</v>
      </c>
    </row>
    <row r="4353" spans="12:15" x14ac:dyDescent="0.25">
      <c r="L4353">
        <f t="shared" si="272"/>
        <v>0</v>
      </c>
      <c r="M4353">
        <f t="shared" si="273"/>
        <v>1</v>
      </c>
      <c r="N4353">
        <f t="shared" si="274"/>
        <v>0</v>
      </c>
      <c r="O4353" t="str">
        <f t="shared" si="275"/>
        <v>Proposta Ok</v>
      </c>
    </row>
    <row r="4354" spans="12:15" x14ac:dyDescent="0.25">
      <c r="L4354">
        <f t="shared" si="272"/>
        <v>0</v>
      </c>
      <c r="M4354">
        <f t="shared" si="273"/>
        <v>1</v>
      </c>
      <c r="N4354">
        <f t="shared" si="274"/>
        <v>0</v>
      </c>
      <c r="O4354" t="str">
        <f t="shared" si="275"/>
        <v>Proposta Ok</v>
      </c>
    </row>
    <row r="4355" spans="12:15" x14ac:dyDescent="0.25">
      <c r="L4355">
        <f t="shared" si="272"/>
        <v>0</v>
      </c>
      <c r="M4355">
        <f t="shared" si="273"/>
        <v>1</v>
      </c>
      <c r="N4355">
        <f t="shared" si="274"/>
        <v>0</v>
      </c>
      <c r="O4355" t="str">
        <f t="shared" si="275"/>
        <v>Proposta Ok</v>
      </c>
    </row>
    <row r="4356" spans="12:15" x14ac:dyDescent="0.25">
      <c r="L4356">
        <f t="shared" si="272"/>
        <v>0</v>
      </c>
      <c r="M4356">
        <f t="shared" si="273"/>
        <v>1</v>
      </c>
      <c r="N4356">
        <f t="shared" si="274"/>
        <v>0</v>
      </c>
      <c r="O4356" t="str">
        <f t="shared" si="275"/>
        <v>Proposta Ok</v>
      </c>
    </row>
    <row r="4357" spans="12:15" x14ac:dyDescent="0.25">
      <c r="L4357">
        <f t="shared" si="272"/>
        <v>0</v>
      </c>
      <c r="M4357">
        <f t="shared" si="273"/>
        <v>1</v>
      </c>
      <c r="N4357">
        <f t="shared" si="274"/>
        <v>0</v>
      </c>
      <c r="O4357" t="str">
        <f t="shared" si="275"/>
        <v>Proposta Ok</v>
      </c>
    </row>
    <row r="4358" spans="12:15" x14ac:dyDescent="0.25">
      <c r="L4358">
        <f t="shared" si="272"/>
        <v>0</v>
      </c>
      <c r="M4358">
        <f t="shared" si="273"/>
        <v>1</v>
      </c>
      <c r="N4358">
        <f t="shared" si="274"/>
        <v>0</v>
      </c>
      <c r="O4358" t="str">
        <f t="shared" si="275"/>
        <v>Proposta Ok</v>
      </c>
    </row>
    <row r="4359" spans="12:15" x14ac:dyDescent="0.25">
      <c r="L4359">
        <f t="shared" si="272"/>
        <v>0</v>
      </c>
      <c r="M4359">
        <f t="shared" si="273"/>
        <v>1</v>
      </c>
      <c r="N4359">
        <f t="shared" si="274"/>
        <v>0</v>
      </c>
      <c r="O4359" t="str">
        <f t="shared" si="275"/>
        <v>Proposta Ok</v>
      </c>
    </row>
    <row r="4360" spans="12:15" x14ac:dyDescent="0.25">
      <c r="L4360">
        <f t="shared" si="272"/>
        <v>0</v>
      </c>
      <c r="M4360">
        <f t="shared" si="273"/>
        <v>1</v>
      </c>
      <c r="N4360">
        <f t="shared" si="274"/>
        <v>0</v>
      </c>
      <c r="O4360" t="str">
        <f t="shared" si="275"/>
        <v>Proposta Ok</v>
      </c>
    </row>
    <row r="4361" spans="12:15" x14ac:dyDescent="0.25">
      <c r="L4361">
        <f t="shared" si="272"/>
        <v>0</v>
      </c>
      <c r="M4361">
        <f t="shared" si="273"/>
        <v>1</v>
      </c>
      <c r="N4361">
        <f t="shared" si="274"/>
        <v>0</v>
      </c>
      <c r="O4361" t="str">
        <f t="shared" si="275"/>
        <v>Proposta Ok</v>
      </c>
    </row>
    <row r="4362" spans="12:15" x14ac:dyDescent="0.25">
      <c r="L4362">
        <f t="shared" si="272"/>
        <v>0</v>
      </c>
      <c r="M4362">
        <f t="shared" si="273"/>
        <v>1</v>
      </c>
      <c r="N4362">
        <f t="shared" si="274"/>
        <v>0</v>
      </c>
      <c r="O4362" t="str">
        <f t="shared" si="275"/>
        <v>Proposta Ok</v>
      </c>
    </row>
    <row r="4363" spans="12:15" x14ac:dyDescent="0.25">
      <c r="L4363">
        <f t="shared" si="272"/>
        <v>0</v>
      </c>
      <c r="M4363">
        <f t="shared" si="273"/>
        <v>1</v>
      </c>
      <c r="N4363">
        <f t="shared" si="274"/>
        <v>0</v>
      </c>
      <c r="O4363" t="str">
        <f t="shared" si="275"/>
        <v>Proposta Ok</v>
      </c>
    </row>
    <row r="4364" spans="12:15" x14ac:dyDescent="0.25">
      <c r="L4364">
        <f t="shared" si="272"/>
        <v>0</v>
      </c>
      <c r="M4364">
        <f t="shared" si="273"/>
        <v>1</v>
      </c>
      <c r="N4364">
        <f t="shared" si="274"/>
        <v>0</v>
      </c>
      <c r="O4364" t="str">
        <f t="shared" si="275"/>
        <v>Proposta Ok</v>
      </c>
    </row>
    <row r="4365" spans="12:15" x14ac:dyDescent="0.25">
      <c r="L4365">
        <f t="shared" si="272"/>
        <v>0</v>
      </c>
      <c r="M4365">
        <f t="shared" si="273"/>
        <v>1</v>
      </c>
      <c r="N4365">
        <f t="shared" si="274"/>
        <v>0</v>
      </c>
      <c r="O4365" t="str">
        <f t="shared" si="275"/>
        <v>Proposta Ok</v>
      </c>
    </row>
    <row r="4366" spans="12:15" x14ac:dyDescent="0.25">
      <c r="L4366">
        <f t="shared" si="272"/>
        <v>0</v>
      </c>
      <c r="M4366">
        <f t="shared" si="273"/>
        <v>1</v>
      </c>
      <c r="N4366">
        <f t="shared" si="274"/>
        <v>0</v>
      </c>
      <c r="O4366" t="str">
        <f t="shared" si="275"/>
        <v>Proposta Ok</v>
      </c>
    </row>
    <row r="4367" spans="12:15" x14ac:dyDescent="0.25">
      <c r="L4367">
        <f t="shared" si="272"/>
        <v>0</v>
      </c>
      <c r="M4367">
        <f t="shared" si="273"/>
        <v>1</v>
      </c>
      <c r="N4367">
        <f t="shared" si="274"/>
        <v>0</v>
      </c>
      <c r="O4367" t="str">
        <f t="shared" si="275"/>
        <v>Proposta Ok</v>
      </c>
    </row>
    <row r="4368" spans="12:15" x14ac:dyDescent="0.25">
      <c r="L4368">
        <f t="shared" si="272"/>
        <v>0</v>
      </c>
      <c r="M4368">
        <f t="shared" si="273"/>
        <v>1</v>
      </c>
      <c r="N4368">
        <f t="shared" si="274"/>
        <v>0</v>
      </c>
      <c r="O4368" t="str">
        <f t="shared" si="275"/>
        <v>Proposta Ok</v>
      </c>
    </row>
    <row r="4369" spans="12:15" x14ac:dyDescent="0.25">
      <c r="L4369">
        <f t="shared" si="272"/>
        <v>0</v>
      </c>
      <c r="M4369">
        <f t="shared" si="273"/>
        <v>1</v>
      </c>
      <c r="N4369">
        <f t="shared" si="274"/>
        <v>0</v>
      </c>
      <c r="O4369" t="str">
        <f t="shared" si="275"/>
        <v>Proposta Ok</v>
      </c>
    </row>
    <row r="4370" spans="12:15" x14ac:dyDescent="0.25">
      <c r="L4370">
        <f t="shared" si="272"/>
        <v>0</v>
      </c>
      <c r="M4370">
        <f t="shared" si="273"/>
        <v>1</v>
      </c>
      <c r="N4370">
        <f t="shared" si="274"/>
        <v>0</v>
      </c>
      <c r="O4370" t="str">
        <f t="shared" si="275"/>
        <v>Proposta Ok</v>
      </c>
    </row>
    <row r="4371" spans="12:15" x14ac:dyDescent="0.25">
      <c r="L4371">
        <f t="shared" si="272"/>
        <v>0</v>
      </c>
      <c r="M4371">
        <f t="shared" si="273"/>
        <v>1</v>
      </c>
      <c r="N4371">
        <f t="shared" si="274"/>
        <v>0</v>
      </c>
      <c r="O4371" t="str">
        <f t="shared" si="275"/>
        <v>Proposta Ok</v>
      </c>
    </row>
    <row r="4372" spans="12:15" x14ac:dyDescent="0.25">
      <c r="L4372">
        <f t="shared" si="272"/>
        <v>0</v>
      </c>
      <c r="M4372">
        <f t="shared" si="273"/>
        <v>1</v>
      </c>
      <c r="N4372">
        <f t="shared" si="274"/>
        <v>0</v>
      </c>
      <c r="O4372" t="str">
        <f t="shared" si="275"/>
        <v>Proposta Ok</v>
      </c>
    </row>
    <row r="4373" spans="12:15" x14ac:dyDescent="0.25">
      <c r="L4373">
        <f t="shared" si="272"/>
        <v>0</v>
      </c>
      <c r="M4373">
        <f t="shared" si="273"/>
        <v>1</v>
      </c>
      <c r="N4373">
        <f t="shared" si="274"/>
        <v>0</v>
      </c>
      <c r="O4373" t="str">
        <f t="shared" si="275"/>
        <v>Proposta Ok</v>
      </c>
    </row>
    <row r="4374" spans="12:15" x14ac:dyDescent="0.25">
      <c r="L4374">
        <f t="shared" si="272"/>
        <v>0</v>
      </c>
      <c r="M4374">
        <f t="shared" si="273"/>
        <v>1</v>
      </c>
      <c r="N4374">
        <f t="shared" si="274"/>
        <v>0</v>
      </c>
      <c r="O4374" t="str">
        <f t="shared" si="275"/>
        <v>Proposta Ok</v>
      </c>
    </row>
    <row r="4375" spans="12:15" x14ac:dyDescent="0.25">
      <c r="L4375">
        <f t="shared" si="272"/>
        <v>0</v>
      </c>
      <c r="M4375">
        <f t="shared" si="273"/>
        <v>1</v>
      </c>
      <c r="N4375">
        <f t="shared" si="274"/>
        <v>0</v>
      </c>
      <c r="O4375" t="str">
        <f t="shared" si="275"/>
        <v>Proposta Ok</v>
      </c>
    </row>
    <row r="4376" spans="12:15" x14ac:dyDescent="0.25">
      <c r="L4376">
        <f t="shared" si="272"/>
        <v>0</v>
      </c>
      <c r="M4376">
        <f t="shared" si="273"/>
        <v>1</v>
      </c>
      <c r="N4376">
        <f t="shared" si="274"/>
        <v>0</v>
      </c>
      <c r="O4376" t="str">
        <f t="shared" si="275"/>
        <v>Proposta Ok</v>
      </c>
    </row>
    <row r="4377" spans="12:15" x14ac:dyDescent="0.25">
      <c r="L4377">
        <f t="shared" si="272"/>
        <v>0</v>
      </c>
      <c r="M4377">
        <f t="shared" si="273"/>
        <v>1</v>
      </c>
      <c r="N4377">
        <f t="shared" si="274"/>
        <v>0</v>
      </c>
      <c r="O4377" t="str">
        <f t="shared" si="275"/>
        <v>Proposta Ok</v>
      </c>
    </row>
    <row r="4378" spans="12:15" x14ac:dyDescent="0.25">
      <c r="L4378">
        <f t="shared" si="272"/>
        <v>0</v>
      </c>
      <c r="M4378">
        <f t="shared" si="273"/>
        <v>1</v>
      </c>
      <c r="N4378">
        <f t="shared" si="274"/>
        <v>0</v>
      </c>
      <c r="O4378" t="str">
        <f t="shared" si="275"/>
        <v>Proposta Ok</v>
      </c>
    </row>
    <row r="4379" spans="12:15" x14ac:dyDescent="0.25">
      <c r="L4379">
        <f t="shared" ref="L4379:L4442" si="276">IF(OR(I4379="Termo OK (Exceção)",I4379="Termo OK"),1,0)</f>
        <v>0</v>
      </c>
      <c r="M4379">
        <f t="shared" ref="M4379:M4442" si="277">IF(OR(I4379="Termo OK (Exceção)",I4379="Termo OK"),0,1)</f>
        <v>1</v>
      </c>
      <c r="N4379">
        <f t="shared" ref="N4379:N4442" si="278">IF(J4379="SIM",1,0)</f>
        <v>0</v>
      </c>
      <c r="O4379" t="str">
        <f t="shared" ref="O4379:O4442" si="279">IF(SUMIFS(M:M,A:A,A4379)&gt;0,"Proposta não Ok","Proposta Ok")</f>
        <v>Proposta Ok</v>
      </c>
    </row>
    <row r="4380" spans="12:15" x14ac:dyDescent="0.25">
      <c r="L4380">
        <f t="shared" si="276"/>
        <v>0</v>
      </c>
      <c r="M4380">
        <f t="shared" si="277"/>
        <v>1</v>
      </c>
      <c r="N4380">
        <f t="shared" si="278"/>
        <v>0</v>
      </c>
      <c r="O4380" t="str">
        <f t="shared" si="279"/>
        <v>Proposta Ok</v>
      </c>
    </row>
    <row r="4381" spans="12:15" x14ac:dyDescent="0.25">
      <c r="L4381">
        <f t="shared" si="276"/>
        <v>0</v>
      </c>
      <c r="M4381">
        <f t="shared" si="277"/>
        <v>1</v>
      </c>
      <c r="N4381">
        <f t="shared" si="278"/>
        <v>0</v>
      </c>
      <c r="O4381" t="str">
        <f t="shared" si="279"/>
        <v>Proposta Ok</v>
      </c>
    </row>
    <row r="4382" spans="12:15" x14ac:dyDescent="0.25">
      <c r="L4382">
        <f t="shared" si="276"/>
        <v>0</v>
      </c>
      <c r="M4382">
        <f t="shared" si="277"/>
        <v>1</v>
      </c>
      <c r="N4382">
        <f t="shared" si="278"/>
        <v>0</v>
      </c>
      <c r="O4382" t="str">
        <f t="shared" si="279"/>
        <v>Proposta Ok</v>
      </c>
    </row>
    <row r="4383" spans="12:15" x14ac:dyDescent="0.25">
      <c r="L4383">
        <f t="shared" si="276"/>
        <v>0</v>
      </c>
      <c r="M4383">
        <f t="shared" si="277"/>
        <v>1</v>
      </c>
      <c r="N4383">
        <f t="shared" si="278"/>
        <v>0</v>
      </c>
      <c r="O4383" t="str">
        <f t="shared" si="279"/>
        <v>Proposta Ok</v>
      </c>
    </row>
    <row r="4384" spans="12:15" x14ac:dyDescent="0.25">
      <c r="L4384">
        <f t="shared" si="276"/>
        <v>0</v>
      </c>
      <c r="M4384">
        <f t="shared" si="277"/>
        <v>1</v>
      </c>
      <c r="N4384">
        <f t="shared" si="278"/>
        <v>0</v>
      </c>
      <c r="O4384" t="str">
        <f t="shared" si="279"/>
        <v>Proposta Ok</v>
      </c>
    </row>
    <row r="4385" spans="12:15" x14ac:dyDescent="0.25">
      <c r="L4385">
        <f t="shared" si="276"/>
        <v>0</v>
      </c>
      <c r="M4385">
        <f t="shared" si="277"/>
        <v>1</v>
      </c>
      <c r="N4385">
        <f t="shared" si="278"/>
        <v>0</v>
      </c>
      <c r="O4385" t="str">
        <f t="shared" si="279"/>
        <v>Proposta Ok</v>
      </c>
    </row>
    <row r="4386" spans="12:15" x14ac:dyDescent="0.25">
      <c r="L4386">
        <f t="shared" si="276"/>
        <v>0</v>
      </c>
      <c r="M4386">
        <f t="shared" si="277"/>
        <v>1</v>
      </c>
      <c r="N4386">
        <f t="shared" si="278"/>
        <v>0</v>
      </c>
      <c r="O4386" t="str">
        <f t="shared" si="279"/>
        <v>Proposta Ok</v>
      </c>
    </row>
    <row r="4387" spans="12:15" x14ac:dyDescent="0.25">
      <c r="L4387">
        <f t="shared" si="276"/>
        <v>0</v>
      </c>
      <c r="M4387">
        <f t="shared" si="277"/>
        <v>1</v>
      </c>
      <c r="N4387">
        <f t="shared" si="278"/>
        <v>0</v>
      </c>
      <c r="O4387" t="str">
        <f t="shared" si="279"/>
        <v>Proposta Ok</v>
      </c>
    </row>
    <row r="4388" spans="12:15" x14ac:dyDescent="0.25">
      <c r="L4388">
        <f t="shared" si="276"/>
        <v>0</v>
      </c>
      <c r="M4388">
        <f t="shared" si="277"/>
        <v>1</v>
      </c>
      <c r="N4388">
        <f t="shared" si="278"/>
        <v>0</v>
      </c>
      <c r="O4388" t="str">
        <f t="shared" si="279"/>
        <v>Proposta Ok</v>
      </c>
    </row>
    <row r="4389" spans="12:15" x14ac:dyDescent="0.25">
      <c r="L4389">
        <f t="shared" si="276"/>
        <v>0</v>
      </c>
      <c r="M4389">
        <f t="shared" si="277"/>
        <v>1</v>
      </c>
      <c r="N4389">
        <f t="shared" si="278"/>
        <v>0</v>
      </c>
      <c r="O4389" t="str">
        <f t="shared" si="279"/>
        <v>Proposta Ok</v>
      </c>
    </row>
    <row r="4390" spans="12:15" x14ac:dyDescent="0.25">
      <c r="L4390">
        <f t="shared" si="276"/>
        <v>0</v>
      </c>
      <c r="M4390">
        <f t="shared" si="277"/>
        <v>1</v>
      </c>
      <c r="N4390">
        <f t="shared" si="278"/>
        <v>0</v>
      </c>
      <c r="O4390" t="str">
        <f t="shared" si="279"/>
        <v>Proposta Ok</v>
      </c>
    </row>
    <row r="4391" spans="12:15" x14ac:dyDescent="0.25">
      <c r="L4391">
        <f t="shared" si="276"/>
        <v>0</v>
      </c>
      <c r="M4391">
        <f t="shared" si="277"/>
        <v>1</v>
      </c>
      <c r="N4391">
        <f t="shared" si="278"/>
        <v>0</v>
      </c>
      <c r="O4391" t="str">
        <f t="shared" si="279"/>
        <v>Proposta Ok</v>
      </c>
    </row>
    <row r="4392" spans="12:15" x14ac:dyDescent="0.25">
      <c r="L4392">
        <f t="shared" si="276"/>
        <v>0</v>
      </c>
      <c r="M4392">
        <f t="shared" si="277"/>
        <v>1</v>
      </c>
      <c r="N4392">
        <f t="shared" si="278"/>
        <v>0</v>
      </c>
      <c r="O4392" t="str">
        <f t="shared" si="279"/>
        <v>Proposta Ok</v>
      </c>
    </row>
    <row r="4393" spans="12:15" x14ac:dyDescent="0.25">
      <c r="L4393">
        <f t="shared" si="276"/>
        <v>0</v>
      </c>
      <c r="M4393">
        <f t="shared" si="277"/>
        <v>1</v>
      </c>
      <c r="N4393">
        <f t="shared" si="278"/>
        <v>0</v>
      </c>
      <c r="O4393" t="str">
        <f t="shared" si="279"/>
        <v>Proposta Ok</v>
      </c>
    </row>
    <row r="4394" spans="12:15" x14ac:dyDescent="0.25">
      <c r="L4394">
        <f t="shared" si="276"/>
        <v>0</v>
      </c>
      <c r="M4394">
        <f t="shared" si="277"/>
        <v>1</v>
      </c>
      <c r="N4394">
        <f t="shared" si="278"/>
        <v>0</v>
      </c>
      <c r="O4394" t="str">
        <f t="shared" si="279"/>
        <v>Proposta Ok</v>
      </c>
    </row>
    <row r="4395" spans="12:15" x14ac:dyDescent="0.25">
      <c r="L4395">
        <f t="shared" si="276"/>
        <v>0</v>
      </c>
      <c r="M4395">
        <f t="shared" si="277"/>
        <v>1</v>
      </c>
      <c r="N4395">
        <f t="shared" si="278"/>
        <v>0</v>
      </c>
      <c r="O4395" t="str">
        <f t="shared" si="279"/>
        <v>Proposta Ok</v>
      </c>
    </row>
    <row r="4396" spans="12:15" x14ac:dyDescent="0.25">
      <c r="L4396">
        <f t="shared" si="276"/>
        <v>0</v>
      </c>
      <c r="M4396">
        <f t="shared" si="277"/>
        <v>1</v>
      </c>
      <c r="N4396">
        <f t="shared" si="278"/>
        <v>0</v>
      </c>
      <c r="O4396" t="str">
        <f t="shared" si="279"/>
        <v>Proposta Ok</v>
      </c>
    </row>
    <row r="4397" spans="12:15" x14ac:dyDescent="0.25">
      <c r="L4397">
        <f t="shared" si="276"/>
        <v>0</v>
      </c>
      <c r="M4397">
        <f t="shared" si="277"/>
        <v>1</v>
      </c>
      <c r="N4397">
        <f t="shared" si="278"/>
        <v>0</v>
      </c>
      <c r="O4397" t="str">
        <f t="shared" si="279"/>
        <v>Proposta Ok</v>
      </c>
    </row>
    <row r="4398" spans="12:15" x14ac:dyDescent="0.25">
      <c r="L4398">
        <f t="shared" si="276"/>
        <v>0</v>
      </c>
      <c r="M4398">
        <f t="shared" si="277"/>
        <v>1</v>
      </c>
      <c r="N4398">
        <f t="shared" si="278"/>
        <v>0</v>
      </c>
      <c r="O4398" t="str">
        <f t="shared" si="279"/>
        <v>Proposta Ok</v>
      </c>
    </row>
    <row r="4399" spans="12:15" x14ac:dyDescent="0.25">
      <c r="L4399">
        <f t="shared" si="276"/>
        <v>0</v>
      </c>
      <c r="M4399">
        <f t="shared" si="277"/>
        <v>1</v>
      </c>
      <c r="N4399">
        <f t="shared" si="278"/>
        <v>0</v>
      </c>
      <c r="O4399" t="str">
        <f t="shared" si="279"/>
        <v>Proposta Ok</v>
      </c>
    </row>
    <row r="4400" spans="12:15" x14ac:dyDescent="0.25">
      <c r="L4400">
        <f t="shared" si="276"/>
        <v>0</v>
      </c>
      <c r="M4400">
        <f t="shared" si="277"/>
        <v>1</v>
      </c>
      <c r="N4400">
        <f t="shared" si="278"/>
        <v>0</v>
      </c>
      <c r="O4400" t="str">
        <f t="shared" si="279"/>
        <v>Proposta Ok</v>
      </c>
    </row>
    <row r="4401" spans="12:15" x14ac:dyDescent="0.25">
      <c r="L4401">
        <f t="shared" si="276"/>
        <v>0</v>
      </c>
      <c r="M4401">
        <f t="shared" si="277"/>
        <v>1</v>
      </c>
      <c r="N4401">
        <f t="shared" si="278"/>
        <v>0</v>
      </c>
      <c r="O4401" t="str">
        <f t="shared" si="279"/>
        <v>Proposta Ok</v>
      </c>
    </row>
    <row r="4402" spans="12:15" x14ac:dyDescent="0.25">
      <c r="L4402">
        <f t="shared" si="276"/>
        <v>0</v>
      </c>
      <c r="M4402">
        <f t="shared" si="277"/>
        <v>1</v>
      </c>
      <c r="N4402">
        <f t="shared" si="278"/>
        <v>0</v>
      </c>
      <c r="O4402" t="str">
        <f t="shared" si="279"/>
        <v>Proposta Ok</v>
      </c>
    </row>
    <row r="4403" spans="12:15" x14ac:dyDescent="0.25">
      <c r="L4403">
        <f t="shared" si="276"/>
        <v>0</v>
      </c>
      <c r="M4403">
        <f t="shared" si="277"/>
        <v>1</v>
      </c>
      <c r="N4403">
        <f t="shared" si="278"/>
        <v>0</v>
      </c>
      <c r="O4403" t="str">
        <f t="shared" si="279"/>
        <v>Proposta Ok</v>
      </c>
    </row>
    <row r="4404" spans="12:15" x14ac:dyDescent="0.25">
      <c r="L4404">
        <f t="shared" si="276"/>
        <v>0</v>
      </c>
      <c r="M4404">
        <f t="shared" si="277"/>
        <v>1</v>
      </c>
      <c r="N4404">
        <f t="shared" si="278"/>
        <v>0</v>
      </c>
      <c r="O4404" t="str">
        <f t="shared" si="279"/>
        <v>Proposta Ok</v>
      </c>
    </row>
    <row r="4405" spans="12:15" x14ac:dyDescent="0.25">
      <c r="L4405">
        <f t="shared" si="276"/>
        <v>0</v>
      </c>
      <c r="M4405">
        <f t="shared" si="277"/>
        <v>1</v>
      </c>
      <c r="N4405">
        <f t="shared" si="278"/>
        <v>0</v>
      </c>
      <c r="O4405" t="str">
        <f t="shared" si="279"/>
        <v>Proposta Ok</v>
      </c>
    </row>
    <row r="4406" spans="12:15" x14ac:dyDescent="0.25">
      <c r="L4406">
        <f t="shared" si="276"/>
        <v>0</v>
      </c>
      <c r="M4406">
        <f t="shared" si="277"/>
        <v>1</v>
      </c>
      <c r="N4406">
        <f t="shared" si="278"/>
        <v>0</v>
      </c>
      <c r="O4406" t="str">
        <f t="shared" si="279"/>
        <v>Proposta Ok</v>
      </c>
    </row>
    <row r="4407" spans="12:15" x14ac:dyDescent="0.25">
      <c r="L4407">
        <f t="shared" si="276"/>
        <v>0</v>
      </c>
      <c r="M4407">
        <f t="shared" si="277"/>
        <v>1</v>
      </c>
      <c r="N4407">
        <f t="shared" si="278"/>
        <v>0</v>
      </c>
      <c r="O4407" t="str">
        <f t="shared" si="279"/>
        <v>Proposta Ok</v>
      </c>
    </row>
    <row r="4408" spans="12:15" x14ac:dyDescent="0.25">
      <c r="L4408">
        <f t="shared" si="276"/>
        <v>0</v>
      </c>
      <c r="M4408">
        <f t="shared" si="277"/>
        <v>1</v>
      </c>
      <c r="N4408">
        <f t="shared" si="278"/>
        <v>0</v>
      </c>
      <c r="O4408" t="str">
        <f t="shared" si="279"/>
        <v>Proposta Ok</v>
      </c>
    </row>
    <row r="4409" spans="12:15" x14ac:dyDescent="0.25">
      <c r="L4409">
        <f t="shared" si="276"/>
        <v>0</v>
      </c>
      <c r="M4409">
        <f t="shared" si="277"/>
        <v>1</v>
      </c>
      <c r="N4409">
        <f t="shared" si="278"/>
        <v>0</v>
      </c>
      <c r="O4409" t="str">
        <f t="shared" si="279"/>
        <v>Proposta Ok</v>
      </c>
    </row>
    <row r="4410" spans="12:15" x14ac:dyDescent="0.25">
      <c r="L4410">
        <f t="shared" si="276"/>
        <v>0</v>
      </c>
      <c r="M4410">
        <f t="shared" si="277"/>
        <v>1</v>
      </c>
      <c r="N4410">
        <f t="shared" si="278"/>
        <v>0</v>
      </c>
      <c r="O4410" t="str">
        <f t="shared" si="279"/>
        <v>Proposta Ok</v>
      </c>
    </row>
    <row r="4411" spans="12:15" x14ac:dyDescent="0.25">
      <c r="L4411">
        <f t="shared" si="276"/>
        <v>0</v>
      </c>
      <c r="M4411">
        <f t="shared" si="277"/>
        <v>1</v>
      </c>
      <c r="N4411">
        <f t="shared" si="278"/>
        <v>0</v>
      </c>
      <c r="O4411" t="str">
        <f t="shared" si="279"/>
        <v>Proposta Ok</v>
      </c>
    </row>
    <row r="4412" spans="12:15" x14ac:dyDescent="0.25">
      <c r="L4412">
        <f t="shared" si="276"/>
        <v>0</v>
      </c>
      <c r="M4412">
        <f t="shared" si="277"/>
        <v>1</v>
      </c>
      <c r="N4412">
        <f t="shared" si="278"/>
        <v>0</v>
      </c>
      <c r="O4412" t="str">
        <f t="shared" si="279"/>
        <v>Proposta Ok</v>
      </c>
    </row>
    <row r="4413" spans="12:15" x14ac:dyDescent="0.25">
      <c r="L4413">
        <f t="shared" si="276"/>
        <v>0</v>
      </c>
      <c r="M4413">
        <f t="shared" si="277"/>
        <v>1</v>
      </c>
      <c r="N4413">
        <f t="shared" si="278"/>
        <v>0</v>
      </c>
      <c r="O4413" t="str">
        <f t="shared" si="279"/>
        <v>Proposta Ok</v>
      </c>
    </row>
    <row r="4414" spans="12:15" x14ac:dyDescent="0.25">
      <c r="L4414">
        <f t="shared" si="276"/>
        <v>0</v>
      </c>
      <c r="M4414">
        <f t="shared" si="277"/>
        <v>1</v>
      </c>
      <c r="N4414">
        <f t="shared" si="278"/>
        <v>0</v>
      </c>
      <c r="O4414" t="str">
        <f t="shared" si="279"/>
        <v>Proposta Ok</v>
      </c>
    </row>
    <row r="4415" spans="12:15" x14ac:dyDescent="0.25">
      <c r="L4415">
        <f t="shared" si="276"/>
        <v>0</v>
      </c>
      <c r="M4415">
        <f t="shared" si="277"/>
        <v>1</v>
      </c>
      <c r="N4415">
        <f t="shared" si="278"/>
        <v>0</v>
      </c>
      <c r="O4415" t="str">
        <f t="shared" si="279"/>
        <v>Proposta Ok</v>
      </c>
    </row>
    <row r="4416" spans="12:15" x14ac:dyDescent="0.25">
      <c r="L4416">
        <f t="shared" si="276"/>
        <v>0</v>
      </c>
      <c r="M4416">
        <f t="shared" si="277"/>
        <v>1</v>
      </c>
      <c r="N4416">
        <f t="shared" si="278"/>
        <v>0</v>
      </c>
      <c r="O4416" t="str">
        <f t="shared" si="279"/>
        <v>Proposta Ok</v>
      </c>
    </row>
    <row r="4417" spans="12:15" x14ac:dyDescent="0.25">
      <c r="L4417">
        <f t="shared" si="276"/>
        <v>0</v>
      </c>
      <c r="M4417">
        <f t="shared" si="277"/>
        <v>1</v>
      </c>
      <c r="N4417">
        <f t="shared" si="278"/>
        <v>0</v>
      </c>
      <c r="O4417" t="str">
        <f t="shared" si="279"/>
        <v>Proposta Ok</v>
      </c>
    </row>
    <row r="4418" spans="12:15" x14ac:dyDescent="0.25">
      <c r="L4418">
        <f t="shared" si="276"/>
        <v>0</v>
      </c>
      <c r="M4418">
        <f t="shared" si="277"/>
        <v>1</v>
      </c>
      <c r="N4418">
        <f t="shared" si="278"/>
        <v>0</v>
      </c>
      <c r="O4418" t="str">
        <f t="shared" si="279"/>
        <v>Proposta Ok</v>
      </c>
    </row>
    <row r="4419" spans="12:15" x14ac:dyDescent="0.25">
      <c r="L4419">
        <f t="shared" si="276"/>
        <v>0</v>
      </c>
      <c r="M4419">
        <f t="shared" si="277"/>
        <v>1</v>
      </c>
      <c r="N4419">
        <f t="shared" si="278"/>
        <v>0</v>
      </c>
      <c r="O4419" t="str">
        <f t="shared" si="279"/>
        <v>Proposta Ok</v>
      </c>
    </row>
    <row r="4420" spans="12:15" x14ac:dyDescent="0.25">
      <c r="L4420">
        <f t="shared" si="276"/>
        <v>0</v>
      </c>
      <c r="M4420">
        <f t="shared" si="277"/>
        <v>1</v>
      </c>
      <c r="N4420">
        <f t="shared" si="278"/>
        <v>0</v>
      </c>
      <c r="O4420" t="str">
        <f t="shared" si="279"/>
        <v>Proposta Ok</v>
      </c>
    </row>
    <row r="4421" spans="12:15" x14ac:dyDescent="0.25">
      <c r="L4421">
        <f t="shared" si="276"/>
        <v>0</v>
      </c>
      <c r="M4421">
        <f t="shared" si="277"/>
        <v>1</v>
      </c>
      <c r="N4421">
        <f t="shared" si="278"/>
        <v>0</v>
      </c>
      <c r="O4421" t="str">
        <f t="shared" si="279"/>
        <v>Proposta Ok</v>
      </c>
    </row>
    <row r="4422" spans="12:15" x14ac:dyDescent="0.25">
      <c r="L4422">
        <f t="shared" si="276"/>
        <v>0</v>
      </c>
      <c r="M4422">
        <f t="shared" si="277"/>
        <v>1</v>
      </c>
      <c r="N4422">
        <f t="shared" si="278"/>
        <v>0</v>
      </c>
      <c r="O4422" t="str">
        <f t="shared" si="279"/>
        <v>Proposta Ok</v>
      </c>
    </row>
    <row r="4423" spans="12:15" x14ac:dyDescent="0.25">
      <c r="L4423">
        <f t="shared" si="276"/>
        <v>0</v>
      </c>
      <c r="M4423">
        <f t="shared" si="277"/>
        <v>1</v>
      </c>
      <c r="N4423">
        <f t="shared" si="278"/>
        <v>0</v>
      </c>
      <c r="O4423" t="str">
        <f t="shared" si="279"/>
        <v>Proposta Ok</v>
      </c>
    </row>
    <row r="4424" spans="12:15" x14ac:dyDescent="0.25">
      <c r="L4424">
        <f t="shared" si="276"/>
        <v>0</v>
      </c>
      <c r="M4424">
        <f t="shared" si="277"/>
        <v>1</v>
      </c>
      <c r="N4424">
        <f t="shared" si="278"/>
        <v>0</v>
      </c>
      <c r="O4424" t="str">
        <f t="shared" si="279"/>
        <v>Proposta Ok</v>
      </c>
    </row>
    <row r="4425" spans="12:15" x14ac:dyDescent="0.25">
      <c r="L4425">
        <f t="shared" si="276"/>
        <v>0</v>
      </c>
      <c r="M4425">
        <f t="shared" si="277"/>
        <v>1</v>
      </c>
      <c r="N4425">
        <f t="shared" si="278"/>
        <v>0</v>
      </c>
      <c r="O4425" t="str">
        <f t="shared" si="279"/>
        <v>Proposta Ok</v>
      </c>
    </row>
    <row r="4426" spans="12:15" x14ac:dyDescent="0.25">
      <c r="L4426">
        <f t="shared" si="276"/>
        <v>0</v>
      </c>
      <c r="M4426">
        <f t="shared" si="277"/>
        <v>1</v>
      </c>
      <c r="N4426">
        <f t="shared" si="278"/>
        <v>0</v>
      </c>
      <c r="O4426" t="str">
        <f t="shared" si="279"/>
        <v>Proposta Ok</v>
      </c>
    </row>
    <row r="4427" spans="12:15" x14ac:dyDescent="0.25">
      <c r="L4427">
        <f t="shared" si="276"/>
        <v>0</v>
      </c>
      <c r="M4427">
        <f t="shared" si="277"/>
        <v>1</v>
      </c>
      <c r="N4427">
        <f t="shared" si="278"/>
        <v>0</v>
      </c>
      <c r="O4427" t="str">
        <f t="shared" si="279"/>
        <v>Proposta Ok</v>
      </c>
    </row>
    <row r="4428" spans="12:15" x14ac:dyDescent="0.25">
      <c r="L4428">
        <f t="shared" si="276"/>
        <v>0</v>
      </c>
      <c r="M4428">
        <f t="shared" si="277"/>
        <v>1</v>
      </c>
      <c r="N4428">
        <f t="shared" si="278"/>
        <v>0</v>
      </c>
      <c r="O4428" t="str">
        <f t="shared" si="279"/>
        <v>Proposta Ok</v>
      </c>
    </row>
    <row r="4429" spans="12:15" x14ac:dyDescent="0.25">
      <c r="L4429">
        <f t="shared" si="276"/>
        <v>0</v>
      </c>
      <c r="M4429">
        <f t="shared" si="277"/>
        <v>1</v>
      </c>
      <c r="N4429">
        <f t="shared" si="278"/>
        <v>0</v>
      </c>
      <c r="O4429" t="str">
        <f t="shared" si="279"/>
        <v>Proposta Ok</v>
      </c>
    </row>
    <row r="4430" spans="12:15" x14ac:dyDescent="0.25">
      <c r="L4430">
        <f t="shared" si="276"/>
        <v>0</v>
      </c>
      <c r="M4430">
        <f t="shared" si="277"/>
        <v>1</v>
      </c>
      <c r="N4430">
        <f t="shared" si="278"/>
        <v>0</v>
      </c>
      <c r="O4430" t="str">
        <f t="shared" si="279"/>
        <v>Proposta Ok</v>
      </c>
    </row>
    <row r="4431" spans="12:15" x14ac:dyDescent="0.25">
      <c r="L4431">
        <f t="shared" si="276"/>
        <v>0</v>
      </c>
      <c r="M4431">
        <f t="shared" si="277"/>
        <v>1</v>
      </c>
      <c r="N4431">
        <f t="shared" si="278"/>
        <v>0</v>
      </c>
      <c r="O4431" t="str">
        <f t="shared" si="279"/>
        <v>Proposta Ok</v>
      </c>
    </row>
    <row r="4432" spans="12:15" x14ac:dyDescent="0.25">
      <c r="L4432">
        <f t="shared" si="276"/>
        <v>0</v>
      </c>
      <c r="M4432">
        <f t="shared" si="277"/>
        <v>1</v>
      </c>
      <c r="N4432">
        <f t="shared" si="278"/>
        <v>0</v>
      </c>
      <c r="O4432" t="str">
        <f t="shared" si="279"/>
        <v>Proposta Ok</v>
      </c>
    </row>
    <row r="4433" spans="12:15" x14ac:dyDescent="0.25">
      <c r="L4433">
        <f t="shared" si="276"/>
        <v>0</v>
      </c>
      <c r="M4433">
        <f t="shared" si="277"/>
        <v>1</v>
      </c>
      <c r="N4433">
        <f t="shared" si="278"/>
        <v>0</v>
      </c>
      <c r="O4433" t="str">
        <f t="shared" si="279"/>
        <v>Proposta Ok</v>
      </c>
    </row>
    <row r="4434" spans="12:15" x14ac:dyDescent="0.25">
      <c r="L4434">
        <f t="shared" si="276"/>
        <v>0</v>
      </c>
      <c r="M4434">
        <f t="shared" si="277"/>
        <v>1</v>
      </c>
      <c r="N4434">
        <f t="shared" si="278"/>
        <v>0</v>
      </c>
      <c r="O4434" t="str">
        <f t="shared" si="279"/>
        <v>Proposta Ok</v>
      </c>
    </row>
    <row r="4435" spans="12:15" x14ac:dyDescent="0.25">
      <c r="L4435">
        <f t="shared" si="276"/>
        <v>0</v>
      </c>
      <c r="M4435">
        <f t="shared" si="277"/>
        <v>1</v>
      </c>
      <c r="N4435">
        <f t="shared" si="278"/>
        <v>0</v>
      </c>
      <c r="O4435" t="str">
        <f t="shared" si="279"/>
        <v>Proposta Ok</v>
      </c>
    </row>
    <row r="4436" spans="12:15" x14ac:dyDescent="0.25">
      <c r="L4436">
        <f t="shared" si="276"/>
        <v>0</v>
      </c>
      <c r="M4436">
        <f t="shared" si="277"/>
        <v>1</v>
      </c>
      <c r="N4436">
        <f t="shared" si="278"/>
        <v>0</v>
      </c>
      <c r="O4436" t="str">
        <f t="shared" si="279"/>
        <v>Proposta Ok</v>
      </c>
    </row>
    <row r="4437" spans="12:15" x14ac:dyDescent="0.25">
      <c r="L4437">
        <f t="shared" si="276"/>
        <v>0</v>
      </c>
      <c r="M4437">
        <f t="shared" si="277"/>
        <v>1</v>
      </c>
      <c r="N4437">
        <f t="shared" si="278"/>
        <v>0</v>
      </c>
      <c r="O4437" t="str">
        <f t="shared" si="279"/>
        <v>Proposta Ok</v>
      </c>
    </row>
    <row r="4438" spans="12:15" x14ac:dyDescent="0.25">
      <c r="L4438">
        <f t="shared" si="276"/>
        <v>0</v>
      </c>
      <c r="M4438">
        <f t="shared" si="277"/>
        <v>1</v>
      </c>
      <c r="N4438">
        <f t="shared" si="278"/>
        <v>0</v>
      </c>
      <c r="O4438" t="str">
        <f t="shared" si="279"/>
        <v>Proposta Ok</v>
      </c>
    </row>
    <row r="4439" spans="12:15" x14ac:dyDescent="0.25">
      <c r="L4439">
        <f t="shared" si="276"/>
        <v>0</v>
      </c>
      <c r="M4439">
        <f t="shared" si="277"/>
        <v>1</v>
      </c>
      <c r="N4439">
        <f t="shared" si="278"/>
        <v>0</v>
      </c>
      <c r="O4439" t="str">
        <f t="shared" si="279"/>
        <v>Proposta Ok</v>
      </c>
    </row>
    <row r="4440" spans="12:15" x14ac:dyDescent="0.25">
      <c r="L4440">
        <f t="shared" si="276"/>
        <v>0</v>
      </c>
      <c r="M4440">
        <f t="shared" si="277"/>
        <v>1</v>
      </c>
      <c r="N4440">
        <f t="shared" si="278"/>
        <v>0</v>
      </c>
      <c r="O4440" t="str">
        <f t="shared" si="279"/>
        <v>Proposta Ok</v>
      </c>
    </row>
    <row r="4441" spans="12:15" x14ac:dyDescent="0.25">
      <c r="L4441">
        <f t="shared" si="276"/>
        <v>0</v>
      </c>
      <c r="M4441">
        <f t="shared" si="277"/>
        <v>1</v>
      </c>
      <c r="N4441">
        <f t="shared" si="278"/>
        <v>0</v>
      </c>
      <c r="O4441" t="str">
        <f t="shared" si="279"/>
        <v>Proposta Ok</v>
      </c>
    </row>
    <row r="4442" spans="12:15" x14ac:dyDescent="0.25">
      <c r="L4442">
        <f t="shared" si="276"/>
        <v>0</v>
      </c>
      <c r="M4442">
        <f t="shared" si="277"/>
        <v>1</v>
      </c>
      <c r="N4442">
        <f t="shared" si="278"/>
        <v>0</v>
      </c>
      <c r="O4442" t="str">
        <f t="shared" si="279"/>
        <v>Proposta Ok</v>
      </c>
    </row>
    <row r="4443" spans="12:15" x14ac:dyDescent="0.25">
      <c r="L4443">
        <f t="shared" ref="L4443:L4506" si="280">IF(OR(I4443="Termo OK (Exceção)",I4443="Termo OK"),1,0)</f>
        <v>0</v>
      </c>
      <c r="M4443">
        <f t="shared" ref="M4443:M4506" si="281">IF(OR(I4443="Termo OK (Exceção)",I4443="Termo OK"),0,1)</f>
        <v>1</v>
      </c>
      <c r="N4443">
        <f t="shared" ref="N4443:N4506" si="282">IF(J4443="SIM",1,0)</f>
        <v>0</v>
      </c>
      <c r="O4443" t="str">
        <f t="shared" ref="O4443:O4506" si="283">IF(SUMIFS(M:M,A:A,A4443)&gt;0,"Proposta não Ok","Proposta Ok")</f>
        <v>Proposta Ok</v>
      </c>
    </row>
    <row r="4444" spans="12:15" x14ac:dyDescent="0.25">
      <c r="L4444">
        <f t="shared" si="280"/>
        <v>0</v>
      </c>
      <c r="M4444">
        <f t="shared" si="281"/>
        <v>1</v>
      </c>
      <c r="N4444">
        <f t="shared" si="282"/>
        <v>0</v>
      </c>
      <c r="O4444" t="str">
        <f t="shared" si="283"/>
        <v>Proposta Ok</v>
      </c>
    </row>
    <row r="4445" spans="12:15" x14ac:dyDescent="0.25">
      <c r="L4445">
        <f t="shared" si="280"/>
        <v>0</v>
      </c>
      <c r="M4445">
        <f t="shared" si="281"/>
        <v>1</v>
      </c>
      <c r="N4445">
        <f t="shared" si="282"/>
        <v>0</v>
      </c>
      <c r="O4445" t="str">
        <f t="shared" si="283"/>
        <v>Proposta Ok</v>
      </c>
    </row>
    <row r="4446" spans="12:15" x14ac:dyDescent="0.25">
      <c r="L4446">
        <f t="shared" si="280"/>
        <v>0</v>
      </c>
      <c r="M4446">
        <f t="shared" si="281"/>
        <v>1</v>
      </c>
      <c r="N4446">
        <f t="shared" si="282"/>
        <v>0</v>
      </c>
      <c r="O4446" t="str">
        <f t="shared" si="283"/>
        <v>Proposta Ok</v>
      </c>
    </row>
    <row r="4447" spans="12:15" x14ac:dyDescent="0.25">
      <c r="L4447">
        <f t="shared" si="280"/>
        <v>0</v>
      </c>
      <c r="M4447">
        <f t="shared" si="281"/>
        <v>1</v>
      </c>
      <c r="N4447">
        <f t="shared" si="282"/>
        <v>0</v>
      </c>
      <c r="O4447" t="str">
        <f t="shared" si="283"/>
        <v>Proposta Ok</v>
      </c>
    </row>
    <row r="4448" spans="12:15" x14ac:dyDescent="0.25">
      <c r="L4448">
        <f t="shared" si="280"/>
        <v>0</v>
      </c>
      <c r="M4448">
        <f t="shared" si="281"/>
        <v>1</v>
      </c>
      <c r="N4448">
        <f t="shared" si="282"/>
        <v>0</v>
      </c>
      <c r="O4448" t="str">
        <f t="shared" si="283"/>
        <v>Proposta Ok</v>
      </c>
    </row>
    <row r="4449" spans="12:15" x14ac:dyDescent="0.25">
      <c r="L4449">
        <f t="shared" si="280"/>
        <v>0</v>
      </c>
      <c r="M4449">
        <f t="shared" si="281"/>
        <v>1</v>
      </c>
      <c r="N4449">
        <f t="shared" si="282"/>
        <v>0</v>
      </c>
      <c r="O4449" t="str">
        <f t="shared" si="283"/>
        <v>Proposta Ok</v>
      </c>
    </row>
    <row r="4450" spans="12:15" x14ac:dyDescent="0.25">
      <c r="L4450">
        <f t="shared" si="280"/>
        <v>0</v>
      </c>
      <c r="M4450">
        <f t="shared" si="281"/>
        <v>1</v>
      </c>
      <c r="N4450">
        <f t="shared" si="282"/>
        <v>0</v>
      </c>
      <c r="O4450" t="str">
        <f t="shared" si="283"/>
        <v>Proposta Ok</v>
      </c>
    </row>
    <row r="4451" spans="12:15" x14ac:dyDescent="0.25">
      <c r="L4451">
        <f t="shared" si="280"/>
        <v>0</v>
      </c>
      <c r="M4451">
        <f t="shared" si="281"/>
        <v>1</v>
      </c>
      <c r="N4451">
        <f t="shared" si="282"/>
        <v>0</v>
      </c>
      <c r="O4451" t="str">
        <f t="shared" si="283"/>
        <v>Proposta Ok</v>
      </c>
    </row>
    <row r="4452" spans="12:15" x14ac:dyDescent="0.25">
      <c r="L4452">
        <f t="shared" si="280"/>
        <v>0</v>
      </c>
      <c r="M4452">
        <f t="shared" si="281"/>
        <v>1</v>
      </c>
      <c r="N4452">
        <f t="shared" si="282"/>
        <v>0</v>
      </c>
      <c r="O4452" t="str">
        <f t="shared" si="283"/>
        <v>Proposta Ok</v>
      </c>
    </row>
    <row r="4453" spans="12:15" x14ac:dyDescent="0.25">
      <c r="L4453">
        <f t="shared" si="280"/>
        <v>0</v>
      </c>
      <c r="M4453">
        <f t="shared" si="281"/>
        <v>1</v>
      </c>
      <c r="N4453">
        <f t="shared" si="282"/>
        <v>0</v>
      </c>
      <c r="O4453" t="str">
        <f t="shared" si="283"/>
        <v>Proposta Ok</v>
      </c>
    </row>
    <row r="4454" spans="12:15" x14ac:dyDescent="0.25">
      <c r="L4454">
        <f t="shared" si="280"/>
        <v>0</v>
      </c>
      <c r="M4454">
        <f t="shared" si="281"/>
        <v>1</v>
      </c>
      <c r="N4454">
        <f t="shared" si="282"/>
        <v>0</v>
      </c>
      <c r="O4454" t="str">
        <f t="shared" si="283"/>
        <v>Proposta Ok</v>
      </c>
    </row>
    <row r="4455" spans="12:15" x14ac:dyDescent="0.25">
      <c r="L4455">
        <f t="shared" si="280"/>
        <v>0</v>
      </c>
      <c r="M4455">
        <f t="shared" si="281"/>
        <v>1</v>
      </c>
      <c r="N4455">
        <f t="shared" si="282"/>
        <v>0</v>
      </c>
      <c r="O4455" t="str">
        <f t="shared" si="283"/>
        <v>Proposta Ok</v>
      </c>
    </row>
    <row r="4456" spans="12:15" x14ac:dyDescent="0.25">
      <c r="L4456">
        <f t="shared" si="280"/>
        <v>0</v>
      </c>
      <c r="M4456">
        <f t="shared" si="281"/>
        <v>1</v>
      </c>
      <c r="N4456">
        <f t="shared" si="282"/>
        <v>0</v>
      </c>
      <c r="O4456" t="str">
        <f t="shared" si="283"/>
        <v>Proposta Ok</v>
      </c>
    </row>
    <row r="4457" spans="12:15" x14ac:dyDescent="0.25">
      <c r="L4457">
        <f t="shared" si="280"/>
        <v>0</v>
      </c>
      <c r="M4457">
        <f t="shared" si="281"/>
        <v>1</v>
      </c>
      <c r="N4457">
        <f t="shared" si="282"/>
        <v>0</v>
      </c>
      <c r="O4457" t="str">
        <f t="shared" si="283"/>
        <v>Proposta Ok</v>
      </c>
    </row>
    <row r="4458" spans="12:15" x14ac:dyDescent="0.25">
      <c r="L4458">
        <f t="shared" si="280"/>
        <v>0</v>
      </c>
      <c r="M4458">
        <f t="shared" si="281"/>
        <v>1</v>
      </c>
      <c r="N4458">
        <f t="shared" si="282"/>
        <v>0</v>
      </c>
      <c r="O4458" t="str">
        <f t="shared" si="283"/>
        <v>Proposta Ok</v>
      </c>
    </row>
    <row r="4459" spans="12:15" x14ac:dyDescent="0.25">
      <c r="L4459">
        <f t="shared" si="280"/>
        <v>0</v>
      </c>
      <c r="M4459">
        <f t="shared" si="281"/>
        <v>1</v>
      </c>
      <c r="N4459">
        <f t="shared" si="282"/>
        <v>0</v>
      </c>
      <c r="O4459" t="str">
        <f t="shared" si="283"/>
        <v>Proposta Ok</v>
      </c>
    </row>
    <row r="4460" spans="12:15" x14ac:dyDescent="0.25">
      <c r="L4460">
        <f t="shared" si="280"/>
        <v>0</v>
      </c>
      <c r="M4460">
        <f t="shared" si="281"/>
        <v>1</v>
      </c>
      <c r="N4460">
        <f t="shared" si="282"/>
        <v>0</v>
      </c>
      <c r="O4460" t="str">
        <f t="shared" si="283"/>
        <v>Proposta Ok</v>
      </c>
    </row>
    <row r="4461" spans="12:15" x14ac:dyDescent="0.25">
      <c r="L4461">
        <f t="shared" si="280"/>
        <v>0</v>
      </c>
      <c r="M4461">
        <f t="shared" si="281"/>
        <v>1</v>
      </c>
      <c r="N4461">
        <f t="shared" si="282"/>
        <v>0</v>
      </c>
      <c r="O4461" t="str">
        <f t="shared" si="283"/>
        <v>Proposta Ok</v>
      </c>
    </row>
    <row r="4462" spans="12:15" x14ac:dyDescent="0.25">
      <c r="L4462">
        <f t="shared" si="280"/>
        <v>0</v>
      </c>
      <c r="M4462">
        <f t="shared" si="281"/>
        <v>1</v>
      </c>
      <c r="N4462">
        <f t="shared" si="282"/>
        <v>0</v>
      </c>
      <c r="O4462" t="str">
        <f t="shared" si="283"/>
        <v>Proposta Ok</v>
      </c>
    </row>
    <row r="4463" spans="12:15" x14ac:dyDescent="0.25">
      <c r="L4463">
        <f t="shared" si="280"/>
        <v>0</v>
      </c>
      <c r="M4463">
        <f t="shared" si="281"/>
        <v>1</v>
      </c>
      <c r="N4463">
        <f t="shared" si="282"/>
        <v>0</v>
      </c>
      <c r="O4463" t="str">
        <f t="shared" si="283"/>
        <v>Proposta Ok</v>
      </c>
    </row>
    <row r="4464" spans="12:15" x14ac:dyDescent="0.25">
      <c r="L4464">
        <f t="shared" si="280"/>
        <v>0</v>
      </c>
      <c r="M4464">
        <f t="shared" si="281"/>
        <v>1</v>
      </c>
      <c r="N4464">
        <f t="shared" si="282"/>
        <v>0</v>
      </c>
      <c r="O4464" t="str">
        <f t="shared" si="283"/>
        <v>Proposta Ok</v>
      </c>
    </row>
    <row r="4465" spans="12:15" x14ac:dyDescent="0.25">
      <c r="L4465">
        <f t="shared" si="280"/>
        <v>0</v>
      </c>
      <c r="M4465">
        <f t="shared" si="281"/>
        <v>1</v>
      </c>
      <c r="N4465">
        <f t="shared" si="282"/>
        <v>0</v>
      </c>
      <c r="O4465" t="str">
        <f t="shared" si="283"/>
        <v>Proposta Ok</v>
      </c>
    </row>
    <row r="4466" spans="12:15" x14ac:dyDescent="0.25">
      <c r="L4466">
        <f t="shared" si="280"/>
        <v>0</v>
      </c>
      <c r="M4466">
        <f t="shared" si="281"/>
        <v>1</v>
      </c>
      <c r="N4466">
        <f t="shared" si="282"/>
        <v>0</v>
      </c>
      <c r="O4466" t="str">
        <f t="shared" si="283"/>
        <v>Proposta Ok</v>
      </c>
    </row>
    <row r="4467" spans="12:15" x14ac:dyDescent="0.25">
      <c r="L4467">
        <f t="shared" si="280"/>
        <v>0</v>
      </c>
      <c r="M4467">
        <f t="shared" si="281"/>
        <v>1</v>
      </c>
      <c r="N4467">
        <f t="shared" si="282"/>
        <v>0</v>
      </c>
      <c r="O4467" t="str">
        <f t="shared" si="283"/>
        <v>Proposta Ok</v>
      </c>
    </row>
    <row r="4468" spans="12:15" x14ac:dyDescent="0.25">
      <c r="L4468">
        <f t="shared" si="280"/>
        <v>0</v>
      </c>
      <c r="M4468">
        <f t="shared" si="281"/>
        <v>1</v>
      </c>
      <c r="N4468">
        <f t="shared" si="282"/>
        <v>0</v>
      </c>
      <c r="O4468" t="str">
        <f t="shared" si="283"/>
        <v>Proposta Ok</v>
      </c>
    </row>
    <row r="4469" spans="12:15" x14ac:dyDescent="0.25">
      <c r="L4469">
        <f t="shared" si="280"/>
        <v>0</v>
      </c>
      <c r="M4469">
        <f t="shared" si="281"/>
        <v>1</v>
      </c>
      <c r="N4469">
        <f t="shared" si="282"/>
        <v>0</v>
      </c>
      <c r="O4469" t="str">
        <f t="shared" si="283"/>
        <v>Proposta Ok</v>
      </c>
    </row>
    <row r="4470" spans="12:15" x14ac:dyDescent="0.25">
      <c r="L4470">
        <f t="shared" si="280"/>
        <v>0</v>
      </c>
      <c r="M4470">
        <f t="shared" si="281"/>
        <v>1</v>
      </c>
      <c r="N4470">
        <f t="shared" si="282"/>
        <v>0</v>
      </c>
      <c r="O4470" t="str">
        <f t="shared" si="283"/>
        <v>Proposta Ok</v>
      </c>
    </row>
    <row r="4471" spans="12:15" x14ac:dyDescent="0.25">
      <c r="L4471">
        <f t="shared" si="280"/>
        <v>0</v>
      </c>
      <c r="M4471">
        <f t="shared" si="281"/>
        <v>1</v>
      </c>
      <c r="N4471">
        <f t="shared" si="282"/>
        <v>0</v>
      </c>
      <c r="O4471" t="str">
        <f t="shared" si="283"/>
        <v>Proposta Ok</v>
      </c>
    </row>
    <row r="4472" spans="12:15" x14ac:dyDescent="0.25">
      <c r="L4472">
        <f t="shared" si="280"/>
        <v>0</v>
      </c>
      <c r="M4472">
        <f t="shared" si="281"/>
        <v>1</v>
      </c>
      <c r="N4472">
        <f t="shared" si="282"/>
        <v>0</v>
      </c>
      <c r="O4472" t="str">
        <f t="shared" si="283"/>
        <v>Proposta Ok</v>
      </c>
    </row>
    <row r="4473" spans="12:15" x14ac:dyDescent="0.25">
      <c r="L4473">
        <f t="shared" si="280"/>
        <v>0</v>
      </c>
      <c r="M4473">
        <f t="shared" si="281"/>
        <v>1</v>
      </c>
      <c r="N4473">
        <f t="shared" si="282"/>
        <v>0</v>
      </c>
      <c r="O4473" t="str">
        <f t="shared" si="283"/>
        <v>Proposta Ok</v>
      </c>
    </row>
    <row r="4474" spans="12:15" x14ac:dyDescent="0.25">
      <c r="L4474">
        <f t="shared" si="280"/>
        <v>0</v>
      </c>
      <c r="M4474">
        <f t="shared" si="281"/>
        <v>1</v>
      </c>
      <c r="N4474">
        <f t="shared" si="282"/>
        <v>0</v>
      </c>
      <c r="O4474" t="str">
        <f t="shared" si="283"/>
        <v>Proposta Ok</v>
      </c>
    </row>
    <row r="4475" spans="12:15" x14ac:dyDescent="0.25">
      <c r="L4475">
        <f t="shared" si="280"/>
        <v>0</v>
      </c>
      <c r="M4475">
        <f t="shared" si="281"/>
        <v>1</v>
      </c>
      <c r="N4475">
        <f t="shared" si="282"/>
        <v>0</v>
      </c>
      <c r="O4475" t="str">
        <f t="shared" si="283"/>
        <v>Proposta Ok</v>
      </c>
    </row>
    <row r="4476" spans="12:15" x14ac:dyDescent="0.25">
      <c r="L4476">
        <f t="shared" si="280"/>
        <v>0</v>
      </c>
      <c r="M4476">
        <f t="shared" si="281"/>
        <v>1</v>
      </c>
      <c r="N4476">
        <f t="shared" si="282"/>
        <v>0</v>
      </c>
      <c r="O4476" t="str">
        <f t="shared" si="283"/>
        <v>Proposta Ok</v>
      </c>
    </row>
    <row r="4477" spans="12:15" x14ac:dyDescent="0.25">
      <c r="L4477">
        <f t="shared" si="280"/>
        <v>0</v>
      </c>
      <c r="M4477">
        <f t="shared" si="281"/>
        <v>1</v>
      </c>
      <c r="N4477">
        <f t="shared" si="282"/>
        <v>0</v>
      </c>
      <c r="O4477" t="str">
        <f t="shared" si="283"/>
        <v>Proposta Ok</v>
      </c>
    </row>
    <row r="4478" spans="12:15" x14ac:dyDescent="0.25">
      <c r="L4478">
        <f t="shared" si="280"/>
        <v>0</v>
      </c>
      <c r="M4478">
        <f t="shared" si="281"/>
        <v>1</v>
      </c>
      <c r="N4478">
        <f t="shared" si="282"/>
        <v>0</v>
      </c>
      <c r="O4478" t="str">
        <f t="shared" si="283"/>
        <v>Proposta Ok</v>
      </c>
    </row>
    <row r="4479" spans="12:15" x14ac:dyDescent="0.25">
      <c r="L4479">
        <f t="shared" si="280"/>
        <v>0</v>
      </c>
      <c r="M4479">
        <f t="shared" si="281"/>
        <v>1</v>
      </c>
      <c r="N4479">
        <f t="shared" si="282"/>
        <v>0</v>
      </c>
      <c r="O4479" t="str">
        <f t="shared" si="283"/>
        <v>Proposta Ok</v>
      </c>
    </row>
    <row r="4480" spans="12:15" x14ac:dyDescent="0.25">
      <c r="L4480">
        <f t="shared" si="280"/>
        <v>0</v>
      </c>
      <c r="M4480">
        <f t="shared" si="281"/>
        <v>1</v>
      </c>
      <c r="N4480">
        <f t="shared" si="282"/>
        <v>0</v>
      </c>
      <c r="O4480" t="str">
        <f t="shared" si="283"/>
        <v>Proposta Ok</v>
      </c>
    </row>
    <row r="4481" spans="12:15" x14ac:dyDescent="0.25">
      <c r="L4481">
        <f t="shared" si="280"/>
        <v>0</v>
      </c>
      <c r="M4481">
        <f t="shared" si="281"/>
        <v>1</v>
      </c>
      <c r="N4481">
        <f t="shared" si="282"/>
        <v>0</v>
      </c>
      <c r="O4481" t="str">
        <f t="shared" si="283"/>
        <v>Proposta Ok</v>
      </c>
    </row>
    <row r="4482" spans="12:15" x14ac:dyDescent="0.25">
      <c r="L4482">
        <f t="shared" si="280"/>
        <v>0</v>
      </c>
      <c r="M4482">
        <f t="shared" si="281"/>
        <v>1</v>
      </c>
      <c r="N4482">
        <f t="shared" si="282"/>
        <v>0</v>
      </c>
      <c r="O4482" t="str">
        <f t="shared" si="283"/>
        <v>Proposta Ok</v>
      </c>
    </row>
    <row r="4483" spans="12:15" x14ac:dyDescent="0.25">
      <c r="L4483">
        <f t="shared" si="280"/>
        <v>0</v>
      </c>
      <c r="M4483">
        <f t="shared" si="281"/>
        <v>1</v>
      </c>
      <c r="N4483">
        <f t="shared" si="282"/>
        <v>0</v>
      </c>
      <c r="O4483" t="str">
        <f t="shared" si="283"/>
        <v>Proposta Ok</v>
      </c>
    </row>
    <row r="4484" spans="12:15" x14ac:dyDescent="0.25">
      <c r="L4484">
        <f t="shared" si="280"/>
        <v>0</v>
      </c>
      <c r="M4484">
        <f t="shared" si="281"/>
        <v>1</v>
      </c>
      <c r="N4484">
        <f t="shared" si="282"/>
        <v>0</v>
      </c>
      <c r="O4484" t="str">
        <f t="shared" si="283"/>
        <v>Proposta Ok</v>
      </c>
    </row>
    <row r="4485" spans="12:15" x14ac:dyDescent="0.25">
      <c r="L4485">
        <f t="shared" si="280"/>
        <v>0</v>
      </c>
      <c r="M4485">
        <f t="shared" si="281"/>
        <v>1</v>
      </c>
      <c r="N4485">
        <f t="shared" si="282"/>
        <v>0</v>
      </c>
      <c r="O4485" t="str">
        <f t="shared" si="283"/>
        <v>Proposta Ok</v>
      </c>
    </row>
    <row r="4486" spans="12:15" x14ac:dyDescent="0.25">
      <c r="L4486">
        <f t="shared" si="280"/>
        <v>0</v>
      </c>
      <c r="M4486">
        <f t="shared" si="281"/>
        <v>1</v>
      </c>
      <c r="N4486">
        <f t="shared" si="282"/>
        <v>0</v>
      </c>
      <c r="O4486" t="str">
        <f t="shared" si="283"/>
        <v>Proposta Ok</v>
      </c>
    </row>
    <row r="4487" spans="12:15" x14ac:dyDescent="0.25">
      <c r="L4487">
        <f t="shared" si="280"/>
        <v>0</v>
      </c>
      <c r="M4487">
        <f t="shared" si="281"/>
        <v>1</v>
      </c>
      <c r="N4487">
        <f t="shared" si="282"/>
        <v>0</v>
      </c>
      <c r="O4487" t="str">
        <f t="shared" si="283"/>
        <v>Proposta Ok</v>
      </c>
    </row>
    <row r="4488" spans="12:15" x14ac:dyDescent="0.25">
      <c r="L4488">
        <f t="shared" si="280"/>
        <v>0</v>
      </c>
      <c r="M4488">
        <f t="shared" si="281"/>
        <v>1</v>
      </c>
      <c r="N4488">
        <f t="shared" si="282"/>
        <v>0</v>
      </c>
      <c r="O4488" t="str">
        <f t="shared" si="283"/>
        <v>Proposta Ok</v>
      </c>
    </row>
    <row r="4489" spans="12:15" x14ac:dyDescent="0.25">
      <c r="L4489">
        <f t="shared" si="280"/>
        <v>0</v>
      </c>
      <c r="M4489">
        <f t="shared" si="281"/>
        <v>1</v>
      </c>
      <c r="N4489">
        <f t="shared" si="282"/>
        <v>0</v>
      </c>
      <c r="O4489" t="str">
        <f t="shared" si="283"/>
        <v>Proposta Ok</v>
      </c>
    </row>
    <row r="4490" spans="12:15" x14ac:dyDescent="0.25">
      <c r="L4490">
        <f t="shared" si="280"/>
        <v>0</v>
      </c>
      <c r="M4490">
        <f t="shared" si="281"/>
        <v>1</v>
      </c>
      <c r="N4490">
        <f t="shared" si="282"/>
        <v>0</v>
      </c>
      <c r="O4490" t="str">
        <f t="shared" si="283"/>
        <v>Proposta Ok</v>
      </c>
    </row>
    <row r="4491" spans="12:15" x14ac:dyDescent="0.25">
      <c r="L4491">
        <f t="shared" si="280"/>
        <v>0</v>
      </c>
      <c r="M4491">
        <f t="shared" si="281"/>
        <v>1</v>
      </c>
      <c r="N4491">
        <f t="shared" si="282"/>
        <v>0</v>
      </c>
      <c r="O4491" t="str">
        <f t="shared" si="283"/>
        <v>Proposta Ok</v>
      </c>
    </row>
    <row r="4492" spans="12:15" x14ac:dyDescent="0.25">
      <c r="L4492">
        <f t="shared" si="280"/>
        <v>0</v>
      </c>
      <c r="M4492">
        <f t="shared" si="281"/>
        <v>1</v>
      </c>
      <c r="N4492">
        <f t="shared" si="282"/>
        <v>0</v>
      </c>
      <c r="O4492" t="str">
        <f t="shared" si="283"/>
        <v>Proposta Ok</v>
      </c>
    </row>
    <row r="4493" spans="12:15" x14ac:dyDescent="0.25">
      <c r="L4493">
        <f t="shared" si="280"/>
        <v>0</v>
      </c>
      <c r="M4493">
        <f t="shared" si="281"/>
        <v>1</v>
      </c>
      <c r="N4493">
        <f t="shared" si="282"/>
        <v>0</v>
      </c>
      <c r="O4493" t="str">
        <f t="shared" si="283"/>
        <v>Proposta Ok</v>
      </c>
    </row>
    <row r="4494" spans="12:15" x14ac:dyDescent="0.25">
      <c r="L4494">
        <f t="shared" si="280"/>
        <v>0</v>
      </c>
      <c r="M4494">
        <f t="shared" si="281"/>
        <v>1</v>
      </c>
      <c r="N4494">
        <f t="shared" si="282"/>
        <v>0</v>
      </c>
      <c r="O4494" t="str">
        <f t="shared" si="283"/>
        <v>Proposta Ok</v>
      </c>
    </row>
    <row r="4495" spans="12:15" x14ac:dyDescent="0.25">
      <c r="L4495">
        <f t="shared" si="280"/>
        <v>0</v>
      </c>
      <c r="M4495">
        <f t="shared" si="281"/>
        <v>1</v>
      </c>
      <c r="N4495">
        <f t="shared" si="282"/>
        <v>0</v>
      </c>
      <c r="O4495" t="str">
        <f t="shared" si="283"/>
        <v>Proposta Ok</v>
      </c>
    </row>
    <row r="4496" spans="12:15" x14ac:dyDescent="0.25">
      <c r="L4496">
        <f t="shared" si="280"/>
        <v>0</v>
      </c>
      <c r="M4496">
        <f t="shared" si="281"/>
        <v>1</v>
      </c>
      <c r="N4496">
        <f t="shared" si="282"/>
        <v>0</v>
      </c>
      <c r="O4496" t="str">
        <f t="shared" si="283"/>
        <v>Proposta Ok</v>
      </c>
    </row>
    <row r="4497" spans="12:15" x14ac:dyDescent="0.25">
      <c r="L4497">
        <f t="shared" si="280"/>
        <v>0</v>
      </c>
      <c r="M4497">
        <f t="shared" si="281"/>
        <v>1</v>
      </c>
      <c r="N4497">
        <f t="shared" si="282"/>
        <v>0</v>
      </c>
      <c r="O4497" t="str">
        <f t="shared" si="283"/>
        <v>Proposta Ok</v>
      </c>
    </row>
    <row r="4498" spans="12:15" x14ac:dyDescent="0.25">
      <c r="L4498">
        <f t="shared" si="280"/>
        <v>0</v>
      </c>
      <c r="M4498">
        <f t="shared" si="281"/>
        <v>1</v>
      </c>
      <c r="N4498">
        <f t="shared" si="282"/>
        <v>0</v>
      </c>
      <c r="O4498" t="str">
        <f t="shared" si="283"/>
        <v>Proposta Ok</v>
      </c>
    </row>
    <row r="4499" spans="12:15" x14ac:dyDescent="0.25">
      <c r="L4499">
        <f t="shared" si="280"/>
        <v>0</v>
      </c>
      <c r="M4499">
        <f t="shared" si="281"/>
        <v>1</v>
      </c>
      <c r="N4499">
        <f t="shared" si="282"/>
        <v>0</v>
      </c>
      <c r="O4499" t="str">
        <f t="shared" si="283"/>
        <v>Proposta Ok</v>
      </c>
    </row>
    <row r="4500" spans="12:15" x14ac:dyDescent="0.25">
      <c r="L4500">
        <f t="shared" si="280"/>
        <v>0</v>
      </c>
      <c r="M4500">
        <f t="shared" si="281"/>
        <v>1</v>
      </c>
      <c r="N4500">
        <f t="shared" si="282"/>
        <v>0</v>
      </c>
      <c r="O4500" t="str">
        <f t="shared" si="283"/>
        <v>Proposta Ok</v>
      </c>
    </row>
    <row r="4501" spans="12:15" x14ac:dyDescent="0.25">
      <c r="L4501">
        <f t="shared" si="280"/>
        <v>0</v>
      </c>
      <c r="M4501">
        <f t="shared" si="281"/>
        <v>1</v>
      </c>
      <c r="N4501">
        <f t="shared" si="282"/>
        <v>0</v>
      </c>
      <c r="O4501" t="str">
        <f t="shared" si="283"/>
        <v>Proposta Ok</v>
      </c>
    </row>
    <row r="4502" spans="12:15" x14ac:dyDescent="0.25">
      <c r="L4502">
        <f t="shared" si="280"/>
        <v>0</v>
      </c>
      <c r="M4502">
        <f t="shared" si="281"/>
        <v>1</v>
      </c>
      <c r="N4502">
        <f t="shared" si="282"/>
        <v>0</v>
      </c>
      <c r="O4502" t="str">
        <f t="shared" si="283"/>
        <v>Proposta Ok</v>
      </c>
    </row>
    <row r="4503" spans="12:15" x14ac:dyDescent="0.25">
      <c r="L4503">
        <f t="shared" si="280"/>
        <v>0</v>
      </c>
      <c r="M4503">
        <f t="shared" si="281"/>
        <v>1</v>
      </c>
      <c r="N4503">
        <f t="shared" si="282"/>
        <v>0</v>
      </c>
      <c r="O4503" t="str">
        <f t="shared" si="283"/>
        <v>Proposta Ok</v>
      </c>
    </row>
    <row r="4504" spans="12:15" x14ac:dyDescent="0.25">
      <c r="L4504">
        <f t="shared" si="280"/>
        <v>0</v>
      </c>
      <c r="M4504">
        <f t="shared" si="281"/>
        <v>1</v>
      </c>
      <c r="N4504">
        <f t="shared" si="282"/>
        <v>0</v>
      </c>
      <c r="O4504" t="str">
        <f t="shared" si="283"/>
        <v>Proposta Ok</v>
      </c>
    </row>
    <row r="4505" spans="12:15" x14ac:dyDescent="0.25">
      <c r="L4505">
        <f t="shared" si="280"/>
        <v>0</v>
      </c>
      <c r="M4505">
        <f t="shared" si="281"/>
        <v>1</v>
      </c>
      <c r="N4505">
        <f t="shared" si="282"/>
        <v>0</v>
      </c>
      <c r="O4505" t="str">
        <f t="shared" si="283"/>
        <v>Proposta Ok</v>
      </c>
    </row>
    <row r="4506" spans="12:15" x14ac:dyDescent="0.25">
      <c r="L4506">
        <f t="shared" si="280"/>
        <v>0</v>
      </c>
      <c r="M4506">
        <f t="shared" si="281"/>
        <v>1</v>
      </c>
      <c r="N4506">
        <f t="shared" si="282"/>
        <v>0</v>
      </c>
      <c r="O4506" t="str">
        <f t="shared" si="283"/>
        <v>Proposta Ok</v>
      </c>
    </row>
    <row r="4507" spans="12:15" x14ac:dyDescent="0.25">
      <c r="L4507">
        <f t="shared" ref="L4507:L4570" si="284">IF(OR(I4507="Termo OK (Exceção)",I4507="Termo OK"),1,0)</f>
        <v>0</v>
      </c>
      <c r="M4507">
        <f t="shared" ref="M4507:M4570" si="285">IF(OR(I4507="Termo OK (Exceção)",I4507="Termo OK"),0,1)</f>
        <v>1</v>
      </c>
      <c r="N4507">
        <f t="shared" ref="N4507:N4570" si="286">IF(J4507="SIM",1,0)</f>
        <v>0</v>
      </c>
      <c r="O4507" t="str">
        <f t="shared" ref="O4507:O4570" si="287">IF(SUMIFS(M:M,A:A,A4507)&gt;0,"Proposta não Ok","Proposta Ok")</f>
        <v>Proposta Ok</v>
      </c>
    </row>
    <row r="4508" spans="12:15" x14ac:dyDescent="0.25">
      <c r="L4508">
        <f t="shared" si="284"/>
        <v>0</v>
      </c>
      <c r="M4508">
        <f t="shared" si="285"/>
        <v>1</v>
      </c>
      <c r="N4508">
        <f t="shared" si="286"/>
        <v>0</v>
      </c>
      <c r="O4508" t="str">
        <f t="shared" si="287"/>
        <v>Proposta Ok</v>
      </c>
    </row>
    <row r="4509" spans="12:15" x14ac:dyDescent="0.25">
      <c r="L4509">
        <f t="shared" si="284"/>
        <v>0</v>
      </c>
      <c r="M4509">
        <f t="shared" si="285"/>
        <v>1</v>
      </c>
      <c r="N4509">
        <f t="shared" si="286"/>
        <v>0</v>
      </c>
      <c r="O4509" t="str">
        <f t="shared" si="287"/>
        <v>Proposta Ok</v>
      </c>
    </row>
    <row r="4510" spans="12:15" x14ac:dyDescent="0.25">
      <c r="L4510">
        <f t="shared" si="284"/>
        <v>0</v>
      </c>
      <c r="M4510">
        <f t="shared" si="285"/>
        <v>1</v>
      </c>
      <c r="N4510">
        <f t="shared" si="286"/>
        <v>0</v>
      </c>
      <c r="O4510" t="str">
        <f t="shared" si="287"/>
        <v>Proposta Ok</v>
      </c>
    </row>
    <row r="4511" spans="12:15" x14ac:dyDescent="0.25">
      <c r="L4511">
        <f t="shared" si="284"/>
        <v>0</v>
      </c>
      <c r="M4511">
        <f t="shared" si="285"/>
        <v>1</v>
      </c>
      <c r="N4511">
        <f t="shared" si="286"/>
        <v>0</v>
      </c>
      <c r="O4511" t="str">
        <f t="shared" si="287"/>
        <v>Proposta Ok</v>
      </c>
    </row>
    <row r="4512" spans="12:15" x14ac:dyDescent="0.25">
      <c r="L4512">
        <f t="shared" si="284"/>
        <v>0</v>
      </c>
      <c r="M4512">
        <f t="shared" si="285"/>
        <v>1</v>
      </c>
      <c r="N4512">
        <f t="shared" si="286"/>
        <v>0</v>
      </c>
      <c r="O4512" t="str">
        <f t="shared" si="287"/>
        <v>Proposta Ok</v>
      </c>
    </row>
    <row r="4513" spans="12:15" x14ac:dyDescent="0.25">
      <c r="L4513">
        <f t="shared" si="284"/>
        <v>0</v>
      </c>
      <c r="M4513">
        <f t="shared" si="285"/>
        <v>1</v>
      </c>
      <c r="N4513">
        <f t="shared" si="286"/>
        <v>0</v>
      </c>
      <c r="O4513" t="str">
        <f t="shared" si="287"/>
        <v>Proposta Ok</v>
      </c>
    </row>
    <row r="4514" spans="12:15" x14ac:dyDescent="0.25">
      <c r="L4514">
        <f t="shared" si="284"/>
        <v>0</v>
      </c>
      <c r="M4514">
        <f t="shared" si="285"/>
        <v>1</v>
      </c>
      <c r="N4514">
        <f t="shared" si="286"/>
        <v>0</v>
      </c>
      <c r="O4514" t="str">
        <f t="shared" si="287"/>
        <v>Proposta Ok</v>
      </c>
    </row>
    <row r="4515" spans="12:15" x14ac:dyDescent="0.25">
      <c r="L4515">
        <f t="shared" si="284"/>
        <v>0</v>
      </c>
      <c r="M4515">
        <f t="shared" si="285"/>
        <v>1</v>
      </c>
      <c r="N4515">
        <f t="shared" si="286"/>
        <v>0</v>
      </c>
      <c r="O4515" t="str">
        <f t="shared" si="287"/>
        <v>Proposta Ok</v>
      </c>
    </row>
    <row r="4516" spans="12:15" x14ac:dyDescent="0.25">
      <c r="L4516">
        <f t="shared" si="284"/>
        <v>0</v>
      </c>
      <c r="M4516">
        <f t="shared" si="285"/>
        <v>1</v>
      </c>
      <c r="N4516">
        <f t="shared" si="286"/>
        <v>0</v>
      </c>
      <c r="O4516" t="str">
        <f t="shared" si="287"/>
        <v>Proposta Ok</v>
      </c>
    </row>
    <row r="4517" spans="12:15" x14ac:dyDescent="0.25">
      <c r="L4517">
        <f t="shared" si="284"/>
        <v>0</v>
      </c>
      <c r="M4517">
        <f t="shared" si="285"/>
        <v>1</v>
      </c>
      <c r="N4517">
        <f t="shared" si="286"/>
        <v>0</v>
      </c>
      <c r="O4517" t="str">
        <f t="shared" si="287"/>
        <v>Proposta Ok</v>
      </c>
    </row>
    <row r="4518" spans="12:15" x14ac:dyDescent="0.25">
      <c r="L4518">
        <f t="shared" si="284"/>
        <v>0</v>
      </c>
      <c r="M4518">
        <f t="shared" si="285"/>
        <v>1</v>
      </c>
      <c r="N4518">
        <f t="shared" si="286"/>
        <v>0</v>
      </c>
      <c r="O4518" t="str">
        <f t="shared" si="287"/>
        <v>Proposta Ok</v>
      </c>
    </row>
    <row r="4519" spans="12:15" x14ac:dyDescent="0.25">
      <c r="L4519">
        <f t="shared" si="284"/>
        <v>0</v>
      </c>
      <c r="M4519">
        <f t="shared" si="285"/>
        <v>1</v>
      </c>
      <c r="N4519">
        <f t="shared" si="286"/>
        <v>0</v>
      </c>
      <c r="O4519" t="str">
        <f t="shared" si="287"/>
        <v>Proposta Ok</v>
      </c>
    </row>
    <row r="4520" spans="12:15" x14ac:dyDescent="0.25">
      <c r="L4520">
        <f t="shared" si="284"/>
        <v>0</v>
      </c>
      <c r="M4520">
        <f t="shared" si="285"/>
        <v>1</v>
      </c>
      <c r="N4520">
        <f t="shared" si="286"/>
        <v>0</v>
      </c>
      <c r="O4520" t="str">
        <f t="shared" si="287"/>
        <v>Proposta Ok</v>
      </c>
    </row>
    <row r="4521" spans="12:15" x14ac:dyDescent="0.25">
      <c r="L4521">
        <f t="shared" si="284"/>
        <v>0</v>
      </c>
      <c r="M4521">
        <f t="shared" si="285"/>
        <v>1</v>
      </c>
      <c r="N4521">
        <f t="shared" si="286"/>
        <v>0</v>
      </c>
      <c r="O4521" t="str">
        <f t="shared" si="287"/>
        <v>Proposta Ok</v>
      </c>
    </row>
    <row r="4522" spans="12:15" x14ac:dyDescent="0.25">
      <c r="L4522">
        <f t="shared" si="284"/>
        <v>0</v>
      </c>
      <c r="M4522">
        <f t="shared" si="285"/>
        <v>1</v>
      </c>
      <c r="N4522">
        <f t="shared" si="286"/>
        <v>0</v>
      </c>
      <c r="O4522" t="str">
        <f t="shared" si="287"/>
        <v>Proposta Ok</v>
      </c>
    </row>
    <row r="4523" spans="12:15" x14ac:dyDescent="0.25">
      <c r="L4523">
        <f t="shared" si="284"/>
        <v>0</v>
      </c>
      <c r="M4523">
        <f t="shared" si="285"/>
        <v>1</v>
      </c>
      <c r="N4523">
        <f t="shared" si="286"/>
        <v>0</v>
      </c>
      <c r="O4523" t="str">
        <f t="shared" si="287"/>
        <v>Proposta Ok</v>
      </c>
    </row>
    <row r="4524" spans="12:15" x14ac:dyDescent="0.25">
      <c r="L4524">
        <f t="shared" si="284"/>
        <v>0</v>
      </c>
      <c r="M4524">
        <f t="shared" si="285"/>
        <v>1</v>
      </c>
      <c r="N4524">
        <f t="shared" si="286"/>
        <v>0</v>
      </c>
      <c r="O4524" t="str">
        <f t="shared" si="287"/>
        <v>Proposta Ok</v>
      </c>
    </row>
    <row r="4525" spans="12:15" x14ac:dyDescent="0.25">
      <c r="L4525">
        <f t="shared" si="284"/>
        <v>0</v>
      </c>
      <c r="M4525">
        <f t="shared" si="285"/>
        <v>1</v>
      </c>
      <c r="N4525">
        <f t="shared" si="286"/>
        <v>0</v>
      </c>
      <c r="O4525" t="str">
        <f t="shared" si="287"/>
        <v>Proposta Ok</v>
      </c>
    </row>
    <row r="4526" spans="12:15" x14ac:dyDescent="0.25">
      <c r="L4526">
        <f t="shared" si="284"/>
        <v>0</v>
      </c>
      <c r="M4526">
        <f t="shared" si="285"/>
        <v>1</v>
      </c>
      <c r="N4526">
        <f t="shared" si="286"/>
        <v>0</v>
      </c>
      <c r="O4526" t="str">
        <f t="shared" si="287"/>
        <v>Proposta Ok</v>
      </c>
    </row>
    <row r="4527" spans="12:15" x14ac:dyDescent="0.25">
      <c r="L4527">
        <f t="shared" si="284"/>
        <v>0</v>
      </c>
      <c r="M4527">
        <f t="shared" si="285"/>
        <v>1</v>
      </c>
      <c r="N4527">
        <f t="shared" si="286"/>
        <v>0</v>
      </c>
      <c r="O4527" t="str">
        <f t="shared" si="287"/>
        <v>Proposta Ok</v>
      </c>
    </row>
    <row r="4528" spans="12:15" x14ac:dyDescent="0.25">
      <c r="L4528">
        <f t="shared" si="284"/>
        <v>0</v>
      </c>
      <c r="M4528">
        <f t="shared" si="285"/>
        <v>1</v>
      </c>
      <c r="N4528">
        <f t="shared" si="286"/>
        <v>0</v>
      </c>
      <c r="O4528" t="str">
        <f t="shared" si="287"/>
        <v>Proposta Ok</v>
      </c>
    </row>
    <row r="4529" spans="12:15" x14ac:dyDescent="0.25">
      <c r="L4529">
        <f t="shared" si="284"/>
        <v>0</v>
      </c>
      <c r="M4529">
        <f t="shared" si="285"/>
        <v>1</v>
      </c>
      <c r="N4529">
        <f t="shared" si="286"/>
        <v>0</v>
      </c>
      <c r="O4529" t="str">
        <f t="shared" si="287"/>
        <v>Proposta Ok</v>
      </c>
    </row>
    <row r="4530" spans="12:15" x14ac:dyDescent="0.25">
      <c r="L4530">
        <f t="shared" si="284"/>
        <v>0</v>
      </c>
      <c r="M4530">
        <f t="shared" si="285"/>
        <v>1</v>
      </c>
      <c r="N4530">
        <f t="shared" si="286"/>
        <v>0</v>
      </c>
      <c r="O4530" t="str">
        <f t="shared" si="287"/>
        <v>Proposta Ok</v>
      </c>
    </row>
    <row r="4531" spans="12:15" x14ac:dyDescent="0.25">
      <c r="L4531">
        <f t="shared" si="284"/>
        <v>0</v>
      </c>
      <c r="M4531">
        <f t="shared" si="285"/>
        <v>1</v>
      </c>
      <c r="N4531">
        <f t="shared" si="286"/>
        <v>0</v>
      </c>
      <c r="O4531" t="str">
        <f t="shared" si="287"/>
        <v>Proposta Ok</v>
      </c>
    </row>
    <row r="4532" spans="12:15" x14ac:dyDescent="0.25">
      <c r="L4532">
        <f t="shared" si="284"/>
        <v>0</v>
      </c>
      <c r="M4532">
        <f t="shared" si="285"/>
        <v>1</v>
      </c>
      <c r="N4532">
        <f t="shared" si="286"/>
        <v>0</v>
      </c>
      <c r="O4532" t="str">
        <f t="shared" si="287"/>
        <v>Proposta Ok</v>
      </c>
    </row>
    <row r="4533" spans="12:15" x14ac:dyDescent="0.25">
      <c r="L4533">
        <f t="shared" si="284"/>
        <v>0</v>
      </c>
      <c r="M4533">
        <f t="shared" si="285"/>
        <v>1</v>
      </c>
      <c r="N4533">
        <f t="shared" si="286"/>
        <v>0</v>
      </c>
      <c r="O4533" t="str">
        <f t="shared" si="287"/>
        <v>Proposta Ok</v>
      </c>
    </row>
    <row r="4534" spans="12:15" x14ac:dyDescent="0.25">
      <c r="L4534">
        <f t="shared" si="284"/>
        <v>0</v>
      </c>
      <c r="M4534">
        <f t="shared" si="285"/>
        <v>1</v>
      </c>
      <c r="N4534">
        <f t="shared" si="286"/>
        <v>0</v>
      </c>
      <c r="O4534" t="str">
        <f t="shared" si="287"/>
        <v>Proposta Ok</v>
      </c>
    </row>
    <row r="4535" spans="12:15" x14ac:dyDescent="0.25">
      <c r="L4535">
        <f t="shared" si="284"/>
        <v>0</v>
      </c>
      <c r="M4535">
        <f t="shared" si="285"/>
        <v>1</v>
      </c>
      <c r="N4535">
        <f t="shared" si="286"/>
        <v>0</v>
      </c>
      <c r="O4535" t="str">
        <f t="shared" si="287"/>
        <v>Proposta Ok</v>
      </c>
    </row>
    <row r="4536" spans="12:15" x14ac:dyDescent="0.25">
      <c r="L4536">
        <f t="shared" si="284"/>
        <v>0</v>
      </c>
      <c r="M4536">
        <f t="shared" si="285"/>
        <v>1</v>
      </c>
      <c r="N4536">
        <f t="shared" si="286"/>
        <v>0</v>
      </c>
      <c r="O4536" t="str">
        <f t="shared" si="287"/>
        <v>Proposta Ok</v>
      </c>
    </row>
    <row r="4537" spans="12:15" x14ac:dyDescent="0.25">
      <c r="L4537">
        <f t="shared" si="284"/>
        <v>0</v>
      </c>
      <c r="M4537">
        <f t="shared" si="285"/>
        <v>1</v>
      </c>
      <c r="N4537">
        <f t="shared" si="286"/>
        <v>0</v>
      </c>
      <c r="O4537" t="str">
        <f t="shared" si="287"/>
        <v>Proposta Ok</v>
      </c>
    </row>
    <row r="4538" spans="12:15" x14ac:dyDescent="0.25">
      <c r="L4538">
        <f t="shared" si="284"/>
        <v>0</v>
      </c>
      <c r="M4538">
        <f t="shared" si="285"/>
        <v>1</v>
      </c>
      <c r="N4538">
        <f t="shared" si="286"/>
        <v>0</v>
      </c>
      <c r="O4538" t="str">
        <f t="shared" si="287"/>
        <v>Proposta Ok</v>
      </c>
    </row>
    <row r="4539" spans="12:15" x14ac:dyDescent="0.25">
      <c r="L4539">
        <f t="shared" si="284"/>
        <v>0</v>
      </c>
      <c r="M4539">
        <f t="shared" si="285"/>
        <v>1</v>
      </c>
      <c r="N4539">
        <f t="shared" si="286"/>
        <v>0</v>
      </c>
      <c r="O4539" t="str">
        <f t="shared" si="287"/>
        <v>Proposta Ok</v>
      </c>
    </row>
    <row r="4540" spans="12:15" x14ac:dyDescent="0.25">
      <c r="L4540">
        <f t="shared" si="284"/>
        <v>0</v>
      </c>
      <c r="M4540">
        <f t="shared" si="285"/>
        <v>1</v>
      </c>
      <c r="N4540">
        <f t="shared" si="286"/>
        <v>0</v>
      </c>
      <c r="O4540" t="str">
        <f t="shared" si="287"/>
        <v>Proposta Ok</v>
      </c>
    </row>
    <row r="4541" spans="12:15" x14ac:dyDescent="0.25">
      <c r="L4541">
        <f t="shared" si="284"/>
        <v>0</v>
      </c>
      <c r="M4541">
        <f t="shared" si="285"/>
        <v>1</v>
      </c>
      <c r="N4541">
        <f t="shared" si="286"/>
        <v>0</v>
      </c>
      <c r="O4541" t="str">
        <f t="shared" si="287"/>
        <v>Proposta Ok</v>
      </c>
    </row>
    <row r="4542" spans="12:15" x14ac:dyDescent="0.25">
      <c r="L4542">
        <f t="shared" si="284"/>
        <v>0</v>
      </c>
      <c r="M4542">
        <f t="shared" si="285"/>
        <v>1</v>
      </c>
      <c r="N4542">
        <f t="shared" si="286"/>
        <v>0</v>
      </c>
      <c r="O4542" t="str">
        <f t="shared" si="287"/>
        <v>Proposta Ok</v>
      </c>
    </row>
    <row r="4543" spans="12:15" x14ac:dyDescent="0.25">
      <c r="L4543">
        <f t="shared" si="284"/>
        <v>0</v>
      </c>
      <c r="M4543">
        <f t="shared" si="285"/>
        <v>1</v>
      </c>
      <c r="N4543">
        <f t="shared" si="286"/>
        <v>0</v>
      </c>
      <c r="O4543" t="str">
        <f t="shared" si="287"/>
        <v>Proposta Ok</v>
      </c>
    </row>
    <row r="4544" spans="12:15" x14ac:dyDescent="0.25">
      <c r="L4544">
        <f t="shared" si="284"/>
        <v>0</v>
      </c>
      <c r="M4544">
        <f t="shared" si="285"/>
        <v>1</v>
      </c>
      <c r="N4544">
        <f t="shared" si="286"/>
        <v>0</v>
      </c>
      <c r="O4544" t="str">
        <f t="shared" si="287"/>
        <v>Proposta Ok</v>
      </c>
    </row>
    <row r="4545" spans="12:15" x14ac:dyDescent="0.25">
      <c r="L4545">
        <f t="shared" si="284"/>
        <v>0</v>
      </c>
      <c r="M4545">
        <f t="shared" si="285"/>
        <v>1</v>
      </c>
      <c r="N4545">
        <f t="shared" si="286"/>
        <v>0</v>
      </c>
      <c r="O4545" t="str">
        <f t="shared" si="287"/>
        <v>Proposta Ok</v>
      </c>
    </row>
    <row r="4546" spans="12:15" x14ac:dyDescent="0.25">
      <c r="L4546">
        <f t="shared" si="284"/>
        <v>0</v>
      </c>
      <c r="M4546">
        <f t="shared" si="285"/>
        <v>1</v>
      </c>
      <c r="N4546">
        <f t="shared" si="286"/>
        <v>0</v>
      </c>
      <c r="O4546" t="str">
        <f t="shared" si="287"/>
        <v>Proposta Ok</v>
      </c>
    </row>
    <row r="4547" spans="12:15" x14ac:dyDescent="0.25">
      <c r="L4547">
        <f t="shared" si="284"/>
        <v>0</v>
      </c>
      <c r="M4547">
        <f t="shared" si="285"/>
        <v>1</v>
      </c>
      <c r="N4547">
        <f t="shared" si="286"/>
        <v>0</v>
      </c>
      <c r="O4547" t="str">
        <f t="shared" si="287"/>
        <v>Proposta Ok</v>
      </c>
    </row>
    <row r="4548" spans="12:15" x14ac:dyDescent="0.25">
      <c r="L4548">
        <f t="shared" si="284"/>
        <v>0</v>
      </c>
      <c r="M4548">
        <f t="shared" si="285"/>
        <v>1</v>
      </c>
      <c r="N4548">
        <f t="shared" si="286"/>
        <v>0</v>
      </c>
      <c r="O4548" t="str">
        <f t="shared" si="287"/>
        <v>Proposta Ok</v>
      </c>
    </row>
    <row r="4549" spans="12:15" x14ac:dyDescent="0.25">
      <c r="L4549">
        <f t="shared" si="284"/>
        <v>0</v>
      </c>
      <c r="M4549">
        <f t="shared" si="285"/>
        <v>1</v>
      </c>
      <c r="N4549">
        <f t="shared" si="286"/>
        <v>0</v>
      </c>
      <c r="O4549" t="str">
        <f t="shared" si="287"/>
        <v>Proposta Ok</v>
      </c>
    </row>
    <row r="4550" spans="12:15" x14ac:dyDescent="0.25">
      <c r="L4550">
        <f t="shared" si="284"/>
        <v>0</v>
      </c>
      <c r="M4550">
        <f t="shared" si="285"/>
        <v>1</v>
      </c>
      <c r="N4550">
        <f t="shared" si="286"/>
        <v>0</v>
      </c>
      <c r="O4550" t="str">
        <f t="shared" si="287"/>
        <v>Proposta Ok</v>
      </c>
    </row>
    <row r="4551" spans="12:15" x14ac:dyDescent="0.25">
      <c r="L4551">
        <f t="shared" si="284"/>
        <v>0</v>
      </c>
      <c r="M4551">
        <f t="shared" si="285"/>
        <v>1</v>
      </c>
      <c r="N4551">
        <f t="shared" si="286"/>
        <v>0</v>
      </c>
      <c r="O4551" t="str">
        <f t="shared" si="287"/>
        <v>Proposta Ok</v>
      </c>
    </row>
    <row r="4552" spans="12:15" x14ac:dyDescent="0.25">
      <c r="L4552">
        <f t="shared" si="284"/>
        <v>0</v>
      </c>
      <c r="M4552">
        <f t="shared" si="285"/>
        <v>1</v>
      </c>
      <c r="N4552">
        <f t="shared" si="286"/>
        <v>0</v>
      </c>
      <c r="O4552" t="str">
        <f t="shared" si="287"/>
        <v>Proposta Ok</v>
      </c>
    </row>
    <row r="4553" spans="12:15" x14ac:dyDescent="0.25">
      <c r="L4553">
        <f t="shared" si="284"/>
        <v>0</v>
      </c>
      <c r="M4553">
        <f t="shared" si="285"/>
        <v>1</v>
      </c>
      <c r="N4553">
        <f t="shared" si="286"/>
        <v>0</v>
      </c>
      <c r="O4553" t="str">
        <f t="shared" si="287"/>
        <v>Proposta Ok</v>
      </c>
    </row>
    <row r="4554" spans="12:15" x14ac:dyDescent="0.25">
      <c r="L4554">
        <f t="shared" si="284"/>
        <v>0</v>
      </c>
      <c r="M4554">
        <f t="shared" si="285"/>
        <v>1</v>
      </c>
      <c r="N4554">
        <f t="shared" si="286"/>
        <v>0</v>
      </c>
      <c r="O4554" t="str">
        <f t="shared" si="287"/>
        <v>Proposta Ok</v>
      </c>
    </row>
    <row r="4555" spans="12:15" x14ac:dyDescent="0.25">
      <c r="L4555">
        <f t="shared" si="284"/>
        <v>0</v>
      </c>
      <c r="M4555">
        <f t="shared" si="285"/>
        <v>1</v>
      </c>
      <c r="N4555">
        <f t="shared" si="286"/>
        <v>0</v>
      </c>
      <c r="O4555" t="str">
        <f t="shared" si="287"/>
        <v>Proposta Ok</v>
      </c>
    </row>
    <row r="4556" spans="12:15" x14ac:dyDescent="0.25">
      <c r="L4556">
        <f t="shared" si="284"/>
        <v>0</v>
      </c>
      <c r="M4556">
        <f t="shared" si="285"/>
        <v>1</v>
      </c>
      <c r="N4556">
        <f t="shared" si="286"/>
        <v>0</v>
      </c>
      <c r="O4556" t="str">
        <f t="shared" si="287"/>
        <v>Proposta Ok</v>
      </c>
    </row>
    <row r="4557" spans="12:15" x14ac:dyDescent="0.25">
      <c r="L4557">
        <f t="shared" si="284"/>
        <v>0</v>
      </c>
      <c r="M4557">
        <f t="shared" si="285"/>
        <v>1</v>
      </c>
      <c r="N4557">
        <f t="shared" si="286"/>
        <v>0</v>
      </c>
      <c r="O4557" t="str">
        <f t="shared" si="287"/>
        <v>Proposta Ok</v>
      </c>
    </row>
    <row r="4558" spans="12:15" x14ac:dyDescent="0.25">
      <c r="L4558">
        <f t="shared" si="284"/>
        <v>0</v>
      </c>
      <c r="M4558">
        <f t="shared" si="285"/>
        <v>1</v>
      </c>
      <c r="N4558">
        <f t="shared" si="286"/>
        <v>0</v>
      </c>
      <c r="O4558" t="str">
        <f t="shared" si="287"/>
        <v>Proposta Ok</v>
      </c>
    </row>
    <row r="4559" spans="12:15" x14ac:dyDescent="0.25">
      <c r="L4559">
        <f t="shared" si="284"/>
        <v>0</v>
      </c>
      <c r="M4559">
        <f t="shared" si="285"/>
        <v>1</v>
      </c>
      <c r="N4559">
        <f t="shared" si="286"/>
        <v>0</v>
      </c>
      <c r="O4559" t="str">
        <f t="shared" si="287"/>
        <v>Proposta Ok</v>
      </c>
    </row>
    <row r="4560" spans="12:15" x14ac:dyDescent="0.25">
      <c r="L4560">
        <f t="shared" si="284"/>
        <v>0</v>
      </c>
      <c r="M4560">
        <f t="shared" si="285"/>
        <v>1</v>
      </c>
      <c r="N4560">
        <f t="shared" si="286"/>
        <v>0</v>
      </c>
      <c r="O4560" t="str">
        <f t="shared" si="287"/>
        <v>Proposta Ok</v>
      </c>
    </row>
    <row r="4561" spans="12:15" x14ac:dyDescent="0.25">
      <c r="L4561">
        <f t="shared" si="284"/>
        <v>0</v>
      </c>
      <c r="M4561">
        <f t="shared" si="285"/>
        <v>1</v>
      </c>
      <c r="N4561">
        <f t="shared" si="286"/>
        <v>0</v>
      </c>
      <c r="O4561" t="str">
        <f t="shared" si="287"/>
        <v>Proposta Ok</v>
      </c>
    </row>
    <row r="4562" spans="12:15" x14ac:dyDescent="0.25">
      <c r="L4562">
        <f t="shared" si="284"/>
        <v>0</v>
      </c>
      <c r="M4562">
        <f t="shared" si="285"/>
        <v>1</v>
      </c>
      <c r="N4562">
        <f t="shared" si="286"/>
        <v>0</v>
      </c>
      <c r="O4562" t="str">
        <f t="shared" si="287"/>
        <v>Proposta Ok</v>
      </c>
    </row>
    <row r="4563" spans="12:15" x14ac:dyDescent="0.25">
      <c r="L4563">
        <f t="shared" si="284"/>
        <v>0</v>
      </c>
      <c r="M4563">
        <f t="shared" si="285"/>
        <v>1</v>
      </c>
      <c r="N4563">
        <f t="shared" si="286"/>
        <v>0</v>
      </c>
      <c r="O4563" t="str">
        <f t="shared" si="287"/>
        <v>Proposta Ok</v>
      </c>
    </row>
    <row r="4564" spans="12:15" x14ac:dyDescent="0.25">
      <c r="L4564">
        <f t="shared" si="284"/>
        <v>0</v>
      </c>
      <c r="M4564">
        <f t="shared" si="285"/>
        <v>1</v>
      </c>
      <c r="N4564">
        <f t="shared" si="286"/>
        <v>0</v>
      </c>
      <c r="O4564" t="str">
        <f t="shared" si="287"/>
        <v>Proposta Ok</v>
      </c>
    </row>
    <row r="4565" spans="12:15" x14ac:dyDescent="0.25">
      <c r="L4565">
        <f t="shared" si="284"/>
        <v>0</v>
      </c>
      <c r="M4565">
        <f t="shared" si="285"/>
        <v>1</v>
      </c>
      <c r="N4565">
        <f t="shared" si="286"/>
        <v>0</v>
      </c>
      <c r="O4565" t="str">
        <f t="shared" si="287"/>
        <v>Proposta Ok</v>
      </c>
    </row>
    <row r="4566" spans="12:15" x14ac:dyDescent="0.25">
      <c r="L4566">
        <f t="shared" si="284"/>
        <v>0</v>
      </c>
      <c r="M4566">
        <f t="shared" si="285"/>
        <v>1</v>
      </c>
      <c r="N4566">
        <f t="shared" si="286"/>
        <v>0</v>
      </c>
      <c r="O4566" t="str">
        <f t="shared" si="287"/>
        <v>Proposta Ok</v>
      </c>
    </row>
    <row r="4567" spans="12:15" x14ac:dyDescent="0.25">
      <c r="L4567">
        <f t="shared" si="284"/>
        <v>0</v>
      </c>
      <c r="M4567">
        <f t="shared" si="285"/>
        <v>1</v>
      </c>
      <c r="N4567">
        <f t="shared" si="286"/>
        <v>0</v>
      </c>
      <c r="O4567" t="str">
        <f t="shared" si="287"/>
        <v>Proposta Ok</v>
      </c>
    </row>
    <row r="4568" spans="12:15" x14ac:dyDescent="0.25">
      <c r="L4568">
        <f t="shared" si="284"/>
        <v>0</v>
      </c>
      <c r="M4568">
        <f t="shared" si="285"/>
        <v>1</v>
      </c>
      <c r="N4568">
        <f t="shared" si="286"/>
        <v>0</v>
      </c>
      <c r="O4568" t="str">
        <f t="shared" si="287"/>
        <v>Proposta Ok</v>
      </c>
    </row>
    <row r="4569" spans="12:15" x14ac:dyDescent="0.25">
      <c r="L4569">
        <f t="shared" si="284"/>
        <v>0</v>
      </c>
      <c r="M4569">
        <f t="shared" si="285"/>
        <v>1</v>
      </c>
      <c r="N4569">
        <f t="shared" si="286"/>
        <v>0</v>
      </c>
      <c r="O4569" t="str">
        <f t="shared" si="287"/>
        <v>Proposta Ok</v>
      </c>
    </row>
    <row r="4570" spans="12:15" x14ac:dyDescent="0.25">
      <c r="L4570">
        <f t="shared" si="284"/>
        <v>0</v>
      </c>
      <c r="M4570">
        <f t="shared" si="285"/>
        <v>1</v>
      </c>
      <c r="N4570">
        <f t="shared" si="286"/>
        <v>0</v>
      </c>
      <c r="O4570" t="str">
        <f t="shared" si="287"/>
        <v>Proposta Ok</v>
      </c>
    </row>
    <row r="4571" spans="12:15" x14ac:dyDescent="0.25">
      <c r="L4571">
        <f t="shared" ref="L4571:L4634" si="288">IF(OR(I4571="Termo OK (Exceção)",I4571="Termo OK"),1,0)</f>
        <v>0</v>
      </c>
      <c r="M4571">
        <f t="shared" ref="M4571:M4634" si="289">IF(OR(I4571="Termo OK (Exceção)",I4571="Termo OK"),0,1)</f>
        <v>1</v>
      </c>
      <c r="N4571">
        <f t="shared" ref="N4571:N4634" si="290">IF(J4571="SIM",1,0)</f>
        <v>0</v>
      </c>
      <c r="O4571" t="str">
        <f t="shared" ref="O4571:O4634" si="291">IF(SUMIFS(M:M,A:A,A4571)&gt;0,"Proposta não Ok","Proposta Ok")</f>
        <v>Proposta Ok</v>
      </c>
    </row>
    <row r="4572" spans="12:15" x14ac:dyDescent="0.25">
      <c r="L4572">
        <f t="shared" si="288"/>
        <v>0</v>
      </c>
      <c r="M4572">
        <f t="shared" si="289"/>
        <v>1</v>
      </c>
      <c r="N4572">
        <f t="shared" si="290"/>
        <v>0</v>
      </c>
      <c r="O4572" t="str">
        <f t="shared" si="291"/>
        <v>Proposta Ok</v>
      </c>
    </row>
    <row r="4573" spans="12:15" x14ac:dyDescent="0.25">
      <c r="L4573">
        <f t="shared" si="288"/>
        <v>0</v>
      </c>
      <c r="M4573">
        <f t="shared" si="289"/>
        <v>1</v>
      </c>
      <c r="N4573">
        <f t="shared" si="290"/>
        <v>0</v>
      </c>
      <c r="O4573" t="str">
        <f t="shared" si="291"/>
        <v>Proposta Ok</v>
      </c>
    </row>
    <row r="4574" spans="12:15" x14ac:dyDescent="0.25">
      <c r="L4574">
        <f t="shared" si="288"/>
        <v>0</v>
      </c>
      <c r="M4574">
        <f t="shared" si="289"/>
        <v>1</v>
      </c>
      <c r="N4574">
        <f t="shared" si="290"/>
        <v>0</v>
      </c>
      <c r="O4574" t="str">
        <f t="shared" si="291"/>
        <v>Proposta Ok</v>
      </c>
    </row>
    <row r="4575" spans="12:15" x14ac:dyDescent="0.25">
      <c r="L4575">
        <f t="shared" si="288"/>
        <v>0</v>
      </c>
      <c r="M4575">
        <f t="shared" si="289"/>
        <v>1</v>
      </c>
      <c r="N4575">
        <f t="shared" si="290"/>
        <v>0</v>
      </c>
      <c r="O4575" t="str">
        <f t="shared" si="291"/>
        <v>Proposta Ok</v>
      </c>
    </row>
    <row r="4576" spans="12:15" x14ac:dyDescent="0.25">
      <c r="L4576">
        <f t="shared" si="288"/>
        <v>0</v>
      </c>
      <c r="M4576">
        <f t="shared" si="289"/>
        <v>1</v>
      </c>
      <c r="N4576">
        <f t="shared" si="290"/>
        <v>0</v>
      </c>
      <c r="O4576" t="str">
        <f t="shared" si="291"/>
        <v>Proposta Ok</v>
      </c>
    </row>
    <row r="4577" spans="12:15" x14ac:dyDescent="0.25">
      <c r="L4577">
        <f t="shared" si="288"/>
        <v>0</v>
      </c>
      <c r="M4577">
        <f t="shared" si="289"/>
        <v>1</v>
      </c>
      <c r="N4577">
        <f t="shared" si="290"/>
        <v>0</v>
      </c>
      <c r="O4577" t="str">
        <f t="shared" si="291"/>
        <v>Proposta Ok</v>
      </c>
    </row>
    <row r="4578" spans="12:15" x14ac:dyDescent="0.25">
      <c r="L4578">
        <f t="shared" si="288"/>
        <v>0</v>
      </c>
      <c r="M4578">
        <f t="shared" si="289"/>
        <v>1</v>
      </c>
      <c r="N4578">
        <f t="shared" si="290"/>
        <v>0</v>
      </c>
      <c r="O4578" t="str">
        <f t="shared" si="291"/>
        <v>Proposta Ok</v>
      </c>
    </row>
    <row r="4579" spans="12:15" x14ac:dyDescent="0.25">
      <c r="L4579">
        <f t="shared" si="288"/>
        <v>0</v>
      </c>
      <c r="M4579">
        <f t="shared" si="289"/>
        <v>1</v>
      </c>
      <c r="N4579">
        <f t="shared" si="290"/>
        <v>0</v>
      </c>
      <c r="O4579" t="str">
        <f t="shared" si="291"/>
        <v>Proposta Ok</v>
      </c>
    </row>
    <row r="4580" spans="12:15" x14ac:dyDescent="0.25">
      <c r="L4580">
        <f t="shared" si="288"/>
        <v>0</v>
      </c>
      <c r="M4580">
        <f t="shared" si="289"/>
        <v>1</v>
      </c>
      <c r="N4580">
        <f t="shared" si="290"/>
        <v>0</v>
      </c>
      <c r="O4580" t="str">
        <f t="shared" si="291"/>
        <v>Proposta Ok</v>
      </c>
    </row>
    <row r="4581" spans="12:15" x14ac:dyDescent="0.25">
      <c r="L4581">
        <f t="shared" si="288"/>
        <v>0</v>
      </c>
      <c r="M4581">
        <f t="shared" si="289"/>
        <v>1</v>
      </c>
      <c r="N4581">
        <f t="shared" si="290"/>
        <v>0</v>
      </c>
      <c r="O4581" t="str">
        <f t="shared" si="291"/>
        <v>Proposta Ok</v>
      </c>
    </row>
    <row r="4582" spans="12:15" x14ac:dyDescent="0.25">
      <c r="L4582">
        <f t="shared" si="288"/>
        <v>0</v>
      </c>
      <c r="M4582">
        <f t="shared" si="289"/>
        <v>1</v>
      </c>
      <c r="N4582">
        <f t="shared" si="290"/>
        <v>0</v>
      </c>
      <c r="O4582" t="str">
        <f t="shared" si="291"/>
        <v>Proposta Ok</v>
      </c>
    </row>
    <row r="4583" spans="12:15" x14ac:dyDescent="0.25">
      <c r="L4583">
        <f t="shared" si="288"/>
        <v>0</v>
      </c>
      <c r="M4583">
        <f t="shared" si="289"/>
        <v>1</v>
      </c>
      <c r="N4583">
        <f t="shared" si="290"/>
        <v>0</v>
      </c>
      <c r="O4583" t="str">
        <f t="shared" si="291"/>
        <v>Proposta Ok</v>
      </c>
    </row>
    <row r="4584" spans="12:15" x14ac:dyDescent="0.25">
      <c r="L4584">
        <f t="shared" si="288"/>
        <v>0</v>
      </c>
      <c r="M4584">
        <f t="shared" si="289"/>
        <v>1</v>
      </c>
      <c r="N4584">
        <f t="shared" si="290"/>
        <v>0</v>
      </c>
      <c r="O4584" t="str">
        <f t="shared" si="291"/>
        <v>Proposta Ok</v>
      </c>
    </row>
    <row r="4585" spans="12:15" x14ac:dyDescent="0.25">
      <c r="L4585">
        <f t="shared" si="288"/>
        <v>0</v>
      </c>
      <c r="M4585">
        <f t="shared" si="289"/>
        <v>1</v>
      </c>
      <c r="N4585">
        <f t="shared" si="290"/>
        <v>0</v>
      </c>
      <c r="O4585" t="str">
        <f t="shared" si="291"/>
        <v>Proposta Ok</v>
      </c>
    </row>
    <row r="4586" spans="12:15" x14ac:dyDescent="0.25">
      <c r="L4586">
        <f t="shared" si="288"/>
        <v>0</v>
      </c>
      <c r="M4586">
        <f t="shared" si="289"/>
        <v>1</v>
      </c>
      <c r="N4586">
        <f t="shared" si="290"/>
        <v>0</v>
      </c>
      <c r="O4586" t="str">
        <f t="shared" si="291"/>
        <v>Proposta Ok</v>
      </c>
    </row>
    <row r="4587" spans="12:15" x14ac:dyDescent="0.25">
      <c r="L4587">
        <f t="shared" si="288"/>
        <v>0</v>
      </c>
      <c r="M4587">
        <f t="shared" si="289"/>
        <v>1</v>
      </c>
      <c r="N4587">
        <f t="shared" si="290"/>
        <v>0</v>
      </c>
      <c r="O4587" t="str">
        <f t="shared" si="291"/>
        <v>Proposta Ok</v>
      </c>
    </row>
    <row r="4588" spans="12:15" x14ac:dyDescent="0.25">
      <c r="L4588">
        <f t="shared" si="288"/>
        <v>0</v>
      </c>
      <c r="M4588">
        <f t="shared" si="289"/>
        <v>1</v>
      </c>
      <c r="N4588">
        <f t="shared" si="290"/>
        <v>0</v>
      </c>
      <c r="O4588" t="str">
        <f t="shared" si="291"/>
        <v>Proposta Ok</v>
      </c>
    </row>
    <row r="4589" spans="12:15" x14ac:dyDescent="0.25">
      <c r="L4589">
        <f t="shared" si="288"/>
        <v>0</v>
      </c>
      <c r="M4589">
        <f t="shared" si="289"/>
        <v>1</v>
      </c>
      <c r="N4589">
        <f t="shared" si="290"/>
        <v>0</v>
      </c>
      <c r="O4589" t="str">
        <f t="shared" si="291"/>
        <v>Proposta Ok</v>
      </c>
    </row>
    <row r="4590" spans="12:15" x14ac:dyDescent="0.25">
      <c r="L4590">
        <f t="shared" si="288"/>
        <v>0</v>
      </c>
      <c r="M4590">
        <f t="shared" si="289"/>
        <v>1</v>
      </c>
      <c r="N4590">
        <f t="shared" si="290"/>
        <v>0</v>
      </c>
      <c r="O4590" t="str">
        <f t="shared" si="291"/>
        <v>Proposta Ok</v>
      </c>
    </row>
    <row r="4591" spans="12:15" x14ac:dyDescent="0.25">
      <c r="L4591">
        <f t="shared" si="288"/>
        <v>0</v>
      </c>
      <c r="M4591">
        <f t="shared" si="289"/>
        <v>1</v>
      </c>
      <c r="N4591">
        <f t="shared" si="290"/>
        <v>0</v>
      </c>
      <c r="O4591" t="str">
        <f t="shared" si="291"/>
        <v>Proposta Ok</v>
      </c>
    </row>
    <row r="4592" spans="12:15" x14ac:dyDescent="0.25">
      <c r="L4592">
        <f t="shared" si="288"/>
        <v>0</v>
      </c>
      <c r="M4592">
        <f t="shared" si="289"/>
        <v>1</v>
      </c>
      <c r="N4592">
        <f t="shared" si="290"/>
        <v>0</v>
      </c>
      <c r="O4592" t="str">
        <f t="shared" si="291"/>
        <v>Proposta Ok</v>
      </c>
    </row>
    <row r="4593" spans="12:15" x14ac:dyDescent="0.25">
      <c r="L4593">
        <f t="shared" si="288"/>
        <v>0</v>
      </c>
      <c r="M4593">
        <f t="shared" si="289"/>
        <v>1</v>
      </c>
      <c r="N4593">
        <f t="shared" si="290"/>
        <v>0</v>
      </c>
      <c r="O4593" t="str">
        <f t="shared" si="291"/>
        <v>Proposta Ok</v>
      </c>
    </row>
    <row r="4594" spans="12:15" x14ac:dyDescent="0.25">
      <c r="L4594">
        <f t="shared" si="288"/>
        <v>0</v>
      </c>
      <c r="M4594">
        <f t="shared" si="289"/>
        <v>1</v>
      </c>
      <c r="N4594">
        <f t="shared" si="290"/>
        <v>0</v>
      </c>
      <c r="O4594" t="str">
        <f t="shared" si="291"/>
        <v>Proposta Ok</v>
      </c>
    </row>
    <row r="4595" spans="12:15" x14ac:dyDescent="0.25">
      <c r="L4595">
        <f t="shared" si="288"/>
        <v>0</v>
      </c>
      <c r="M4595">
        <f t="shared" si="289"/>
        <v>1</v>
      </c>
      <c r="N4595">
        <f t="shared" si="290"/>
        <v>0</v>
      </c>
      <c r="O4595" t="str">
        <f t="shared" si="291"/>
        <v>Proposta Ok</v>
      </c>
    </row>
    <row r="4596" spans="12:15" x14ac:dyDescent="0.25">
      <c r="L4596">
        <f t="shared" si="288"/>
        <v>0</v>
      </c>
      <c r="M4596">
        <f t="shared" si="289"/>
        <v>1</v>
      </c>
      <c r="N4596">
        <f t="shared" si="290"/>
        <v>0</v>
      </c>
      <c r="O4596" t="str">
        <f t="shared" si="291"/>
        <v>Proposta Ok</v>
      </c>
    </row>
    <row r="4597" spans="12:15" x14ac:dyDescent="0.25">
      <c r="L4597">
        <f t="shared" si="288"/>
        <v>0</v>
      </c>
      <c r="M4597">
        <f t="shared" si="289"/>
        <v>1</v>
      </c>
      <c r="N4597">
        <f t="shared" si="290"/>
        <v>0</v>
      </c>
      <c r="O4597" t="str">
        <f t="shared" si="291"/>
        <v>Proposta Ok</v>
      </c>
    </row>
    <row r="4598" spans="12:15" x14ac:dyDescent="0.25">
      <c r="L4598">
        <f t="shared" si="288"/>
        <v>0</v>
      </c>
      <c r="M4598">
        <f t="shared" si="289"/>
        <v>1</v>
      </c>
      <c r="N4598">
        <f t="shared" si="290"/>
        <v>0</v>
      </c>
      <c r="O4598" t="str">
        <f t="shared" si="291"/>
        <v>Proposta Ok</v>
      </c>
    </row>
    <row r="4599" spans="12:15" x14ac:dyDescent="0.25">
      <c r="L4599">
        <f t="shared" si="288"/>
        <v>0</v>
      </c>
      <c r="M4599">
        <f t="shared" si="289"/>
        <v>1</v>
      </c>
      <c r="N4599">
        <f t="shared" si="290"/>
        <v>0</v>
      </c>
      <c r="O4599" t="str">
        <f t="shared" si="291"/>
        <v>Proposta Ok</v>
      </c>
    </row>
    <row r="4600" spans="12:15" x14ac:dyDescent="0.25">
      <c r="L4600">
        <f t="shared" si="288"/>
        <v>0</v>
      </c>
      <c r="M4600">
        <f t="shared" si="289"/>
        <v>1</v>
      </c>
      <c r="N4600">
        <f t="shared" si="290"/>
        <v>0</v>
      </c>
      <c r="O4600" t="str">
        <f t="shared" si="291"/>
        <v>Proposta Ok</v>
      </c>
    </row>
    <row r="4601" spans="12:15" x14ac:dyDescent="0.25">
      <c r="L4601">
        <f t="shared" si="288"/>
        <v>0</v>
      </c>
      <c r="M4601">
        <f t="shared" si="289"/>
        <v>1</v>
      </c>
      <c r="N4601">
        <f t="shared" si="290"/>
        <v>0</v>
      </c>
      <c r="O4601" t="str">
        <f t="shared" si="291"/>
        <v>Proposta Ok</v>
      </c>
    </row>
    <row r="4602" spans="12:15" x14ac:dyDescent="0.25">
      <c r="L4602">
        <f t="shared" si="288"/>
        <v>0</v>
      </c>
      <c r="M4602">
        <f t="shared" si="289"/>
        <v>1</v>
      </c>
      <c r="N4602">
        <f t="shared" si="290"/>
        <v>0</v>
      </c>
      <c r="O4602" t="str">
        <f t="shared" si="291"/>
        <v>Proposta Ok</v>
      </c>
    </row>
    <row r="4603" spans="12:15" x14ac:dyDescent="0.25">
      <c r="L4603">
        <f t="shared" si="288"/>
        <v>0</v>
      </c>
      <c r="M4603">
        <f t="shared" si="289"/>
        <v>1</v>
      </c>
      <c r="N4603">
        <f t="shared" si="290"/>
        <v>0</v>
      </c>
      <c r="O4603" t="str">
        <f t="shared" si="291"/>
        <v>Proposta Ok</v>
      </c>
    </row>
    <row r="4604" spans="12:15" x14ac:dyDescent="0.25">
      <c r="L4604">
        <f t="shared" si="288"/>
        <v>0</v>
      </c>
      <c r="M4604">
        <f t="shared" si="289"/>
        <v>1</v>
      </c>
      <c r="N4604">
        <f t="shared" si="290"/>
        <v>0</v>
      </c>
      <c r="O4604" t="str">
        <f t="shared" si="291"/>
        <v>Proposta Ok</v>
      </c>
    </row>
    <row r="4605" spans="12:15" x14ac:dyDescent="0.25">
      <c r="L4605">
        <f t="shared" si="288"/>
        <v>0</v>
      </c>
      <c r="M4605">
        <f t="shared" si="289"/>
        <v>1</v>
      </c>
      <c r="N4605">
        <f t="shared" si="290"/>
        <v>0</v>
      </c>
      <c r="O4605" t="str">
        <f t="shared" si="291"/>
        <v>Proposta Ok</v>
      </c>
    </row>
    <row r="4606" spans="12:15" x14ac:dyDescent="0.25">
      <c r="L4606">
        <f t="shared" si="288"/>
        <v>0</v>
      </c>
      <c r="M4606">
        <f t="shared" si="289"/>
        <v>1</v>
      </c>
      <c r="N4606">
        <f t="shared" si="290"/>
        <v>0</v>
      </c>
      <c r="O4606" t="str">
        <f t="shared" si="291"/>
        <v>Proposta Ok</v>
      </c>
    </row>
    <row r="4607" spans="12:15" x14ac:dyDescent="0.25">
      <c r="L4607">
        <f t="shared" si="288"/>
        <v>0</v>
      </c>
      <c r="M4607">
        <f t="shared" si="289"/>
        <v>1</v>
      </c>
      <c r="N4607">
        <f t="shared" si="290"/>
        <v>0</v>
      </c>
      <c r="O4607" t="str">
        <f t="shared" si="291"/>
        <v>Proposta Ok</v>
      </c>
    </row>
    <row r="4608" spans="12:15" x14ac:dyDescent="0.25">
      <c r="L4608">
        <f t="shared" si="288"/>
        <v>0</v>
      </c>
      <c r="M4608">
        <f t="shared" si="289"/>
        <v>1</v>
      </c>
      <c r="N4608">
        <f t="shared" si="290"/>
        <v>0</v>
      </c>
      <c r="O4608" t="str">
        <f t="shared" si="291"/>
        <v>Proposta Ok</v>
      </c>
    </row>
    <row r="4609" spans="12:15" x14ac:dyDescent="0.25">
      <c r="L4609">
        <f t="shared" si="288"/>
        <v>0</v>
      </c>
      <c r="M4609">
        <f t="shared" si="289"/>
        <v>1</v>
      </c>
      <c r="N4609">
        <f t="shared" si="290"/>
        <v>0</v>
      </c>
      <c r="O4609" t="str">
        <f t="shared" si="291"/>
        <v>Proposta Ok</v>
      </c>
    </row>
    <row r="4610" spans="12:15" x14ac:dyDescent="0.25">
      <c r="L4610">
        <f t="shared" si="288"/>
        <v>0</v>
      </c>
      <c r="M4610">
        <f t="shared" si="289"/>
        <v>1</v>
      </c>
      <c r="N4610">
        <f t="shared" si="290"/>
        <v>0</v>
      </c>
      <c r="O4610" t="str">
        <f t="shared" si="291"/>
        <v>Proposta Ok</v>
      </c>
    </row>
    <row r="4611" spans="12:15" x14ac:dyDescent="0.25">
      <c r="L4611">
        <f t="shared" si="288"/>
        <v>0</v>
      </c>
      <c r="M4611">
        <f t="shared" si="289"/>
        <v>1</v>
      </c>
      <c r="N4611">
        <f t="shared" si="290"/>
        <v>0</v>
      </c>
      <c r="O4611" t="str">
        <f t="shared" si="291"/>
        <v>Proposta Ok</v>
      </c>
    </row>
    <row r="4612" spans="12:15" x14ac:dyDescent="0.25">
      <c r="L4612">
        <f t="shared" si="288"/>
        <v>0</v>
      </c>
      <c r="M4612">
        <f t="shared" si="289"/>
        <v>1</v>
      </c>
      <c r="N4612">
        <f t="shared" si="290"/>
        <v>0</v>
      </c>
      <c r="O4612" t="str">
        <f t="shared" si="291"/>
        <v>Proposta Ok</v>
      </c>
    </row>
    <row r="4613" spans="12:15" x14ac:dyDescent="0.25">
      <c r="L4613">
        <f t="shared" si="288"/>
        <v>0</v>
      </c>
      <c r="M4613">
        <f t="shared" si="289"/>
        <v>1</v>
      </c>
      <c r="N4613">
        <f t="shared" si="290"/>
        <v>0</v>
      </c>
      <c r="O4613" t="str">
        <f t="shared" si="291"/>
        <v>Proposta Ok</v>
      </c>
    </row>
    <row r="4614" spans="12:15" x14ac:dyDescent="0.25">
      <c r="L4614">
        <f t="shared" si="288"/>
        <v>0</v>
      </c>
      <c r="M4614">
        <f t="shared" si="289"/>
        <v>1</v>
      </c>
      <c r="N4614">
        <f t="shared" si="290"/>
        <v>0</v>
      </c>
      <c r="O4614" t="str">
        <f t="shared" si="291"/>
        <v>Proposta Ok</v>
      </c>
    </row>
    <row r="4615" spans="12:15" x14ac:dyDescent="0.25">
      <c r="L4615">
        <f t="shared" si="288"/>
        <v>0</v>
      </c>
      <c r="M4615">
        <f t="shared" si="289"/>
        <v>1</v>
      </c>
      <c r="N4615">
        <f t="shared" si="290"/>
        <v>0</v>
      </c>
      <c r="O4615" t="str">
        <f t="shared" si="291"/>
        <v>Proposta Ok</v>
      </c>
    </row>
    <row r="4616" spans="12:15" x14ac:dyDescent="0.25">
      <c r="L4616">
        <f t="shared" si="288"/>
        <v>0</v>
      </c>
      <c r="M4616">
        <f t="shared" si="289"/>
        <v>1</v>
      </c>
      <c r="N4616">
        <f t="shared" si="290"/>
        <v>0</v>
      </c>
      <c r="O4616" t="str">
        <f t="shared" si="291"/>
        <v>Proposta Ok</v>
      </c>
    </row>
    <row r="4617" spans="12:15" x14ac:dyDescent="0.25">
      <c r="L4617">
        <f t="shared" si="288"/>
        <v>0</v>
      </c>
      <c r="M4617">
        <f t="shared" si="289"/>
        <v>1</v>
      </c>
      <c r="N4617">
        <f t="shared" si="290"/>
        <v>0</v>
      </c>
      <c r="O4617" t="str">
        <f t="shared" si="291"/>
        <v>Proposta Ok</v>
      </c>
    </row>
    <row r="4618" spans="12:15" x14ac:dyDescent="0.25">
      <c r="L4618">
        <f t="shared" si="288"/>
        <v>0</v>
      </c>
      <c r="M4618">
        <f t="shared" si="289"/>
        <v>1</v>
      </c>
      <c r="N4618">
        <f t="shared" si="290"/>
        <v>0</v>
      </c>
      <c r="O4618" t="str">
        <f t="shared" si="291"/>
        <v>Proposta Ok</v>
      </c>
    </row>
    <row r="4619" spans="12:15" x14ac:dyDescent="0.25">
      <c r="L4619">
        <f t="shared" si="288"/>
        <v>0</v>
      </c>
      <c r="M4619">
        <f t="shared" si="289"/>
        <v>1</v>
      </c>
      <c r="N4619">
        <f t="shared" si="290"/>
        <v>0</v>
      </c>
      <c r="O4619" t="str">
        <f t="shared" si="291"/>
        <v>Proposta Ok</v>
      </c>
    </row>
    <row r="4620" spans="12:15" x14ac:dyDescent="0.25">
      <c r="L4620">
        <f t="shared" si="288"/>
        <v>0</v>
      </c>
      <c r="M4620">
        <f t="shared" si="289"/>
        <v>1</v>
      </c>
      <c r="N4620">
        <f t="shared" si="290"/>
        <v>0</v>
      </c>
      <c r="O4620" t="str">
        <f t="shared" si="291"/>
        <v>Proposta Ok</v>
      </c>
    </row>
    <row r="4621" spans="12:15" x14ac:dyDescent="0.25">
      <c r="L4621">
        <f t="shared" si="288"/>
        <v>0</v>
      </c>
      <c r="M4621">
        <f t="shared" si="289"/>
        <v>1</v>
      </c>
      <c r="N4621">
        <f t="shared" si="290"/>
        <v>0</v>
      </c>
      <c r="O4621" t="str">
        <f t="shared" si="291"/>
        <v>Proposta Ok</v>
      </c>
    </row>
    <row r="4622" spans="12:15" x14ac:dyDescent="0.25">
      <c r="L4622">
        <f t="shared" si="288"/>
        <v>0</v>
      </c>
      <c r="M4622">
        <f t="shared" si="289"/>
        <v>1</v>
      </c>
      <c r="N4622">
        <f t="shared" si="290"/>
        <v>0</v>
      </c>
      <c r="O4622" t="str">
        <f t="shared" si="291"/>
        <v>Proposta Ok</v>
      </c>
    </row>
    <row r="4623" spans="12:15" x14ac:dyDescent="0.25">
      <c r="L4623">
        <f t="shared" si="288"/>
        <v>0</v>
      </c>
      <c r="M4623">
        <f t="shared" si="289"/>
        <v>1</v>
      </c>
      <c r="N4623">
        <f t="shared" si="290"/>
        <v>0</v>
      </c>
      <c r="O4623" t="str">
        <f t="shared" si="291"/>
        <v>Proposta Ok</v>
      </c>
    </row>
    <row r="4624" spans="12:15" x14ac:dyDescent="0.25">
      <c r="L4624">
        <f t="shared" si="288"/>
        <v>0</v>
      </c>
      <c r="M4624">
        <f t="shared" si="289"/>
        <v>1</v>
      </c>
      <c r="N4624">
        <f t="shared" si="290"/>
        <v>0</v>
      </c>
      <c r="O4624" t="str">
        <f t="shared" si="291"/>
        <v>Proposta Ok</v>
      </c>
    </row>
    <row r="4625" spans="12:15" x14ac:dyDescent="0.25">
      <c r="L4625">
        <f t="shared" si="288"/>
        <v>0</v>
      </c>
      <c r="M4625">
        <f t="shared" si="289"/>
        <v>1</v>
      </c>
      <c r="N4625">
        <f t="shared" si="290"/>
        <v>0</v>
      </c>
      <c r="O4625" t="str">
        <f t="shared" si="291"/>
        <v>Proposta Ok</v>
      </c>
    </row>
    <row r="4626" spans="12:15" x14ac:dyDescent="0.25">
      <c r="L4626">
        <f t="shared" si="288"/>
        <v>0</v>
      </c>
      <c r="M4626">
        <f t="shared" si="289"/>
        <v>1</v>
      </c>
      <c r="N4626">
        <f t="shared" si="290"/>
        <v>0</v>
      </c>
      <c r="O4626" t="str">
        <f t="shared" si="291"/>
        <v>Proposta Ok</v>
      </c>
    </row>
    <row r="4627" spans="12:15" x14ac:dyDescent="0.25">
      <c r="L4627">
        <f t="shared" si="288"/>
        <v>0</v>
      </c>
      <c r="M4627">
        <f t="shared" si="289"/>
        <v>1</v>
      </c>
      <c r="N4627">
        <f t="shared" si="290"/>
        <v>0</v>
      </c>
      <c r="O4627" t="str">
        <f t="shared" si="291"/>
        <v>Proposta Ok</v>
      </c>
    </row>
    <row r="4628" spans="12:15" x14ac:dyDescent="0.25">
      <c r="L4628">
        <f t="shared" si="288"/>
        <v>0</v>
      </c>
      <c r="M4628">
        <f t="shared" si="289"/>
        <v>1</v>
      </c>
      <c r="N4628">
        <f t="shared" si="290"/>
        <v>0</v>
      </c>
      <c r="O4628" t="str">
        <f t="shared" si="291"/>
        <v>Proposta Ok</v>
      </c>
    </row>
    <row r="4629" spans="12:15" x14ac:dyDescent="0.25">
      <c r="L4629">
        <f t="shared" si="288"/>
        <v>0</v>
      </c>
      <c r="M4629">
        <f t="shared" si="289"/>
        <v>1</v>
      </c>
      <c r="N4629">
        <f t="shared" si="290"/>
        <v>0</v>
      </c>
      <c r="O4629" t="str">
        <f t="shared" si="291"/>
        <v>Proposta Ok</v>
      </c>
    </row>
    <row r="4630" spans="12:15" x14ac:dyDescent="0.25">
      <c r="L4630">
        <f t="shared" si="288"/>
        <v>0</v>
      </c>
      <c r="M4630">
        <f t="shared" si="289"/>
        <v>1</v>
      </c>
      <c r="N4630">
        <f t="shared" si="290"/>
        <v>0</v>
      </c>
      <c r="O4630" t="str">
        <f t="shared" si="291"/>
        <v>Proposta Ok</v>
      </c>
    </row>
    <row r="4631" spans="12:15" x14ac:dyDescent="0.25">
      <c r="L4631">
        <f t="shared" si="288"/>
        <v>0</v>
      </c>
      <c r="M4631">
        <f t="shared" si="289"/>
        <v>1</v>
      </c>
      <c r="N4631">
        <f t="shared" si="290"/>
        <v>0</v>
      </c>
      <c r="O4631" t="str">
        <f t="shared" si="291"/>
        <v>Proposta Ok</v>
      </c>
    </row>
    <row r="4632" spans="12:15" x14ac:dyDescent="0.25">
      <c r="L4632">
        <f t="shared" si="288"/>
        <v>0</v>
      </c>
      <c r="M4632">
        <f t="shared" si="289"/>
        <v>1</v>
      </c>
      <c r="N4632">
        <f t="shared" si="290"/>
        <v>0</v>
      </c>
      <c r="O4632" t="str">
        <f t="shared" si="291"/>
        <v>Proposta Ok</v>
      </c>
    </row>
    <row r="4633" spans="12:15" x14ac:dyDescent="0.25">
      <c r="L4633">
        <f t="shared" si="288"/>
        <v>0</v>
      </c>
      <c r="M4633">
        <f t="shared" si="289"/>
        <v>1</v>
      </c>
      <c r="N4633">
        <f t="shared" si="290"/>
        <v>0</v>
      </c>
      <c r="O4633" t="str">
        <f t="shared" si="291"/>
        <v>Proposta Ok</v>
      </c>
    </row>
    <row r="4634" spans="12:15" x14ac:dyDescent="0.25">
      <c r="L4634">
        <f t="shared" si="288"/>
        <v>0</v>
      </c>
      <c r="M4634">
        <f t="shared" si="289"/>
        <v>1</v>
      </c>
      <c r="N4634">
        <f t="shared" si="290"/>
        <v>0</v>
      </c>
      <c r="O4634" t="str">
        <f t="shared" si="291"/>
        <v>Proposta Ok</v>
      </c>
    </row>
    <row r="4635" spans="12:15" x14ac:dyDescent="0.25">
      <c r="L4635">
        <f t="shared" ref="L4635:L4698" si="292">IF(OR(I4635="Termo OK (Exceção)",I4635="Termo OK"),1,0)</f>
        <v>0</v>
      </c>
      <c r="M4635">
        <f t="shared" ref="M4635:M4698" si="293">IF(OR(I4635="Termo OK (Exceção)",I4635="Termo OK"),0,1)</f>
        <v>1</v>
      </c>
      <c r="N4635">
        <f t="shared" ref="N4635:N4698" si="294">IF(J4635="SIM",1,0)</f>
        <v>0</v>
      </c>
      <c r="O4635" t="str">
        <f t="shared" ref="O4635:O4698" si="295">IF(SUMIFS(M:M,A:A,A4635)&gt;0,"Proposta não Ok","Proposta Ok")</f>
        <v>Proposta Ok</v>
      </c>
    </row>
    <row r="4636" spans="12:15" x14ac:dyDescent="0.25">
      <c r="L4636">
        <f t="shared" si="292"/>
        <v>0</v>
      </c>
      <c r="M4636">
        <f t="shared" si="293"/>
        <v>1</v>
      </c>
      <c r="N4636">
        <f t="shared" si="294"/>
        <v>0</v>
      </c>
      <c r="O4636" t="str">
        <f t="shared" si="295"/>
        <v>Proposta Ok</v>
      </c>
    </row>
    <row r="4637" spans="12:15" x14ac:dyDescent="0.25">
      <c r="L4637">
        <f t="shared" si="292"/>
        <v>0</v>
      </c>
      <c r="M4637">
        <f t="shared" si="293"/>
        <v>1</v>
      </c>
      <c r="N4637">
        <f t="shared" si="294"/>
        <v>0</v>
      </c>
      <c r="O4637" t="str">
        <f t="shared" si="295"/>
        <v>Proposta Ok</v>
      </c>
    </row>
    <row r="4638" spans="12:15" x14ac:dyDescent="0.25">
      <c r="L4638">
        <f t="shared" si="292"/>
        <v>0</v>
      </c>
      <c r="M4638">
        <f t="shared" si="293"/>
        <v>1</v>
      </c>
      <c r="N4638">
        <f t="shared" si="294"/>
        <v>0</v>
      </c>
      <c r="O4638" t="str">
        <f t="shared" si="295"/>
        <v>Proposta Ok</v>
      </c>
    </row>
    <row r="4639" spans="12:15" x14ac:dyDescent="0.25">
      <c r="L4639">
        <f t="shared" si="292"/>
        <v>0</v>
      </c>
      <c r="M4639">
        <f t="shared" si="293"/>
        <v>1</v>
      </c>
      <c r="N4639">
        <f t="shared" si="294"/>
        <v>0</v>
      </c>
      <c r="O4639" t="str">
        <f t="shared" si="295"/>
        <v>Proposta Ok</v>
      </c>
    </row>
    <row r="4640" spans="12:15" x14ac:dyDescent="0.25">
      <c r="L4640">
        <f t="shared" si="292"/>
        <v>0</v>
      </c>
      <c r="M4640">
        <f t="shared" si="293"/>
        <v>1</v>
      </c>
      <c r="N4640">
        <f t="shared" si="294"/>
        <v>0</v>
      </c>
      <c r="O4640" t="str">
        <f t="shared" si="295"/>
        <v>Proposta Ok</v>
      </c>
    </row>
    <row r="4641" spans="12:15" x14ac:dyDescent="0.25">
      <c r="L4641">
        <f t="shared" si="292"/>
        <v>0</v>
      </c>
      <c r="M4641">
        <f t="shared" si="293"/>
        <v>1</v>
      </c>
      <c r="N4641">
        <f t="shared" si="294"/>
        <v>0</v>
      </c>
      <c r="O4641" t="str">
        <f t="shared" si="295"/>
        <v>Proposta Ok</v>
      </c>
    </row>
    <row r="4642" spans="12:15" x14ac:dyDescent="0.25">
      <c r="L4642">
        <f t="shared" si="292"/>
        <v>0</v>
      </c>
      <c r="M4642">
        <f t="shared" si="293"/>
        <v>1</v>
      </c>
      <c r="N4642">
        <f t="shared" si="294"/>
        <v>0</v>
      </c>
      <c r="O4642" t="str">
        <f t="shared" si="295"/>
        <v>Proposta Ok</v>
      </c>
    </row>
    <row r="4643" spans="12:15" x14ac:dyDescent="0.25">
      <c r="L4643">
        <f t="shared" si="292"/>
        <v>0</v>
      </c>
      <c r="M4643">
        <f t="shared" si="293"/>
        <v>1</v>
      </c>
      <c r="N4643">
        <f t="shared" si="294"/>
        <v>0</v>
      </c>
      <c r="O4643" t="str">
        <f t="shared" si="295"/>
        <v>Proposta Ok</v>
      </c>
    </row>
    <row r="4644" spans="12:15" x14ac:dyDescent="0.25">
      <c r="L4644">
        <f t="shared" si="292"/>
        <v>0</v>
      </c>
      <c r="M4644">
        <f t="shared" si="293"/>
        <v>1</v>
      </c>
      <c r="N4644">
        <f t="shared" si="294"/>
        <v>0</v>
      </c>
      <c r="O4644" t="str">
        <f t="shared" si="295"/>
        <v>Proposta Ok</v>
      </c>
    </row>
    <row r="4645" spans="12:15" x14ac:dyDescent="0.25">
      <c r="L4645">
        <f t="shared" si="292"/>
        <v>0</v>
      </c>
      <c r="M4645">
        <f t="shared" si="293"/>
        <v>1</v>
      </c>
      <c r="N4645">
        <f t="shared" si="294"/>
        <v>0</v>
      </c>
      <c r="O4645" t="str">
        <f t="shared" si="295"/>
        <v>Proposta Ok</v>
      </c>
    </row>
    <row r="4646" spans="12:15" x14ac:dyDescent="0.25">
      <c r="L4646">
        <f t="shared" si="292"/>
        <v>0</v>
      </c>
      <c r="M4646">
        <f t="shared" si="293"/>
        <v>1</v>
      </c>
      <c r="N4646">
        <f t="shared" si="294"/>
        <v>0</v>
      </c>
      <c r="O4646" t="str">
        <f t="shared" si="295"/>
        <v>Proposta Ok</v>
      </c>
    </row>
    <row r="4647" spans="12:15" x14ac:dyDescent="0.25">
      <c r="L4647">
        <f t="shared" si="292"/>
        <v>0</v>
      </c>
      <c r="M4647">
        <f t="shared" si="293"/>
        <v>1</v>
      </c>
      <c r="N4647">
        <f t="shared" si="294"/>
        <v>0</v>
      </c>
      <c r="O4647" t="str">
        <f t="shared" si="295"/>
        <v>Proposta Ok</v>
      </c>
    </row>
    <row r="4648" spans="12:15" x14ac:dyDescent="0.25">
      <c r="L4648">
        <f t="shared" si="292"/>
        <v>0</v>
      </c>
      <c r="M4648">
        <f t="shared" si="293"/>
        <v>1</v>
      </c>
      <c r="N4648">
        <f t="shared" si="294"/>
        <v>0</v>
      </c>
      <c r="O4648" t="str">
        <f t="shared" si="295"/>
        <v>Proposta Ok</v>
      </c>
    </row>
    <row r="4649" spans="12:15" x14ac:dyDescent="0.25">
      <c r="L4649">
        <f t="shared" si="292"/>
        <v>0</v>
      </c>
      <c r="M4649">
        <f t="shared" si="293"/>
        <v>1</v>
      </c>
      <c r="N4649">
        <f t="shared" si="294"/>
        <v>0</v>
      </c>
      <c r="O4649" t="str">
        <f t="shared" si="295"/>
        <v>Proposta Ok</v>
      </c>
    </row>
    <row r="4650" spans="12:15" x14ac:dyDescent="0.25">
      <c r="L4650">
        <f t="shared" si="292"/>
        <v>0</v>
      </c>
      <c r="M4650">
        <f t="shared" si="293"/>
        <v>1</v>
      </c>
      <c r="N4650">
        <f t="shared" si="294"/>
        <v>0</v>
      </c>
      <c r="O4650" t="str">
        <f t="shared" si="295"/>
        <v>Proposta Ok</v>
      </c>
    </row>
    <row r="4651" spans="12:15" x14ac:dyDescent="0.25">
      <c r="L4651">
        <f t="shared" si="292"/>
        <v>0</v>
      </c>
      <c r="M4651">
        <f t="shared" si="293"/>
        <v>1</v>
      </c>
      <c r="N4651">
        <f t="shared" si="294"/>
        <v>0</v>
      </c>
      <c r="O4651" t="str">
        <f t="shared" si="295"/>
        <v>Proposta Ok</v>
      </c>
    </row>
    <row r="4652" spans="12:15" x14ac:dyDescent="0.25">
      <c r="L4652">
        <f t="shared" si="292"/>
        <v>0</v>
      </c>
      <c r="M4652">
        <f t="shared" si="293"/>
        <v>1</v>
      </c>
      <c r="N4652">
        <f t="shared" si="294"/>
        <v>0</v>
      </c>
      <c r="O4652" t="str">
        <f t="shared" si="295"/>
        <v>Proposta Ok</v>
      </c>
    </row>
    <row r="4653" spans="12:15" x14ac:dyDescent="0.25">
      <c r="L4653">
        <f t="shared" si="292"/>
        <v>0</v>
      </c>
      <c r="M4653">
        <f t="shared" si="293"/>
        <v>1</v>
      </c>
      <c r="N4653">
        <f t="shared" si="294"/>
        <v>0</v>
      </c>
      <c r="O4653" t="str">
        <f t="shared" si="295"/>
        <v>Proposta Ok</v>
      </c>
    </row>
    <row r="4654" spans="12:15" x14ac:dyDescent="0.25">
      <c r="L4654">
        <f t="shared" si="292"/>
        <v>0</v>
      </c>
      <c r="M4654">
        <f t="shared" si="293"/>
        <v>1</v>
      </c>
      <c r="N4654">
        <f t="shared" si="294"/>
        <v>0</v>
      </c>
      <c r="O4654" t="str">
        <f t="shared" si="295"/>
        <v>Proposta Ok</v>
      </c>
    </row>
    <row r="4655" spans="12:15" x14ac:dyDescent="0.25">
      <c r="L4655">
        <f t="shared" si="292"/>
        <v>0</v>
      </c>
      <c r="M4655">
        <f t="shared" si="293"/>
        <v>1</v>
      </c>
      <c r="N4655">
        <f t="shared" si="294"/>
        <v>0</v>
      </c>
      <c r="O4655" t="str">
        <f t="shared" si="295"/>
        <v>Proposta Ok</v>
      </c>
    </row>
    <row r="4656" spans="12:15" x14ac:dyDescent="0.25">
      <c r="L4656">
        <f t="shared" si="292"/>
        <v>0</v>
      </c>
      <c r="M4656">
        <f t="shared" si="293"/>
        <v>1</v>
      </c>
      <c r="N4656">
        <f t="shared" si="294"/>
        <v>0</v>
      </c>
      <c r="O4656" t="str">
        <f t="shared" si="295"/>
        <v>Proposta Ok</v>
      </c>
    </row>
    <row r="4657" spans="12:15" x14ac:dyDescent="0.25">
      <c r="L4657">
        <f t="shared" si="292"/>
        <v>0</v>
      </c>
      <c r="M4657">
        <f t="shared" si="293"/>
        <v>1</v>
      </c>
      <c r="N4657">
        <f t="shared" si="294"/>
        <v>0</v>
      </c>
      <c r="O4657" t="str">
        <f t="shared" si="295"/>
        <v>Proposta Ok</v>
      </c>
    </row>
    <row r="4658" spans="12:15" x14ac:dyDescent="0.25">
      <c r="L4658">
        <f t="shared" si="292"/>
        <v>0</v>
      </c>
      <c r="M4658">
        <f t="shared" si="293"/>
        <v>1</v>
      </c>
      <c r="N4658">
        <f t="shared" si="294"/>
        <v>0</v>
      </c>
      <c r="O4658" t="str">
        <f t="shared" si="295"/>
        <v>Proposta Ok</v>
      </c>
    </row>
    <row r="4659" spans="12:15" x14ac:dyDescent="0.25">
      <c r="L4659">
        <f t="shared" si="292"/>
        <v>0</v>
      </c>
      <c r="M4659">
        <f t="shared" si="293"/>
        <v>1</v>
      </c>
      <c r="N4659">
        <f t="shared" si="294"/>
        <v>0</v>
      </c>
      <c r="O4659" t="str">
        <f t="shared" si="295"/>
        <v>Proposta Ok</v>
      </c>
    </row>
    <row r="4660" spans="12:15" x14ac:dyDescent="0.25">
      <c r="L4660">
        <f t="shared" si="292"/>
        <v>0</v>
      </c>
      <c r="M4660">
        <f t="shared" si="293"/>
        <v>1</v>
      </c>
      <c r="N4660">
        <f t="shared" si="294"/>
        <v>0</v>
      </c>
      <c r="O4660" t="str">
        <f t="shared" si="295"/>
        <v>Proposta Ok</v>
      </c>
    </row>
    <row r="4661" spans="12:15" x14ac:dyDescent="0.25">
      <c r="L4661">
        <f t="shared" si="292"/>
        <v>0</v>
      </c>
      <c r="M4661">
        <f t="shared" si="293"/>
        <v>1</v>
      </c>
      <c r="N4661">
        <f t="shared" si="294"/>
        <v>0</v>
      </c>
      <c r="O4661" t="str">
        <f t="shared" si="295"/>
        <v>Proposta Ok</v>
      </c>
    </row>
    <row r="4662" spans="12:15" x14ac:dyDescent="0.25">
      <c r="L4662">
        <f t="shared" si="292"/>
        <v>0</v>
      </c>
      <c r="M4662">
        <f t="shared" si="293"/>
        <v>1</v>
      </c>
      <c r="N4662">
        <f t="shared" si="294"/>
        <v>0</v>
      </c>
      <c r="O4662" t="str">
        <f t="shared" si="295"/>
        <v>Proposta Ok</v>
      </c>
    </row>
    <row r="4663" spans="12:15" x14ac:dyDescent="0.25">
      <c r="L4663">
        <f t="shared" si="292"/>
        <v>0</v>
      </c>
      <c r="M4663">
        <f t="shared" si="293"/>
        <v>1</v>
      </c>
      <c r="N4663">
        <f t="shared" si="294"/>
        <v>0</v>
      </c>
      <c r="O4663" t="str">
        <f t="shared" si="295"/>
        <v>Proposta Ok</v>
      </c>
    </row>
    <row r="4664" spans="12:15" x14ac:dyDescent="0.25">
      <c r="L4664">
        <f t="shared" si="292"/>
        <v>0</v>
      </c>
      <c r="M4664">
        <f t="shared" si="293"/>
        <v>1</v>
      </c>
      <c r="N4664">
        <f t="shared" si="294"/>
        <v>0</v>
      </c>
      <c r="O4664" t="str">
        <f t="shared" si="295"/>
        <v>Proposta Ok</v>
      </c>
    </row>
    <row r="4665" spans="12:15" x14ac:dyDescent="0.25">
      <c r="L4665">
        <f t="shared" si="292"/>
        <v>0</v>
      </c>
      <c r="M4665">
        <f t="shared" si="293"/>
        <v>1</v>
      </c>
      <c r="N4665">
        <f t="shared" si="294"/>
        <v>0</v>
      </c>
      <c r="O4665" t="str">
        <f t="shared" si="295"/>
        <v>Proposta Ok</v>
      </c>
    </row>
    <row r="4666" spans="12:15" x14ac:dyDescent="0.25">
      <c r="L4666">
        <f t="shared" si="292"/>
        <v>0</v>
      </c>
      <c r="M4666">
        <f t="shared" si="293"/>
        <v>1</v>
      </c>
      <c r="N4666">
        <f t="shared" si="294"/>
        <v>0</v>
      </c>
      <c r="O4666" t="str">
        <f t="shared" si="295"/>
        <v>Proposta Ok</v>
      </c>
    </row>
    <row r="4667" spans="12:15" x14ac:dyDescent="0.25">
      <c r="L4667">
        <f t="shared" si="292"/>
        <v>0</v>
      </c>
      <c r="M4667">
        <f t="shared" si="293"/>
        <v>1</v>
      </c>
      <c r="N4667">
        <f t="shared" si="294"/>
        <v>0</v>
      </c>
      <c r="O4667" t="str">
        <f t="shared" si="295"/>
        <v>Proposta Ok</v>
      </c>
    </row>
    <row r="4668" spans="12:15" x14ac:dyDescent="0.25">
      <c r="L4668">
        <f t="shared" si="292"/>
        <v>0</v>
      </c>
      <c r="M4668">
        <f t="shared" si="293"/>
        <v>1</v>
      </c>
      <c r="N4668">
        <f t="shared" si="294"/>
        <v>0</v>
      </c>
      <c r="O4668" t="str">
        <f t="shared" si="295"/>
        <v>Proposta Ok</v>
      </c>
    </row>
    <row r="4669" spans="12:15" x14ac:dyDescent="0.25">
      <c r="L4669">
        <f t="shared" si="292"/>
        <v>0</v>
      </c>
      <c r="M4669">
        <f t="shared" si="293"/>
        <v>1</v>
      </c>
      <c r="N4669">
        <f t="shared" si="294"/>
        <v>0</v>
      </c>
      <c r="O4669" t="str">
        <f t="shared" si="295"/>
        <v>Proposta Ok</v>
      </c>
    </row>
    <row r="4670" spans="12:15" x14ac:dyDescent="0.25">
      <c r="L4670">
        <f t="shared" si="292"/>
        <v>0</v>
      </c>
      <c r="M4670">
        <f t="shared" si="293"/>
        <v>1</v>
      </c>
      <c r="N4670">
        <f t="shared" si="294"/>
        <v>0</v>
      </c>
      <c r="O4670" t="str">
        <f t="shared" si="295"/>
        <v>Proposta Ok</v>
      </c>
    </row>
    <row r="4671" spans="12:15" x14ac:dyDescent="0.25">
      <c r="L4671">
        <f t="shared" si="292"/>
        <v>0</v>
      </c>
      <c r="M4671">
        <f t="shared" si="293"/>
        <v>1</v>
      </c>
      <c r="N4671">
        <f t="shared" si="294"/>
        <v>0</v>
      </c>
      <c r="O4671" t="str">
        <f t="shared" si="295"/>
        <v>Proposta Ok</v>
      </c>
    </row>
    <row r="4672" spans="12:15" x14ac:dyDescent="0.25">
      <c r="L4672">
        <f t="shared" si="292"/>
        <v>0</v>
      </c>
      <c r="M4672">
        <f t="shared" si="293"/>
        <v>1</v>
      </c>
      <c r="N4672">
        <f t="shared" si="294"/>
        <v>0</v>
      </c>
      <c r="O4672" t="str">
        <f t="shared" si="295"/>
        <v>Proposta Ok</v>
      </c>
    </row>
    <row r="4673" spans="12:15" x14ac:dyDescent="0.25">
      <c r="L4673">
        <f t="shared" si="292"/>
        <v>0</v>
      </c>
      <c r="M4673">
        <f t="shared" si="293"/>
        <v>1</v>
      </c>
      <c r="N4673">
        <f t="shared" si="294"/>
        <v>0</v>
      </c>
      <c r="O4673" t="str">
        <f t="shared" si="295"/>
        <v>Proposta Ok</v>
      </c>
    </row>
    <row r="4674" spans="12:15" x14ac:dyDescent="0.25">
      <c r="L4674">
        <f t="shared" si="292"/>
        <v>0</v>
      </c>
      <c r="M4674">
        <f t="shared" si="293"/>
        <v>1</v>
      </c>
      <c r="N4674">
        <f t="shared" si="294"/>
        <v>0</v>
      </c>
      <c r="O4674" t="str">
        <f t="shared" si="295"/>
        <v>Proposta Ok</v>
      </c>
    </row>
    <row r="4675" spans="12:15" x14ac:dyDescent="0.25">
      <c r="L4675">
        <f t="shared" si="292"/>
        <v>0</v>
      </c>
      <c r="M4675">
        <f t="shared" si="293"/>
        <v>1</v>
      </c>
      <c r="N4675">
        <f t="shared" si="294"/>
        <v>0</v>
      </c>
      <c r="O4675" t="str">
        <f t="shared" si="295"/>
        <v>Proposta Ok</v>
      </c>
    </row>
    <row r="4676" spans="12:15" x14ac:dyDescent="0.25">
      <c r="L4676">
        <f t="shared" si="292"/>
        <v>0</v>
      </c>
      <c r="M4676">
        <f t="shared" si="293"/>
        <v>1</v>
      </c>
      <c r="N4676">
        <f t="shared" si="294"/>
        <v>0</v>
      </c>
      <c r="O4676" t="str">
        <f t="shared" si="295"/>
        <v>Proposta Ok</v>
      </c>
    </row>
    <row r="4677" spans="12:15" x14ac:dyDescent="0.25">
      <c r="L4677">
        <f t="shared" si="292"/>
        <v>0</v>
      </c>
      <c r="M4677">
        <f t="shared" si="293"/>
        <v>1</v>
      </c>
      <c r="N4677">
        <f t="shared" si="294"/>
        <v>0</v>
      </c>
      <c r="O4677" t="str">
        <f t="shared" si="295"/>
        <v>Proposta Ok</v>
      </c>
    </row>
    <row r="4678" spans="12:15" x14ac:dyDescent="0.25">
      <c r="L4678">
        <f t="shared" si="292"/>
        <v>0</v>
      </c>
      <c r="M4678">
        <f t="shared" si="293"/>
        <v>1</v>
      </c>
      <c r="N4678">
        <f t="shared" si="294"/>
        <v>0</v>
      </c>
      <c r="O4678" t="str">
        <f t="shared" si="295"/>
        <v>Proposta Ok</v>
      </c>
    </row>
    <row r="4679" spans="12:15" x14ac:dyDescent="0.25">
      <c r="L4679">
        <f t="shared" si="292"/>
        <v>0</v>
      </c>
      <c r="M4679">
        <f t="shared" si="293"/>
        <v>1</v>
      </c>
      <c r="N4679">
        <f t="shared" si="294"/>
        <v>0</v>
      </c>
      <c r="O4679" t="str">
        <f t="shared" si="295"/>
        <v>Proposta Ok</v>
      </c>
    </row>
    <row r="4680" spans="12:15" x14ac:dyDescent="0.25">
      <c r="L4680">
        <f t="shared" si="292"/>
        <v>0</v>
      </c>
      <c r="M4680">
        <f t="shared" si="293"/>
        <v>1</v>
      </c>
      <c r="N4680">
        <f t="shared" si="294"/>
        <v>0</v>
      </c>
      <c r="O4680" t="str">
        <f t="shared" si="295"/>
        <v>Proposta Ok</v>
      </c>
    </row>
    <row r="4681" spans="12:15" x14ac:dyDescent="0.25">
      <c r="L4681">
        <f t="shared" si="292"/>
        <v>0</v>
      </c>
      <c r="M4681">
        <f t="shared" si="293"/>
        <v>1</v>
      </c>
      <c r="N4681">
        <f t="shared" si="294"/>
        <v>0</v>
      </c>
      <c r="O4681" t="str">
        <f t="shared" si="295"/>
        <v>Proposta Ok</v>
      </c>
    </row>
    <row r="4682" spans="12:15" x14ac:dyDescent="0.25">
      <c r="L4682">
        <f t="shared" si="292"/>
        <v>0</v>
      </c>
      <c r="M4682">
        <f t="shared" si="293"/>
        <v>1</v>
      </c>
      <c r="N4682">
        <f t="shared" si="294"/>
        <v>0</v>
      </c>
      <c r="O4682" t="str">
        <f t="shared" si="295"/>
        <v>Proposta Ok</v>
      </c>
    </row>
    <row r="4683" spans="12:15" x14ac:dyDescent="0.25">
      <c r="L4683">
        <f t="shared" si="292"/>
        <v>0</v>
      </c>
      <c r="M4683">
        <f t="shared" si="293"/>
        <v>1</v>
      </c>
      <c r="N4683">
        <f t="shared" si="294"/>
        <v>0</v>
      </c>
      <c r="O4683" t="str">
        <f t="shared" si="295"/>
        <v>Proposta Ok</v>
      </c>
    </row>
    <row r="4684" spans="12:15" x14ac:dyDescent="0.25">
      <c r="L4684">
        <f t="shared" si="292"/>
        <v>0</v>
      </c>
      <c r="M4684">
        <f t="shared" si="293"/>
        <v>1</v>
      </c>
      <c r="N4684">
        <f t="shared" si="294"/>
        <v>0</v>
      </c>
      <c r="O4684" t="str">
        <f t="shared" si="295"/>
        <v>Proposta Ok</v>
      </c>
    </row>
    <row r="4685" spans="12:15" x14ac:dyDescent="0.25">
      <c r="L4685">
        <f t="shared" si="292"/>
        <v>0</v>
      </c>
      <c r="M4685">
        <f t="shared" si="293"/>
        <v>1</v>
      </c>
      <c r="N4685">
        <f t="shared" si="294"/>
        <v>0</v>
      </c>
      <c r="O4685" t="str">
        <f t="shared" si="295"/>
        <v>Proposta Ok</v>
      </c>
    </row>
    <row r="4686" spans="12:15" x14ac:dyDescent="0.25">
      <c r="L4686">
        <f t="shared" si="292"/>
        <v>0</v>
      </c>
      <c r="M4686">
        <f t="shared" si="293"/>
        <v>1</v>
      </c>
      <c r="N4686">
        <f t="shared" si="294"/>
        <v>0</v>
      </c>
      <c r="O4686" t="str">
        <f t="shared" si="295"/>
        <v>Proposta Ok</v>
      </c>
    </row>
    <row r="4687" spans="12:15" x14ac:dyDescent="0.25">
      <c r="L4687">
        <f t="shared" si="292"/>
        <v>0</v>
      </c>
      <c r="M4687">
        <f t="shared" si="293"/>
        <v>1</v>
      </c>
      <c r="N4687">
        <f t="shared" si="294"/>
        <v>0</v>
      </c>
      <c r="O4687" t="str">
        <f t="shared" si="295"/>
        <v>Proposta Ok</v>
      </c>
    </row>
    <row r="4688" spans="12:15" x14ac:dyDescent="0.25">
      <c r="L4688">
        <f t="shared" si="292"/>
        <v>0</v>
      </c>
      <c r="M4688">
        <f t="shared" si="293"/>
        <v>1</v>
      </c>
      <c r="N4688">
        <f t="shared" si="294"/>
        <v>0</v>
      </c>
      <c r="O4688" t="str">
        <f t="shared" si="295"/>
        <v>Proposta Ok</v>
      </c>
    </row>
    <row r="4689" spans="12:15" x14ac:dyDescent="0.25">
      <c r="L4689">
        <f t="shared" si="292"/>
        <v>0</v>
      </c>
      <c r="M4689">
        <f t="shared" si="293"/>
        <v>1</v>
      </c>
      <c r="N4689">
        <f t="shared" si="294"/>
        <v>0</v>
      </c>
      <c r="O4689" t="str">
        <f t="shared" si="295"/>
        <v>Proposta Ok</v>
      </c>
    </row>
    <row r="4690" spans="12:15" x14ac:dyDescent="0.25">
      <c r="L4690">
        <f t="shared" si="292"/>
        <v>0</v>
      </c>
      <c r="M4690">
        <f t="shared" si="293"/>
        <v>1</v>
      </c>
      <c r="N4690">
        <f t="shared" si="294"/>
        <v>0</v>
      </c>
      <c r="O4690" t="str">
        <f t="shared" si="295"/>
        <v>Proposta Ok</v>
      </c>
    </row>
    <row r="4691" spans="12:15" x14ac:dyDescent="0.25">
      <c r="L4691">
        <f t="shared" si="292"/>
        <v>0</v>
      </c>
      <c r="M4691">
        <f t="shared" si="293"/>
        <v>1</v>
      </c>
      <c r="N4691">
        <f t="shared" si="294"/>
        <v>0</v>
      </c>
      <c r="O4691" t="str">
        <f t="shared" si="295"/>
        <v>Proposta Ok</v>
      </c>
    </row>
    <row r="4692" spans="12:15" x14ac:dyDescent="0.25">
      <c r="L4692">
        <f t="shared" si="292"/>
        <v>0</v>
      </c>
      <c r="M4692">
        <f t="shared" si="293"/>
        <v>1</v>
      </c>
      <c r="N4692">
        <f t="shared" si="294"/>
        <v>0</v>
      </c>
      <c r="O4692" t="str">
        <f t="shared" si="295"/>
        <v>Proposta Ok</v>
      </c>
    </row>
    <row r="4693" spans="12:15" x14ac:dyDescent="0.25">
      <c r="L4693">
        <f t="shared" si="292"/>
        <v>0</v>
      </c>
      <c r="M4693">
        <f t="shared" si="293"/>
        <v>1</v>
      </c>
      <c r="N4693">
        <f t="shared" si="294"/>
        <v>0</v>
      </c>
      <c r="O4693" t="str">
        <f t="shared" si="295"/>
        <v>Proposta Ok</v>
      </c>
    </row>
    <row r="4694" spans="12:15" x14ac:dyDescent="0.25">
      <c r="L4694">
        <f t="shared" si="292"/>
        <v>0</v>
      </c>
      <c r="M4694">
        <f t="shared" si="293"/>
        <v>1</v>
      </c>
      <c r="N4694">
        <f t="shared" si="294"/>
        <v>0</v>
      </c>
      <c r="O4694" t="str">
        <f t="shared" si="295"/>
        <v>Proposta Ok</v>
      </c>
    </row>
    <row r="4695" spans="12:15" x14ac:dyDescent="0.25">
      <c r="L4695">
        <f t="shared" si="292"/>
        <v>0</v>
      </c>
      <c r="M4695">
        <f t="shared" si="293"/>
        <v>1</v>
      </c>
      <c r="N4695">
        <f t="shared" si="294"/>
        <v>0</v>
      </c>
      <c r="O4695" t="str">
        <f t="shared" si="295"/>
        <v>Proposta Ok</v>
      </c>
    </row>
    <row r="4696" spans="12:15" x14ac:dyDescent="0.25">
      <c r="L4696">
        <f t="shared" si="292"/>
        <v>0</v>
      </c>
      <c r="M4696">
        <f t="shared" si="293"/>
        <v>1</v>
      </c>
      <c r="N4696">
        <f t="shared" si="294"/>
        <v>0</v>
      </c>
      <c r="O4696" t="str">
        <f t="shared" si="295"/>
        <v>Proposta Ok</v>
      </c>
    </row>
    <row r="4697" spans="12:15" x14ac:dyDescent="0.25">
      <c r="L4697">
        <f t="shared" si="292"/>
        <v>0</v>
      </c>
      <c r="M4697">
        <f t="shared" si="293"/>
        <v>1</v>
      </c>
      <c r="N4697">
        <f t="shared" si="294"/>
        <v>0</v>
      </c>
      <c r="O4697" t="str">
        <f t="shared" si="295"/>
        <v>Proposta Ok</v>
      </c>
    </row>
    <row r="4698" spans="12:15" x14ac:dyDescent="0.25">
      <c r="L4698">
        <f t="shared" si="292"/>
        <v>0</v>
      </c>
      <c r="M4698">
        <f t="shared" si="293"/>
        <v>1</v>
      </c>
      <c r="N4698">
        <f t="shared" si="294"/>
        <v>0</v>
      </c>
      <c r="O4698" t="str">
        <f t="shared" si="295"/>
        <v>Proposta Ok</v>
      </c>
    </row>
    <row r="4699" spans="12:15" x14ac:dyDescent="0.25">
      <c r="L4699">
        <f t="shared" ref="L4699:L4762" si="296">IF(OR(I4699="Termo OK (Exceção)",I4699="Termo OK"),1,0)</f>
        <v>0</v>
      </c>
      <c r="M4699">
        <f t="shared" ref="M4699:M4762" si="297">IF(OR(I4699="Termo OK (Exceção)",I4699="Termo OK"),0,1)</f>
        <v>1</v>
      </c>
      <c r="N4699">
        <f t="shared" ref="N4699:N4762" si="298">IF(J4699="SIM",1,0)</f>
        <v>0</v>
      </c>
      <c r="O4699" t="str">
        <f t="shared" ref="O4699:O4762" si="299">IF(SUMIFS(M:M,A:A,A4699)&gt;0,"Proposta não Ok","Proposta Ok")</f>
        <v>Proposta Ok</v>
      </c>
    </row>
    <row r="4700" spans="12:15" x14ac:dyDescent="0.25">
      <c r="L4700">
        <f t="shared" si="296"/>
        <v>0</v>
      </c>
      <c r="M4700">
        <f t="shared" si="297"/>
        <v>1</v>
      </c>
      <c r="N4700">
        <f t="shared" si="298"/>
        <v>0</v>
      </c>
      <c r="O4700" t="str">
        <f t="shared" si="299"/>
        <v>Proposta Ok</v>
      </c>
    </row>
    <row r="4701" spans="12:15" x14ac:dyDescent="0.25">
      <c r="L4701">
        <f t="shared" si="296"/>
        <v>0</v>
      </c>
      <c r="M4701">
        <f t="shared" si="297"/>
        <v>1</v>
      </c>
      <c r="N4701">
        <f t="shared" si="298"/>
        <v>0</v>
      </c>
      <c r="O4701" t="str">
        <f t="shared" si="299"/>
        <v>Proposta Ok</v>
      </c>
    </row>
    <row r="4702" spans="12:15" x14ac:dyDescent="0.25">
      <c r="L4702">
        <f t="shared" si="296"/>
        <v>0</v>
      </c>
      <c r="M4702">
        <f t="shared" si="297"/>
        <v>1</v>
      </c>
      <c r="N4702">
        <f t="shared" si="298"/>
        <v>0</v>
      </c>
      <c r="O4702" t="str">
        <f t="shared" si="299"/>
        <v>Proposta Ok</v>
      </c>
    </row>
    <row r="4703" spans="12:15" x14ac:dyDescent="0.25">
      <c r="L4703">
        <f t="shared" si="296"/>
        <v>0</v>
      </c>
      <c r="M4703">
        <f t="shared" si="297"/>
        <v>1</v>
      </c>
      <c r="N4703">
        <f t="shared" si="298"/>
        <v>0</v>
      </c>
      <c r="O4703" t="str">
        <f t="shared" si="299"/>
        <v>Proposta Ok</v>
      </c>
    </row>
    <row r="4704" spans="12:15" x14ac:dyDescent="0.25">
      <c r="L4704">
        <f t="shared" si="296"/>
        <v>0</v>
      </c>
      <c r="M4704">
        <f t="shared" si="297"/>
        <v>1</v>
      </c>
      <c r="N4704">
        <f t="shared" si="298"/>
        <v>0</v>
      </c>
      <c r="O4704" t="str">
        <f t="shared" si="299"/>
        <v>Proposta Ok</v>
      </c>
    </row>
    <row r="4705" spans="12:15" x14ac:dyDescent="0.25">
      <c r="L4705">
        <f t="shared" si="296"/>
        <v>0</v>
      </c>
      <c r="M4705">
        <f t="shared" si="297"/>
        <v>1</v>
      </c>
      <c r="N4705">
        <f t="shared" si="298"/>
        <v>0</v>
      </c>
      <c r="O4705" t="str">
        <f t="shared" si="299"/>
        <v>Proposta Ok</v>
      </c>
    </row>
    <row r="4706" spans="12:15" x14ac:dyDescent="0.25">
      <c r="L4706">
        <f t="shared" si="296"/>
        <v>0</v>
      </c>
      <c r="M4706">
        <f t="shared" si="297"/>
        <v>1</v>
      </c>
      <c r="N4706">
        <f t="shared" si="298"/>
        <v>0</v>
      </c>
      <c r="O4706" t="str">
        <f t="shared" si="299"/>
        <v>Proposta Ok</v>
      </c>
    </row>
    <row r="4707" spans="12:15" x14ac:dyDescent="0.25">
      <c r="L4707">
        <f t="shared" si="296"/>
        <v>0</v>
      </c>
      <c r="M4707">
        <f t="shared" si="297"/>
        <v>1</v>
      </c>
      <c r="N4707">
        <f t="shared" si="298"/>
        <v>0</v>
      </c>
      <c r="O4707" t="str">
        <f t="shared" si="299"/>
        <v>Proposta Ok</v>
      </c>
    </row>
    <row r="4708" spans="12:15" x14ac:dyDescent="0.25">
      <c r="L4708">
        <f t="shared" si="296"/>
        <v>0</v>
      </c>
      <c r="M4708">
        <f t="shared" si="297"/>
        <v>1</v>
      </c>
      <c r="N4708">
        <f t="shared" si="298"/>
        <v>0</v>
      </c>
      <c r="O4708" t="str">
        <f t="shared" si="299"/>
        <v>Proposta Ok</v>
      </c>
    </row>
    <row r="4709" spans="12:15" x14ac:dyDescent="0.25">
      <c r="L4709">
        <f t="shared" si="296"/>
        <v>0</v>
      </c>
      <c r="M4709">
        <f t="shared" si="297"/>
        <v>1</v>
      </c>
      <c r="N4709">
        <f t="shared" si="298"/>
        <v>0</v>
      </c>
      <c r="O4709" t="str">
        <f t="shared" si="299"/>
        <v>Proposta Ok</v>
      </c>
    </row>
    <row r="4710" spans="12:15" x14ac:dyDescent="0.25">
      <c r="L4710">
        <f t="shared" si="296"/>
        <v>0</v>
      </c>
      <c r="M4710">
        <f t="shared" si="297"/>
        <v>1</v>
      </c>
      <c r="N4710">
        <f t="shared" si="298"/>
        <v>0</v>
      </c>
      <c r="O4710" t="str">
        <f t="shared" si="299"/>
        <v>Proposta Ok</v>
      </c>
    </row>
    <row r="4711" spans="12:15" x14ac:dyDescent="0.25">
      <c r="L4711">
        <f t="shared" si="296"/>
        <v>0</v>
      </c>
      <c r="M4711">
        <f t="shared" si="297"/>
        <v>1</v>
      </c>
      <c r="N4711">
        <f t="shared" si="298"/>
        <v>0</v>
      </c>
      <c r="O4711" t="str">
        <f t="shared" si="299"/>
        <v>Proposta Ok</v>
      </c>
    </row>
    <row r="4712" spans="12:15" x14ac:dyDescent="0.25">
      <c r="L4712">
        <f t="shared" si="296"/>
        <v>0</v>
      </c>
      <c r="M4712">
        <f t="shared" si="297"/>
        <v>1</v>
      </c>
      <c r="N4712">
        <f t="shared" si="298"/>
        <v>0</v>
      </c>
      <c r="O4712" t="str">
        <f t="shared" si="299"/>
        <v>Proposta Ok</v>
      </c>
    </row>
    <row r="4713" spans="12:15" x14ac:dyDescent="0.25">
      <c r="L4713">
        <f t="shared" si="296"/>
        <v>0</v>
      </c>
      <c r="M4713">
        <f t="shared" si="297"/>
        <v>1</v>
      </c>
      <c r="N4713">
        <f t="shared" si="298"/>
        <v>0</v>
      </c>
      <c r="O4713" t="str">
        <f t="shared" si="299"/>
        <v>Proposta Ok</v>
      </c>
    </row>
    <row r="4714" spans="12:15" x14ac:dyDescent="0.25">
      <c r="L4714">
        <f t="shared" si="296"/>
        <v>0</v>
      </c>
      <c r="M4714">
        <f t="shared" si="297"/>
        <v>1</v>
      </c>
      <c r="N4714">
        <f t="shared" si="298"/>
        <v>0</v>
      </c>
      <c r="O4714" t="str">
        <f t="shared" si="299"/>
        <v>Proposta Ok</v>
      </c>
    </row>
    <row r="4715" spans="12:15" x14ac:dyDescent="0.25">
      <c r="L4715">
        <f t="shared" si="296"/>
        <v>0</v>
      </c>
      <c r="M4715">
        <f t="shared" si="297"/>
        <v>1</v>
      </c>
      <c r="N4715">
        <f t="shared" si="298"/>
        <v>0</v>
      </c>
      <c r="O4715" t="str">
        <f t="shared" si="299"/>
        <v>Proposta Ok</v>
      </c>
    </row>
    <row r="4716" spans="12:15" x14ac:dyDescent="0.25">
      <c r="L4716">
        <f t="shared" si="296"/>
        <v>0</v>
      </c>
      <c r="M4716">
        <f t="shared" si="297"/>
        <v>1</v>
      </c>
      <c r="N4716">
        <f t="shared" si="298"/>
        <v>0</v>
      </c>
      <c r="O4716" t="str">
        <f t="shared" si="299"/>
        <v>Proposta Ok</v>
      </c>
    </row>
    <row r="4717" spans="12:15" x14ac:dyDescent="0.25">
      <c r="L4717">
        <f t="shared" si="296"/>
        <v>0</v>
      </c>
      <c r="M4717">
        <f t="shared" si="297"/>
        <v>1</v>
      </c>
      <c r="N4717">
        <f t="shared" si="298"/>
        <v>0</v>
      </c>
      <c r="O4717" t="str">
        <f t="shared" si="299"/>
        <v>Proposta Ok</v>
      </c>
    </row>
    <row r="4718" spans="12:15" x14ac:dyDescent="0.25">
      <c r="L4718">
        <f t="shared" si="296"/>
        <v>0</v>
      </c>
      <c r="M4718">
        <f t="shared" si="297"/>
        <v>1</v>
      </c>
      <c r="N4718">
        <f t="shared" si="298"/>
        <v>0</v>
      </c>
      <c r="O4718" t="str">
        <f t="shared" si="299"/>
        <v>Proposta Ok</v>
      </c>
    </row>
    <row r="4719" spans="12:15" x14ac:dyDescent="0.25">
      <c r="L4719">
        <f t="shared" si="296"/>
        <v>0</v>
      </c>
      <c r="M4719">
        <f t="shared" si="297"/>
        <v>1</v>
      </c>
      <c r="N4719">
        <f t="shared" si="298"/>
        <v>0</v>
      </c>
      <c r="O4719" t="str">
        <f t="shared" si="299"/>
        <v>Proposta Ok</v>
      </c>
    </row>
    <row r="4720" spans="12:15" x14ac:dyDescent="0.25">
      <c r="L4720">
        <f t="shared" si="296"/>
        <v>0</v>
      </c>
      <c r="M4720">
        <f t="shared" si="297"/>
        <v>1</v>
      </c>
      <c r="N4720">
        <f t="shared" si="298"/>
        <v>0</v>
      </c>
      <c r="O4720" t="str">
        <f t="shared" si="299"/>
        <v>Proposta Ok</v>
      </c>
    </row>
    <row r="4721" spans="12:15" x14ac:dyDescent="0.25">
      <c r="L4721">
        <f t="shared" si="296"/>
        <v>0</v>
      </c>
      <c r="M4721">
        <f t="shared" si="297"/>
        <v>1</v>
      </c>
      <c r="N4721">
        <f t="shared" si="298"/>
        <v>0</v>
      </c>
      <c r="O4721" t="str">
        <f t="shared" si="299"/>
        <v>Proposta Ok</v>
      </c>
    </row>
    <row r="4722" spans="12:15" x14ac:dyDescent="0.25">
      <c r="L4722">
        <f t="shared" si="296"/>
        <v>0</v>
      </c>
      <c r="M4722">
        <f t="shared" si="297"/>
        <v>1</v>
      </c>
      <c r="N4722">
        <f t="shared" si="298"/>
        <v>0</v>
      </c>
      <c r="O4722" t="str">
        <f t="shared" si="299"/>
        <v>Proposta Ok</v>
      </c>
    </row>
    <row r="4723" spans="12:15" x14ac:dyDescent="0.25">
      <c r="L4723">
        <f t="shared" si="296"/>
        <v>0</v>
      </c>
      <c r="M4723">
        <f t="shared" si="297"/>
        <v>1</v>
      </c>
      <c r="N4723">
        <f t="shared" si="298"/>
        <v>0</v>
      </c>
      <c r="O4723" t="str">
        <f t="shared" si="299"/>
        <v>Proposta Ok</v>
      </c>
    </row>
    <row r="4724" spans="12:15" x14ac:dyDescent="0.25">
      <c r="L4724">
        <f t="shared" si="296"/>
        <v>0</v>
      </c>
      <c r="M4724">
        <f t="shared" si="297"/>
        <v>1</v>
      </c>
      <c r="N4724">
        <f t="shared" si="298"/>
        <v>0</v>
      </c>
      <c r="O4724" t="str">
        <f t="shared" si="299"/>
        <v>Proposta Ok</v>
      </c>
    </row>
    <row r="4725" spans="12:15" x14ac:dyDescent="0.25">
      <c r="L4725">
        <f t="shared" si="296"/>
        <v>0</v>
      </c>
      <c r="M4725">
        <f t="shared" si="297"/>
        <v>1</v>
      </c>
      <c r="N4725">
        <f t="shared" si="298"/>
        <v>0</v>
      </c>
      <c r="O4725" t="str">
        <f t="shared" si="299"/>
        <v>Proposta Ok</v>
      </c>
    </row>
    <row r="4726" spans="12:15" x14ac:dyDescent="0.25">
      <c r="L4726">
        <f t="shared" si="296"/>
        <v>0</v>
      </c>
      <c r="M4726">
        <f t="shared" si="297"/>
        <v>1</v>
      </c>
      <c r="N4726">
        <f t="shared" si="298"/>
        <v>0</v>
      </c>
      <c r="O4726" t="str">
        <f t="shared" si="299"/>
        <v>Proposta Ok</v>
      </c>
    </row>
    <row r="4727" spans="12:15" x14ac:dyDescent="0.25">
      <c r="L4727">
        <f t="shared" si="296"/>
        <v>0</v>
      </c>
      <c r="M4727">
        <f t="shared" si="297"/>
        <v>1</v>
      </c>
      <c r="N4727">
        <f t="shared" si="298"/>
        <v>0</v>
      </c>
      <c r="O4727" t="str">
        <f t="shared" si="299"/>
        <v>Proposta Ok</v>
      </c>
    </row>
    <row r="4728" spans="12:15" x14ac:dyDescent="0.25">
      <c r="L4728">
        <f t="shared" si="296"/>
        <v>0</v>
      </c>
      <c r="M4728">
        <f t="shared" si="297"/>
        <v>1</v>
      </c>
      <c r="N4728">
        <f t="shared" si="298"/>
        <v>0</v>
      </c>
      <c r="O4728" t="str">
        <f t="shared" si="299"/>
        <v>Proposta Ok</v>
      </c>
    </row>
    <row r="4729" spans="12:15" x14ac:dyDescent="0.25">
      <c r="L4729">
        <f t="shared" si="296"/>
        <v>0</v>
      </c>
      <c r="M4729">
        <f t="shared" si="297"/>
        <v>1</v>
      </c>
      <c r="N4729">
        <f t="shared" si="298"/>
        <v>0</v>
      </c>
      <c r="O4729" t="str">
        <f t="shared" si="299"/>
        <v>Proposta Ok</v>
      </c>
    </row>
    <row r="4730" spans="12:15" x14ac:dyDescent="0.25">
      <c r="L4730">
        <f t="shared" si="296"/>
        <v>0</v>
      </c>
      <c r="M4730">
        <f t="shared" si="297"/>
        <v>1</v>
      </c>
      <c r="N4730">
        <f t="shared" si="298"/>
        <v>0</v>
      </c>
      <c r="O4730" t="str">
        <f t="shared" si="299"/>
        <v>Proposta Ok</v>
      </c>
    </row>
    <row r="4731" spans="12:15" x14ac:dyDescent="0.25">
      <c r="L4731">
        <f t="shared" si="296"/>
        <v>0</v>
      </c>
      <c r="M4731">
        <f t="shared" si="297"/>
        <v>1</v>
      </c>
      <c r="N4731">
        <f t="shared" si="298"/>
        <v>0</v>
      </c>
      <c r="O4731" t="str">
        <f t="shared" si="299"/>
        <v>Proposta Ok</v>
      </c>
    </row>
    <row r="4732" spans="12:15" x14ac:dyDescent="0.25">
      <c r="L4732">
        <f t="shared" si="296"/>
        <v>0</v>
      </c>
      <c r="M4732">
        <f t="shared" si="297"/>
        <v>1</v>
      </c>
      <c r="N4732">
        <f t="shared" si="298"/>
        <v>0</v>
      </c>
      <c r="O4732" t="str">
        <f t="shared" si="299"/>
        <v>Proposta Ok</v>
      </c>
    </row>
    <row r="4733" spans="12:15" x14ac:dyDescent="0.25">
      <c r="L4733">
        <f t="shared" si="296"/>
        <v>0</v>
      </c>
      <c r="M4733">
        <f t="shared" si="297"/>
        <v>1</v>
      </c>
      <c r="N4733">
        <f t="shared" si="298"/>
        <v>0</v>
      </c>
      <c r="O4733" t="str">
        <f t="shared" si="299"/>
        <v>Proposta Ok</v>
      </c>
    </row>
    <row r="4734" spans="12:15" x14ac:dyDescent="0.25">
      <c r="L4734">
        <f t="shared" si="296"/>
        <v>0</v>
      </c>
      <c r="M4734">
        <f t="shared" si="297"/>
        <v>1</v>
      </c>
      <c r="N4734">
        <f t="shared" si="298"/>
        <v>0</v>
      </c>
      <c r="O4734" t="str">
        <f t="shared" si="299"/>
        <v>Proposta Ok</v>
      </c>
    </row>
    <row r="4735" spans="12:15" x14ac:dyDescent="0.25">
      <c r="L4735">
        <f t="shared" si="296"/>
        <v>0</v>
      </c>
      <c r="M4735">
        <f t="shared" si="297"/>
        <v>1</v>
      </c>
      <c r="N4735">
        <f t="shared" si="298"/>
        <v>0</v>
      </c>
      <c r="O4735" t="str">
        <f t="shared" si="299"/>
        <v>Proposta Ok</v>
      </c>
    </row>
    <row r="4736" spans="12:15" x14ac:dyDescent="0.25">
      <c r="L4736">
        <f t="shared" si="296"/>
        <v>0</v>
      </c>
      <c r="M4736">
        <f t="shared" si="297"/>
        <v>1</v>
      </c>
      <c r="N4736">
        <f t="shared" si="298"/>
        <v>0</v>
      </c>
      <c r="O4736" t="str">
        <f t="shared" si="299"/>
        <v>Proposta Ok</v>
      </c>
    </row>
    <row r="4737" spans="12:15" x14ac:dyDescent="0.25">
      <c r="L4737">
        <f t="shared" si="296"/>
        <v>0</v>
      </c>
      <c r="M4737">
        <f t="shared" si="297"/>
        <v>1</v>
      </c>
      <c r="N4737">
        <f t="shared" si="298"/>
        <v>0</v>
      </c>
      <c r="O4737" t="str">
        <f t="shared" si="299"/>
        <v>Proposta Ok</v>
      </c>
    </row>
    <row r="4738" spans="12:15" x14ac:dyDescent="0.25">
      <c r="L4738">
        <f t="shared" si="296"/>
        <v>0</v>
      </c>
      <c r="M4738">
        <f t="shared" si="297"/>
        <v>1</v>
      </c>
      <c r="N4738">
        <f t="shared" si="298"/>
        <v>0</v>
      </c>
      <c r="O4738" t="str">
        <f t="shared" si="299"/>
        <v>Proposta Ok</v>
      </c>
    </row>
    <row r="4739" spans="12:15" x14ac:dyDescent="0.25">
      <c r="L4739">
        <f t="shared" si="296"/>
        <v>0</v>
      </c>
      <c r="M4739">
        <f t="shared" si="297"/>
        <v>1</v>
      </c>
      <c r="N4739">
        <f t="shared" si="298"/>
        <v>0</v>
      </c>
      <c r="O4739" t="str">
        <f t="shared" si="299"/>
        <v>Proposta Ok</v>
      </c>
    </row>
    <row r="4740" spans="12:15" x14ac:dyDescent="0.25">
      <c r="L4740">
        <f t="shared" si="296"/>
        <v>0</v>
      </c>
      <c r="M4740">
        <f t="shared" si="297"/>
        <v>1</v>
      </c>
      <c r="N4740">
        <f t="shared" si="298"/>
        <v>0</v>
      </c>
      <c r="O4740" t="str">
        <f t="shared" si="299"/>
        <v>Proposta Ok</v>
      </c>
    </row>
    <row r="4741" spans="12:15" x14ac:dyDescent="0.25">
      <c r="L4741">
        <f t="shared" si="296"/>
        <v>0</v>
      </c>
      <c r="M4741">
        <f t="shared" si="297"/>
        <v>1</v>
      </c>
      <c r="N4741">
        <f t="shared" si="298"/>
        <v>0</v>
      </c>
      <c r="O4741" t="str">
        <f t="shared" si="299"/>
        <v>Proposta Ok</v>
      </c>
    </row>
    <row r="4742" spans="12:15" x14ac:dyDescent="0.25">
      <c r="L4742">
        <f t="shared" si="296"/>
        <v>0</v>
      </c>
      <c r="M4742">
        <f t="shared" si="297"/>
        <v>1</v>
      </c>
      <c r="N4742">
        <f t="shared" si="298"/>
        <v>0</v>
      </c>
      <c r="O4742" t="str">
        <f t="shared" si="299"/>
        <v>Proposta Ok</v>
      </c>
    </row>
    <row r="4743" spans="12:15" x14ac:dyDescent="0.25">
      <c r="L4743">
        <f t="shared" si="296"/>
        <v>0</v>
      </c>
      <c r="M4743">
        <f t="shared" si="297"/>
        <v>1</v>
      </c>
      <c r="N4743">
        <f t="shared" si="298"/>
        <v>0</v>
      </c>
      <c r="O4743" t="str">
        <f t="shared" si="299"/>
        <v>Proposta Ok</v>
      </c>
    </row>
    <row r="4744" spans="12:15" x14ac:dyDescent="0.25">
      <c r="L4744">
        <f t="shared" si="296"/>
        <v>0</v>
      </c>
      <c r="M4744">
        <f t="shared" si="297"/>
        <v>1</v>
      </c>
      <c r="N4744">
        <f t="shared" si="298"/>
        <v>0</v>
      </c>
      <c r="O4744" t="str">
        <f t="shared" si="299"/>
        <v>Proposta Ok</v>
      </c>
    </row>
    <row r="4745" spans="12:15" x14ac:dyDescent="0.25">
      <c r="L4745">
        <f t="shared" si="296"/>
        <v>0</v>
      </c>
      <c r="M4745">
        <f t="shared" si="297"/>
        <v>1</v>
      </c>
      <c r="N4745">
        <f t="shared" si="298"/>
        <v>0</v>
      </c>
      <c r="O4745" t="str">
        <f t="shared" si="299"/>
        <v>Proposta Ok</v>
      </c>
    </row>
    <row r="4746" spans="12:15" x14ac:dyDescent="0.25">
      <c r="L4746">
        <f t="shared" si="296"/>
        <v>0</v>
      </c>
      <c r="M4746">
        <f t="shared" si="297"/>
        <v>1</v>
      </c>
      <c r="N4746">
        <f t="shared" si="298"/>
        <v>0</v>
      </c>
      <c r="O4746" t="str">
        <f t="shared" si="299"/>
        <v>Proposta Ok</v>
      </c>
    </row>
    <row r="4747" spans="12:15" x14ac:dyDescent="0.25">
      <c r="L4747">
        <f t="shared" si="296"/>
        <v>0</v>
      </c>
      <c r="M4747">
        <f t="shared" si="297"/>
        <v>1</v>
      </c>
      <c r="N4747">
        <f t="shared" si="298"/>
        <v>0</v>
      </c>
      <c r="O4747" t="str">
        <f t="shared" si="299"/>
        <v>Proposta Ok</v>
      </c>
    </row>
    <row r="4748" spans="12:15" x14ac:dyDescent="0.25">
      <c r="L4748">
        <f t="shared" si="296"/>
        <v>0</v>
      </c>
      <c r="M4748">
        <f t="shared" si="297"/>
        <v>1</v>
      </c>
      <c r="N4748">
        <f t="shared" si="298"/>
        <v>0</v>
      </c>
      <c r="O4748" t="str">
        <f t="shared" si="299"/>
        <v>Proposta Ok</v>
      </c>
    </row>
    <row r="4749" spans="12:15" x14ac:dyDescent="0.25">
      <c r="L4749">
        <f t="shared" si="296"/>
        <v>0</v>
      </c>
      <c r="M4749">
        <f t="shared" si="297"/>
        <v>1</v>
      </c>
      <c r="N4749">
        <f t="shared" si="298"/>
        <v>0</v>
      </c>
      <c r="O4749" t="str">
        <f t="shared" si="299"/>
        <v>Proposta Ok</v>
      </c>
    </row>
    <row r="4750" spans="12:15" x14ac:dyDescent="0.25">
      <c r="L4750">
        <f t="shared" si="296"/>
        <v>0</v>
      </c>
      <c r="M4750">
        <f t="shared" si="297"/>
        <v>1</v>
      </c>
      <c r="N4750">
        <f t="shared" si="298"/>
        <v>0</v>
      </c>
      <c r="O4750" t="str">
        <f t="shared" si="299"/>
        <v>Proposta Ok</v>
      </c>
    </row>
    <row r="4751" spans="12:15" x14ac:dyDescent="0.25">
      <c r="L4751">
        <f t="shared" si="296"/>
        <v>0</v>
      </c>
      <c r="M4751">
        <f t="shared" si="297"/>
        <v>1</v>
      </c>
      <c r="N4751">
        <f t="shared" si="298"/>
        <v>0</v>
      </c>
      <c r="O4751" t="str">
        <f t="shared" si="299"/>
        <v>Proposta Ok</v>
      </c>
    </row>
    <row r="4752" spans="12:15" x14ac:dyDescent="0.25">
      <c r="L4752">
        <f t="shared" si="296"/>
        <v>0</v>
      </c>
      <c r="M4752">
        <f t="shared" si="297"/>
        <v>1</v>
      </c>
      <c r="N4752">
        <f t="shared" si="298"/>
        <v>0</v>
      </c>
      <c r="O4752" t="str">
        <f t="shared" si="299"/>
        <v>Proposta Ok</v>
      </c>
    </row>
    <row r="4753" spans="12:15" x14ac:dyDescent="0.25">
      <c r="L4753">
        <f t="shared" si="296"/>
        <v>0</v>
      </c>
      <c r="M4753">
        <f t="shared" si="297"/>
        <v>1</v>
      </c>
      <c r="N4753">
        <f t="shared" si="298"/>
        <v>0</v>
      </c>
      <c r="O4753" t="str">
        <f t="shared" si="299"/>
        <v>Proposta Ok</v>
      </c>
    </row>
    <row r="4754" spans="12:15" x14ac:dyDescent="0.25">
      <c r="L4754">
        <f t="shared" si="296"/>
        <v>0</v>
      </c>
      <c r="M4754">
        <f t="shared" si="297"/>
        <v>1</v>
      </c>
      <c r="N4754">
        <f t="shared" si="298"/>
        <v>0</v>
      </c>
      <c r="O4754" t="str">
        <f t="shared" si="299"/>
        <v>Proposta Ok</v>
      </c>
    </row>
    <row r="4755" spans="12:15" x14ac:dyDescent="0.25">
      <c r="L4755">
        <f t="shared" si="296"/>
        <v>0</v>
      </c>
      <c r="M4755">
        <f t="shared" si="297"/>
        <v>1</v>
      </c>
      <c r="N4755">
        <f t="shared" si="298"/>
        <v>0</v>
      </c>
      <c r="O4755" t="str">
        <f t="shared" si="299"/>
        <v>Proposta Ok</v>
      </c>
    </row>
    <row r="4756" spans="12:15" x14ac:dyDescent="0.25">
      <c r="L4756">
        <f t="shared" si="296"/>
        <v>0</v>
      </c>
      <c r="M4756">
        <f t="shared" si="297"/>
        <v>1</v>
      </c>
      <c r="N4756">
        <f t="shared" si="298"/>
        <v>0</v>
      </c>
      <c r="O4756" t="str">
        <f t="shared" si="299"/>
        <v>Proposta Ok</v>
      </c>
    </row>
    <row r="4757" spans="12:15" x14ac:dyDescent="0.25">
      <c r="L4757">
        <f t="shared" si="296"/>
        <v>0</v>
      </c>
      <c r="M4757">
        <f t="shared" si="297"/>
        <v>1</v>
      </c>
      <c r="N4757">
        <f t="shared" si="298"/>
        <v>0</v>
      </c>
      <c r="O4757" t="str">
        <f t="shared" si="299"/>
        <v>Proposta Ok</v>
      </c>
    </row>
    <row r="4758" spans="12:15" x14ac:dyDescent="0.25">
      <c r="L4758">
        <f t="shared" si="296"/>
        <v>0</v>
      </c>
      <c r="M4758">
        <f t="shared" si="297"/>
        <v>1</v>
      </c>
      <c r="N4758">
        <f t="shared" si="298"/>
        <v>0</v>
      </c>
      <c r="O4758" t="str">
        <f t="shared" si="299"/>
        <v>Proposta Ok</v>
      </c>
    </row>
    <row r="4759" spans="12:15" x14ac:dyDescent="0.25">
      <c r="L4759">
        <f t="shared" si="296"/>
        <v>0</v>
      </c>
      <c r="M4759">
        <f t="shared" si="297"/>
        <v>1</v>
      </c>
      <c r="N4759">
        <f t="shared" si="298"/>
        <v>0</v>
      </c>
      <c r="O4759" t="str">
        <f t="shared" si="299"/>
        <v>Proposta Ok</v>
      </c>
    </row>
    <row r="4760" spans="12:15" x14ac:dyDescent="0.25">
      <c r="L4760">
        <f t="shared" si="296"/>
        <v>0</v>
      </c>
      <c r="M4760">
        <f t="shared" si="297"/>
        <v>1</v>
      </c>
      <c r="N4760">
        <f t="shared" si="298"/>
        <v>0</v>
      </c>
      <c r="O4760" t="str">
        <f t="shared" si="299"/>
        <v>Proposta Ok</v>
      </c>
    </row>
    <row r="4761" spans="12:15" x14ac:dyDescent="0.25">
      <c r="L4761">
        <f t="shared" si="296"/>
        <v>0</v>
      </c>
      <c r="M4761">
        <f t="shared" si="297"/>
        <v>1</v>
      </c>
      <c r="N4761">
        <f t="shared" si="298"/>
        <v>0</v>
      </c>
      <c r="O4761" t="str">
        <f t="shared" si="299"/>
        <v>Proposta Ok</v>
      </c>
    </row>
    <row r="4762" spans="12:15" x14ac:dyDescent="0.25">
      <c r="L4762">
        <f t="shared" si="296"/>
        <v>0</v>
      </c>
      <c r="M4762">
        <f t="shared" si="297"/>
        <v>1</v>
      </c>
      <c r="N4762">
        <f t="shared" si="298"/>
        <v>0</v>
      </c>
      <c r="O4762" t="str">
        <f t="shared" si="299"/>
        <v>Proposta Ok</v>
      </c>
    </row>
    <row r="4763" spans="12:15" x14ac:dyDescent="0.25">
      <c r="L4763">
        <f t="shared" ref="L4763:L4826" si="300">IF(OR(I4763="Termo OK (Exceção)",I4763="Termo OK"),1,0)</f>
        <v>0</v>
      </c>
      <c r="M4763">
        <f t="shared" ref="M4763:M4826" si="301">IF(OR(I4763="Termo OK (Exceção)",I4763="Termo OK"),0,1)</f>
        <v>1</v>
      </c>
      <c r="N4763">
        <f t="shared" ref="N4763:N4826" si="302">IF(J4763="SIM",1,0)</f>
        <v>0</v>
      </c>
      <c r="O4763" t="str">
        <f t="shared" ref="O4763:O4826" si="303">IF(SUMIFS(M:M,A:A,A4763)&gt;0,"Proposta não Ok","Proposta Ok")</f>
        <v>Proposta Ok</v>
      </c>
    </row>
    <row r="4764" spans="12:15" x14ac:dyDescent="0.25">
      <c r="L4764">
        <f t="shared" si="300"/>
        <v>0</v>
      </c>
      <c r="M4764">
        <f t="shared" si="301"/>
        <v>1</v>
      </c>
      <c r="N4764">
        <f t="shared" si="302"/>
        <v>0</v>
      </c>
      <c r="O4764" t="str">
        <f t="shared" si="303"/>
        <v>Proposta Ok</v>
      </c>
    </row>
    <row r="4765" spans="12:15" x14ac:dyDescent="0.25">
      <c r="L4765">
        <f t="shared" si="300"/>
        <v>0</v>
      </c>
      <c r="M4765">
        <f t="shared" si="301"/>
        <v>1</v>
      </c>
      <c r="N4765">
        <f t="shared" si="302"/>
        <v>0</v>
      </c>
      <c r="O4765" t="str">
        <f t="shared" si="303"/>
        <v>Proposta Ok</v>
      </c>
    </row>
    <row r="4766" spans="12:15" x14ac:dyDescent="0.25">
      <c r="L4766">
        <f t="shared" si="300"/>
        <v>0</v>
      </c>
      <c r="M4766">
        <f t="shared" si="301"/>
        <v>1</v>
      </c>
      <c r="N4766">
        <f t="shared" si="302"/>
        <v>0</v>
      </c>
      <c r="O4766" t="str">
        <f t="shared" si="303"/>
        <v>Proposta Ok</v>
      </c>
    </row>
    <row r="4767" spans="12:15" x14ac:dyDescent="0.25">
      <c r="L4767">
        <f t="shared" si="300"/>
        <v>0</v>
      </c>
      <c r="M4767">
        <f t="shared" si="301"/>
        <v>1</v>
      </c>
      <c r="N4767">
        <f t="shared" si="302"/>
        <v>0</v>
      </c>
      <c r="O4767" t="str">
        <f t="shared" si="303"/>
        <v>Proposta Ok</v>
      </c>
    </row>
    <row r="4768" spans="12:15" x14ac:dyDescent="0.25">
      <c r="L4768">
        <f t="shared" si="300"/>
        <v>0</v>
      </c>
      <c r="M4768">
        <f t="shared" si="301"/>
        <v>1</v>
      </c>
      <c r="N4768">
        <f t="shared" si="302"/>
        <v>0</v>
      </c>
      <c r="O4768" t="str">
        <f t="shared" si="303"/>
        <v>Proposta Ok</v>
      </c>
    </row>
    <row r="4769" spans="12:15" x14ac:dyDescent="0.25">
      <c r="L4769">
        <f t="shared" si="300"/>
        <v>0</v>
      </c>
      <c r="M4769">
        <f t="shared" si="301"/>
        <v>1</v>
      </c>
      <c r="N4769">
        <f t="shared" si="302"/>
        <v>0</v>
      </c>
      <c r="O4769" t="str">
        <f t="shared" si="303"/>
        <v>Proposta Ok</v>
      </c>
    </row>
    <row r="4770" spans="12:15" x14ac:dyDescent="0.25">
      <c r="L4770">
        <f t="shared" si="300"/>
        <v>0</v>
      </c>
      <c r="M4770">
        <f t="shared" si="301"/>
        <v>1</v>
      </c>
      <c r="N4770">
        <f t="shared" si="302"/>
        <v>0</v>
      </c>
      <c r="O4770" t="str">
        <f t="shared" si="303"/>
        <v>Proposta Ok</v>
      </c>
    </row>
    <row r="4771" spans="12:15" x14ac:dyDescent="0.25">
      <c r="L4771">
        <f t="shared" si="300"/>
        <v>0</v>
      </c>
      <c r="M4771">
        <f t="shared" si="301"/>
        <v>1</v>
      </c>
      <c r="N4771">
        <f t="shared" si="302"/>
        <v>0</v>
      </c>
      <c r="O4771" t="str">
        <f t="shared" si="303"/>
        <v>Proposta Ok</v>
      </c>
    </row>
    <row r="4772" spans="12:15" x14ac:dyDescent="0.25">
      <c r="L4772">
        <f t="shared" si="300"/>
        <v>0</v>
      </c>
      <c r="M4772">
        <f t="shared" si="301"/>
        <v>1</v>
      </c>
      <c r="N4772">
        <f t="shared" si="302"/>
        <v>0</v>
      </c>
      <c r="O4772" t="str">
        <f t="shared" si="303"/>
        <v>Proposta Ok</v>
      </c>
    </row>
    <row r="4773" spans="12:15" x14ac:dyDescent="0.25">
      <c r="L4773">
        <f t="shared" si="300"/>
        <v>0</v>
      </c>
      <c r="M4773">
        <f t="shared" si="301"/>
        <v>1</v>
      </c>
      <c r="N4773">
        <f t="shared" si="302"/>
        <v>0</v>
      </c>
      <c r="O4773" t="str">
        <f t="shared" si="303"/>
        <v>Proposta Ok</v>
      </c>
    </row>
    <row r="4774" spans="12:15" x14ac:dyDescent="0.25">
      <c r="L4774">
        <f t="shared" si="300"/>
        <v>0</v>
      </c>
      <c r="M4774">
        <f t="shared" si="301"/>
        <v>1</v>
      </c>
      <c r="N4774">
        <f t="shared" si="302"/>
        <v>0</v>
      </c>
      <c r="O4774" t="str">
        <f t="shared" si="303"/>
        <v>Proposta Ok</v>
      </c>
    </row>
    <row r="4775" spans="12:15" x14ac:dyDescent="0.25">
      <c r="L4775">
        <f t="shared" si="300"/>
        <v>0</v>
      </c>
      <c r="M4775">
        <f t="shared" si="301"/>
        <v>1</v>
      </c>
      <c r="N4775">
        <f t="shared" si="302"/>
        <v>0</v>
      </c>
      <c r="O4775" t="str">
        <f t="shared" si="303"/>
        <v>Proposta Ok</v>
      </c>
    </row>
    <row r="4776" spans="12:15" x14ac:dyDescent="0.25">
      <c r="L4776">
        <f t="shared" si="300"/>
        <v>0</v>
      </c>
      <c r="M4776">
        <f t="shared" si="301"/>
        <v>1</v>
      </c>
      <c r="N4776">
        <f t="shared" si="302"/>
        <v>0</v>
      </c>
      <c r="O4776" t="str">
        <f t="shared" si="303"/>
        <v>Proposta Ok</v>
      </c>
    </row>
    <row r="4777" spans="12:15" x14ac:dyDescent="0.25">
      <c r="L4777">
        <f t="shared" si="300"/>
        <v>0</v>
      </c>
      <c r="M4777">
        <f t="shared" si="301"/>
        <v>1</v>
      </c>
      <c r="N4777">
        <f t="shared" si="302"/>
        <v>0</v>
      </c>
      <c r="O4777" t="str">
        <f t="shared" si="303"/>
        <v>Proposta Ok</v>
      </c>
    </row>
    <row r="4778" spans="12:15" x14ac:dyDescent="0.25">
      <c r="L4778">
        <f t="shared" si="300"/>
        <v>0</v>
      </c>
      <c r="M4778">
        <f t="shared" si="301"/>
        <v>1</v>
      </c>
      <c r="N4778">
        <f t="shared" si="302"/>
        <v>0</v>
      </c>
      <c r="O4778" t="str">
        <f t="shared" si="303"/>
        <v>Proposta Ok</v>
      </c>
    </row>
    <row r="4779" spans="12:15" x14ac:dyDescent="0.25">
      <c r="L4779">
        <f t="shared" si="300"/>
        <v>0</v>
      </c>
      <c r="M4779">
        <f t="shared" si="301"/>
        <v>1</v>
      </c>
      <c r="N4779">
        <f t="shared" si="302"/>
        <v>0</v>
      </c>
      <c r="O4779" t="str">
        <f t="shared" si="303"/>
        <v>Proposta Ok</v>
      </c>
    </row>
    <row r="4780" spans="12:15" x14ac:dyDescent="0.25">
      <c r="L4780">
        <f t="shared" si="300"/>
        <v>0</v>
      </c>
      <c r="M4780">
        <f t="shared" si="301"/>
        <v>1</v>
      </c>
      <c r="N4780">
        <f t="shared" si="302"/>
        <v>0</v>
      </c>
      <c r="O4780" t="str">
        <f t="shared" si="303"/>
        <v>Proposta Ok</v>
      </c>
    </row>
    <row r="4781" spans="12:15" x14ac:dyDescent="0.25">
      <c r="L4781">
        <f t="shared" si="300"/>
        <v>0</v>
      </c>
      <c r="M4781">
        <f t="shared" si="301"/>
        <v>1</v>
      </c>
      <c r="N4781">
        <f t="shared" si="302"/>
        <v>0</v>
      </c>
      <c r="O4781" t="str">
        <f t="shared" si="303"/>
        <v>Proposta Ok</v>
      </c>
    </row>
    <row r="4782" spans="12:15" x14ac:dyDescent="0.25">
      <c r="L4782">
        <f t="shared" si="300"/>
        <v>0</v>
      </c>
      <c r="M4782">
        <f t="shared" si="301"/>
        <v>1</v>
      </c>
      <c r="N4782">
        <f t="shared" si="302"/>
        <v>0</v>
      </c>
      <c r="O4782" t="str">
        <f t="shared" si="303"/>
        <v>Proposta Ok</v>
      </c>
    </row>
    <row r="4783" spans="12:15" x14ac:dyDescent="0.25">
      <c r="L4783">
        <f t="shared" si="300"/>
        <v>0</v>
      </c>
      <c r="M4783">
        <f t="shared" si="301"/>
        <v>1</v>
      </c>
      <c r="N4783">
        <f t="shared" si="302"/>
        <v>0</v>
      </c>
      <c r="O4783" t="str">
        <f t="shared" si="303"/>
        <v>Proposta Ok</v>
      </c>
    </row>
    <row r="4784" spans="12:15" x14ac:dyDescent="0.25">
      <c r="L4784">
        <f t="shared" si="300"/>
        <v>0</v>
      </c>
      <c r="M4784">
        <f t="shared" si="301"/>
        <v>1</v>
      </c>
      <c r="N4784">
        <f t="shared" si="302"/>
        <v>0</v>
      </c>
      <c r="O4784" t="str">
        <f t="shared" si="303"/>
        <v>Proposta Ok</v>
      </c>
    </row>
    <row r="4785" spans="12:15" x14ac:dyDescent="0.25">
      <c r="L4785">
        <f t="shared" si="300"/>
        <v>0</v>
      </c>
      <c r="M4785">
        <f t="shared" si="301"/>
        <v>1</v>
      </c>
      <c r="N4785">
        <f t="shared" si="302"/>
        <v>0</v>
      </c>
      <c r="O4785" t="str">
        <f t="shared" si="303"/>
        <v>Proposta Ok</v>
      </c>
    </row>
    <row r="4786" spans="12:15" x14ac:dyDescent="0.25">
      <c r="L4786">
        <f t="shared" si="300"/>
        <v>0</v>
      </c>
      <c r="M4786">
        <f t="shared" si="301"/>
        <v>1</v>
      </c>
      <c r="N4786">
        <f t="shared" si="302"/>
        <v>0</v>
      </c>
      <c r="O4786" t="str">
        <f t="shared" si="303"/>
        <v>Proposta Ok</v>
      </c>
    </row>
    <row r="4787" spans="12:15" x14ac:dyDescent="0.25">
      <c r="L4787">
        <f t="shared" si="300"/>
        <v>0</v>
      </c>
      <c r="M4787">
        <f t="shared" si="301"/>
        <v>1</v>
      </c>
      <c r="N4787">
        <f t="shared" si="302"/>
        <v>0</v>
      </c>
      <c r="O4787" t="str">
        <f t="shared" si="303"/>
        <v>Proposta Ok</v>
      </c>
    </row>
    <row r="4788" spans="12:15" x14ac:dyDescent="0.25">
      <c r="L4788">
        <f t="shared" si="300"/>
        <v>0</v>
      </c>
      <c r="M4788">
        <f t="shared" si="301"/>
        <v>1</v>
      </c>
      <c r="N4788">
        <f t="shared" si="302"/>
        <v>0</v>
      </c>
      <c r="O4788" t="str">
        <f t="shared" si="303"/>
        <v>Proposta Ok</v>
      </c>
    </row>
    <row r="4789" spans="12:15" x14ac:dyDescent="0.25">
      <c r="L4789">
        <f t="shared" si="300"/>
        <v>0</v>
      </c>
      <c r="M4789">
        <f t="shared" si="301"/>
        <v>1</v>
      </c>
      <c r="N4789">
        <f t="shared" si="302"/>
        <v>0</v>
      </c>
      <c r="O4789" t="str">
        <f t="shared" si="303"/>
        <v>Proposta Ok</v>
      </c>
    </row>
    <row r="4790" spans="12:15" x14ac:dyDescent="0.25">
      <c r="L4790">
        <f t="shared" si="300"/>
        <v>0</v>
      </c>
      <c r="M4790">
        <f t="shared" si="301"/>
        <v>1</v>
      </c>
      <c r="N4790">
        <f t="shared" si="302"/>
        <v>0</v>
      </c>
      <c r="O4790" t="str">
        <f t="shared" si="303"/>
        <v>Proposta Ok</v>
      </c>
    </row>
    <row r="4791" spans="12:15" x14ac:dyDescent="0.25">
      <c r="L4791">
        <f t="shared" si="300"/>
        <v>0</v>
      </c>
      <c r="M4791">
        <f t="shared" si="301"/>
        <v>1</v>
      </c>
      <c r="N4791">
        <f t="shared" si="302"/>
        <v>0</v>
      </c>
      <c r="O4791" t="str">
        <f t="shared" si="303"/>
        <v>Proposta Ok</v>
      </c>
    </row>
    <row r="4792" spans="12:15" x14ac:dyDescent="0.25">
      <c r="L4792">
        <f t="shared" si="300"/>
        <v>0</v>
      </c>
      <c r="M4792">
        <f t="shared" si="301"/>
        <v>1</v>
      </c>
      <c r="N4792">
        <f t="shared" si="302"/>
        <v>0</v>
      </c>
      <c r="O4792" t="str">
        <f t="shared" si="303"/>
        <v>Proposta Ok</v>
      </c>
    </row>
    <row r="4793" spans="12:15" x14ac:dyDescent="0.25">
      <c r="L4793">
        <f t="shared" si="300"/>
        <v>0</v>
      </c>
      <c r="M4793">
        <f t="shared" si="301"/>
        <v>1</v>
      </c>
      <c r="N4793">
        <f t="shared" si="302"/>
        <v>0</v>
      </c>
      <c r="O4793" t="str">
        <f t="shared" si="303"/>
        <v>Proposta Ok</v>
      </c>
    </row>
    <row r="4794" spans="12:15" x14ac:dyDescent="0.25">
      <c r="L4794">
        <f t="shared" si="300"/>
        <v>0</v>
      </c>
      <c r="M4794">
        <f t="shared" si="301"/>
        <v>1</v>
      </c>
      <c r="N4794">
        <f t="shared" si="302"/>
        <v>0</v>
      </c>
      <c r="O4794" t="str">
        <f t="shared" si="303"/>
        <v>Proposta Ok</v>
      </c>
    </row>
    <row r="4795" spans="12:15" x14ac:dyDescent="0.25">
      <c r="L4795">
        <f t="shared" si="300"/>
        <v>0</v>
      </c>
      <c r="M4795">
        <f t="shared" si="301"/>
        <v>1</v>
      </c>
      <c r="N4795">
        <f t="shared" si="302"/>
        <v>0</v>
      </c>
      <c r="O4795" t="str">
        <f t="shared" si="303"/>
        <v>Proposta Ok</v>
      </c>
    </row>
    <row r="4796" spans="12:15" x14ac:dyDescent="0.25">
      <c r="L4796">
        <f t="shared" si="300"/>
        <v>0</v>
      </c>
      <c r="M4796">
        <f t="shared" si="301"/>
        <v>1</v>
      </c>
      <c r="N4796">
        <f t="shared" si="302"/>
        <v>0</v>
      </c>
      <c r="O4796" t="str">
        <f t="shared" si="303"/>
        <v>Proposta Ok</v>
      </c>
    </row>
    <row r="4797" spans="12:15" x14ac:dyDescent="0.25">
      <c r="L4797">
        <f t="shared" si="300"/>
        <v>0</v>
      </c>
      <c r="M4797">
        <f t="shared" si="301"/>
        <v>1</v>
      </c>
      <c r="N4797">
        <f t="shared" si="302"/>
        <v>0</v>
      </c>
      <c r="O4797" t="str">
        <f t="shared" si="303"/>
        <v>Proposta Ok</v>
      </c>
    </row>
    <row r="4798" spans="12:15" x14ac:dyDescent="0.25">
      <c r="L4798">
        <f t="shared" si="300"/>
        <v>0</v>
      </c>
      <c r="M4798">
        <f t="shared" si="301"/>
        <v>1</v>
      </c>
      <c r="N4798">
        <f t="shared" si="302"/>
        <v>0</v>
      </c>
      <c r="O4798" t="str">
        <f t="shared" si="303"/>
        <v>Proposta Ok</v>
      </c>
    </row>
    <row r="4799" spans="12:15" x14ac:dyDescent="0.25">
      <c r="L4799">
        <f t="shared" si="300"/>
        <v>0</v>
      </c>
      <c r="M4799">
        <f t="shared" si="301"/>
        <v>1</v>
      </c>
      <c r="N4799">
        <f t="shared" si="302"/>
        <v>0</v>
      </c>
      <c r="O4799" t="str">
        <f t="shared" si="303"/>
        <v>Proposta Ok</v>
      </c>
    </row>
    <row r="4800" spans="12:15" x14ac:dyDescent="0.25">
      <c r="L4800">
        <f t="shared" si="300"/>
        <v>0</v>
      </c>
      <c r="M4800">
        <f t="shared" si="301"/>
        <v>1</v>
      </c>
      <c r="N4800">
        <f t="shared" si="302"/>
        <v>0</v>
      </c>
      <c r="O4800" t="str">
        <f t="shared" si="303"/>
        <v>Proposta Ok</v>
      </c>
    </row>
    <row r="4801" spans="12:15" x14ac:dyDescent="0.25">
      <c r="L4801">
        <f t="shared" si="300"/>
        <v>0</v>
      </c>
      <c r="M4801">
        <f t="shared" si="301"/>
        <v>1</v>
      </c>
      <c r="N4801">
        <f t="shared" si="302"/>
        <v>0</v>
      </c>
      <c r="O4801" t="str">
        <f t="shared" si="303"/>
        <v>Proposta Ok</v>
      </c>
    </row>
    <row r="4802" spans="12:15" x14ac:dyDescent="0.25">
      <c r="L4802">
        <f t="shared" si="300"/>
        <v>0</v>
      </c>
      <c r="M4802">
        <f t="shared" si="301"/>
        <v>1</v>
      </c>
      <c r="N4802">
        <f t="shared" si="302"/>
        <v>0</v>
      </c>
      <c r="O4802" t="str">
        <f t="shared" si="303"/>
        <v>Proposta Ok</v>
      </c>
    </row>
    <row r="4803" spans="12:15" x14ac:dyDescent="0.25">
      <c r="L4803">
        <f t="shared" si="300"/>
        <v>0</v>
      </c>
      <c r="M4803">
        <f t="shared" si="301"/>
        <v>1</v>
      </c>
      <c r="N4803">
        <f t="shared" si="302"/>
        <v>0</v>
      </c>
      <c r="O4803" t="str">
        <f t="shared" si="303"/>
        <v>Proposta Ok</v>
      </c>
    </row>
    <row r="4804" spans="12:15" x14ac:dyDescent="0.25">
      <c r="L4804">
        <f t="shared" si="300"/>
        <v>0</v>
      </c>
      <c r="M4804">
        <f t="shared" si="301"/>
        <v>1</v>
      </c>
      <c r="N4804">
        <f t="shared" si="302"/>
        <v>0</v>
      </c>
      <c r="O4804" t="str">
        <f t="shared" si="303"/>
        <v>Proposta Ok</v>
      </c>
    </row>
    <row r="4805" spans="12:15" x14ac:dyDescent="0.25">
      <c r="L4805">
        <f t="shared" si="300"/>
        <v>0</v>
      </c>
      <c r="M4805">
        <f t="shared" si="301"/>
        <v>1</v>
      </c>
      <c r="N4805">
        <f t="shared" si="302"/>
        <v>0</v>
      </c>
      <c r="O4805" t="str">
        <f t="shared" si="303"/>
        <v>Proposta Ok</v>
      </c>
    </row>
    <row r="4806" spans="12:15" x14ac:dyDescent="0.25">
      <c r="L4806">
        <f t="shared" si="300"/>
        <v>0</v>
      </c>
      <c r="M4806">
        <f t="shared" si="301"/>
        <v>1</v>
      </c>
      <c r="N4806">
        <f t="shared" si="302"/>
        <v>0</v>
      </c>
      <c r="O4806" t="str">
        <f t="shared" si="303"/>
        <v>Proposta Ok</v>
      </c>
    </row>
    <row r="4807" spans="12:15" x14ac:dyDescent="0.25">
      <c r="L4807">
        <f t="shared" si="300"/>
        <v>0</v>
      </c>
      <c r="M4807">
        <f t="shared" si="301"/>
        <v>1</v>
      </c>
      <c r="N4807">
        <f t="shared" si="302"/>
        <v>0</v>
      </c>
      <c r="O4807" t="str">
        <f t="shared" si="303"/>
        <v>Proposta Ok</v>
      </c>
    </row>
    <row r="4808" spans="12:15" x14ac:dyDescent="0.25">
      <c r="L4808">
        <f t="shared" si="300"/>
        <v>0</v>
      </c>
      <c r="M4808">
        <f t="shared" si="301"/>
        <v>1</v>
      </c>
      <c r="N4808">
        <f t="shared" si="302"/>
        <v>0</v>
      </c>
      <c r="O4808" t="str">
        <f t="shared" si="303"/>
        <v>Proposta Ok</v>
      </c>
    </row>
    <row r="4809" spans="12:15" x14ac:dyDescent="0.25">
      <c r="L4809">
        <f t="shared" si="300"/>
        <v>0</v>
      </c>
      <c r="M4809">
        <f t="shared" si="301"/>
        <v>1</v>
      </c>
      <c r="N4809">
        <f t="shared" si="302"/>
        <v>0</v>
      </c>
      <c r="O4809" t="str">
        <f t="shared" si="303"/>
        <v>Proposta Ok</v>
      </c>
    </row>
    <row r="4810" spans="12:15" x14ac:dyDescent="0.25">
      <c r="L4810">
        <f t="shared" si="300"/>
        <v>0</v>
      </c>
      <c r="M4810">
        <f t="shared" si="301"/>
        <v>1</v>
      </c>
      <c r="N4810">
        <f t="shared" si="302"/>
        <v>0</v>
      </c>
      <c r="O4810" t="str">
        <f t="shared" si="303"/>
        <v>Proposta Ok</v>
      </c>
    </row>
    <row r="4811" spans="12:15" x14ac:dyDescent="0.25">
      <c r="L4811">
        <f t="shared" si="300"/>
        <v>0</v>
      </c>
      <c r="M4811">
        <f t="shared" si="301"/>
        <v>1</v>
      </c>
      <c r="N4811">
        <f t="shared" si="302"/>
        <v>0</v>
      </c>
      <c r="O4811" t="str">
        <f t="shared" si="303"/>
        <v>Proposta Ok</v>
      </c>
    </row>
    <row r="4812" spans="12:15" x14ac:dyDescent="0.25">
      <c r="L4812">
        <f t="shared" si="300"/>
        <v>0</v>
      </c>
      <c r="M4812">
        <f t="shared" si="301"/>
        <v>1</v>
      </c>
      <c r="N4812">
        <f t="shared" si="302"/>
        <v>0</v>
      </c>
      <c r="O4812" t="str">
        <f t="shared" si="303"/>
        <v>Proposta Ok</v>
      </c>
    </row>
    <row r="4813" spans="12:15" x14ac:dyDescent="0.25">
      <c r="L4813">
        <f t="shared" si="300"/>
        <v>0</v>
      </c>
      <c r="M4813">
        <f t="shared" si="301"/>
        <v>1</v>
      </c>
      <c r="N4813">
        <f t="shared" si="302"/>
        <v>0</v>
      </c>
      <c r="O4813" t="str">
        <f t="shared" si="303"/>
        <v>Proposta Ok</v>
      </c>
    </row>
    <row r="4814" spans="12:15" x14ac:dyDescent="0.25">
      <c r="L4814">
        <f t="shared" si="300"/>
        <v>0</v>
      </c>
      <c r="M4814">
        <f t="shared" si="301"/>
        <v>1</v>
      </c>
      <c r="N4814">
        <f t="shared" si="302"/>
        <v>0</v>
      </c>
      <c r="O4814" t="str">
        <f t="shared" si="303"/>
        <v>Proposta Ok</v>
      </c>
    </row>
    <row r="4815" spans="12:15" x14ac:dyDescent="0.25">
      <c r="L4815">
        <f t="shared" si="300"/>
        <v>0</v>
      </c>
      <c r="M4815">
        <f t="shared" si="301"/>
        <v>1</v>
      </c>
      <c r="N4815">
        <f t="shared" si="302"/>
        <v>0</v>
      </c>
      <c r="O4815" t="str">
        <f t="shared" si="303"/>
        <v>Proposta Ok</v>
      </c>
    </row>
    <row r="4816" spans="12:15" x14ac:dyDescent="0.25">
      <c r="L4816">
        <f t="shared" si="300"/>
        <v>0</v>
      </c>
      <c r="M4816">
        <f t="shared" si="301"/>
        <v>1</v>
      </c>
      <c r="N4816">
        <f t="shared" si="302"/>
        <v>0</v>
      </c>
      <c r="O4816" t="str">
        <f t="shared" si="303"/>
        <v>Proposta Ok</v>
      </c>
    </row>
    <row r="4817" spans="12:15" x14ac:dyDescent="0.25">
      <c r="L4817">
        <f t="shared" si="300"/>
        <v>0</v>
      </c>
      <c r="M4817">
        <f t="shared" si="301"/>
        <v>1</v>
      </c>
      <c r="N4817">
        <f t="shared" si="302"/>
        <v>0</v>
      </c>
      <c r="O4817" t="str">
        <f t="shared" si="303"/>
        <v>Proposta Ok</v>
      </c>
    </row>
    <row r="4818" spans="12:15" x14ac:dyDescent="0.25">
      <c r="L4818">
        <f t="shared" si="300"/>
        <v>0</v>
      </c>
      <c r="M4818">
        <f t="shared" si="301"/>
        <v>1</v>
      </c>
      <c r="N4818">
        <f t="shared" si="302"/>
        <v>0</v>
      </c>
      <c r="O4818" t="str">
        <f t="shared" si="303"/>
        <v>Proposta Ok</v>
      </c>
    </row>
    <row r="4819" spans="12:15" x14ac:dyDescent="0.25">
      <c r="L4819">
        <f t="shared" si="300"/>
        <v>0</v>
      </c>
      <c r="M4819">
        <f t="shared" si="301"/>
        <v>1</v>
      </c>
      <c r="N4819">
        <f t="shared" si="302"/>
        <v>0</v>
      </c>
      <c r="O4819" t="str">
        <f t="shared" si="303"/>
        <v>Proposta Ok</v>
      </c>
    </row>
    <row r="4820" spans="12:15" x14ac:dyDescent="0.25">
      <c r="L4820">
        <f t="shared" si="300"/>
        <v>0</v>
      </c>
      <c r="M4820">
        <f t="shared" si="301"/>
        <v>1</v>
      </c>
      <c r="N4820">
        <f t="shared" si="302"/>
        <v>0</v>
      </c>
      <c r="O4820" t="str">
        <f t="shared" si="303"/>
        <v>Proposta Ok</v>
      </c>
    </row>
    <row r="4821" spans="12:15" x14ac:dyDescent="0.25">
      <c r="L4821">
        <f t="shared" si="300"/>
        <v>0</v>
      </c>
      <c r="M4821">
        <f t="shared" si="301"/>
        <v>1</v>
      </c>
      <c r="N4821">
        <f t="shared" si="302"/>
        <v>0</v>
      </c>
      <c r="O4821" t="str">
        <f t="shared" si="303"/>
        <v>Proposta Ok</v>
      </c>
    </row>
    <row r="4822" spans="12:15" x14ac:dyDescent="0.25">
      <c r="L4822">
        <f t="shared" si="300"/>
        <v>0</v>
      </c>
      <c r="M4822">
        <f t="shared" si="301"/>
        <v>1</v>
      </c>
      <c r="N4822">
        <f t="shared" si="302"/>
        <v>0</v>
      </c>
      <c r="O4822" t="str">
        <f t="shared" si="303"/>
        <v>Proposta Ok</v>
      </c>
    </row>
    <row r="4823" spans="12:15" x14ac:dyDescent="0.25">
      <c r="L4823">
        <f t="shared" si="300"/>
        <v>0</v>
      </c>
      <c r="M4823">
        <f t="shared" si="301"/>
        <v>1</v>
      </c>
      <c r="N4823">
        <f t="shared" si="302"/>
        <v>0</v>
      </c>
      <c r="O4823" t="str">
        <f t="shared" si="303"/>
        <v>Proposta Ok</v>
      </c>
    </row>
    <row r="4824" spans="12:15" x14ac:dyDescent="0.25">
      <c r="L4824">
        <f t="shared" si="300"/>
        <v>0</v>
      </c>
      <c r="M4824">
        <f t="shared" si="301"/>
        <v>1</v>
      </c>
      <c r="N4824">
        <f t="shared" si="302"/>
        <v>0</v>
      </c>
      <c r="O4824" t="str">
        <f t="shared" si="303"/>
        <v>Proposta Ok</v>
      </c>
    </row>
    <row r="4825" spans="12:15" x14ac:dyDescent="0.25">
      <c r="L4825">
        <f t="shared" si="300"/>
        <v>0</v>
      </c>
      <c r="M4825">
        <f t="shared" si="301"/>
        <v>1</v>
      </c>
      <c r="N4825">
        <f t="shared" si="302"/>
        <v>0</v>
      </c>
      <c r="O4825" t="str">
        <f t="shared" si="303"/>
        <v>Proposta Ok</v>
      </c>
    </row>
    <row r="4826" spans="12:15" x14ac:dyDescent="0.25">
      <c r="L4826">
        <f t="shared" si="300"/>
        <v>0</v>
      </c>
      <c r="M4826">
        <f t="shared" si="301"/>
        <v>1</v>
      </c>
      <c r="N4826">
        <f t="shared" si="302"/>
        <v>0</v>
      </c>
      <c r="O4826" t="str">
        <f t="shared" si="303"/>
        <v>Proposta Ok</v>
      </c>
    </row>
    <row r="4827" spans="12:15" x14ac:dyDescent="0.25">
      <c r="L4827">
        <f t="shared" ref="L4827:L4890" si="304">IF(OR(I4827="Termo OK (Exceção)",I4827="Termo OK"),1,0)</f>
        <v>0</v>
      </c>
      <c r="M4827">
        <f t="shared" ref="M4827:M4890" si="305">IF(OR(I4827="Termo OK (Exceção)",I4827="Termo OK"),0,1)</f>
        <v>1</v>
      </c>
      <c r="N4827">
        <f t="shared" ref="N4827:N4890" si="306">IF(J4827="SIM",1,0)</f>
        <v>0</v>
      </c>
      <c r="O4827" t="str">
        <f t="shared" ref="O4827:O4890" si="307">IF(SUMIFS(M:M,A:A,A4827)&gt;0,"Proposta não Ok","Proposta Ok")</f>
        <v>Proposta Ok</v>
      </c>
    </row>
    <row r="4828" spans="12:15" x14ac:dyDescent="0.25">
      <c r="L4828">
        <f t="shared" si="304"/>
        <v>0</v>
      </c>
      <c r="M4828">
        <f t="shared" si="305"/>
        <v>1</v>
      </c>
      <c r="N4828">
        <f t="shared" si="306"/>
        <v>0</v>
      </c>
      <c r="O4828" t="str">
        <f t="shared" si="307"/>
        <v>Proposta Ok</v>
      </c>
    </row>
    <row r="4829" spans="12:15" x14ac:dyDescent="0.25">
      <c r="L4829">
        <f t="shared" si="304"/>
        <v>0</v>
      </c>
      <c r="M4829">
        <f t="shared" si="305"/>
        <v>1</v>
      </c>
      <c r="N4829">
        <f t="shared" si="306"/>
        <v>0</v>
      </c>
      <c r="O4829" t="str">
        <f t="shared" si="307"/>
        <v>Proposta Ok</v>
      </c>
    </row>
    <row r="4830" spans="12:15" x14ac:dyDescent="0.25">
      <c r="L4830">
        <f t="shared" si="304"/>
        <v>0</v>
      </c>
      <c r="M4830">
        <f t="shared" si="305"/>
        <v>1</v>
      </c>
      <c r="N4830">
        <f t="shared" si="306"/>
        <v>0</v>
      </c>
      <c r="O4830" t="str">
        <f t="shared" si="307"/>
        <v>Proposta Ok</v>
      </c>
    </row>
    <row r="4831" spans="12:15" x14ac:dyDescent="0.25">
      <c r="L4831">
        <f t="shared" si="304"/>
        <v>0</v>
      </c>
      <c r="M4831">
        <f t="shared" si="305"/>
        <v>1</v>
      </c>
      <c r="N4831">
        <f t="shared" si="306"/>
        <v>0</v>
      </c>
      <c r="O4831" t="str">
        <f t="shared" si="307"/>
        <v>Proposta Ok</v>
      </c>
    </row>
    <row r="4832" spans="12:15" x14ac:dyDescent="0.25">
      <c r="L4832">
        <f t="shared" si="304"/>
        <v>0</v>
      </c>
      <c r="M4832">
        <f t="shared" si="305"/>
        <v>1</v>
      </c>
      <c r="N4832">
        <f t="shared" si="306"/>
        <v>0</v>
      </c>
      <c r="O4832" t="str">
        <f t="shared" si="307"/>
        <v>Proposta Ok</v>
      </c>
    </row>
    <row r="4833" spans="12:15" x14ac:dyDescent="0.25">
      <c r="L4833">
        <f t="shared" si="304"/>
        <v>0</v>
      </c>
      <c r="M4833">
        <f t="shared" si="305"/>
        <v>1</v>
      </c>
      <c r="N4833">
        <f t="shared" si="306"/>
        <v>0</v>
      </c>
      <c r="O4833" t="str">
        <f t="shared" si="307"/>
        <v>Proposta Ok</v>
      </c>
    </row>
    <row r="4834" spans="12:15" x14ac:dyDescent="0.25">
      <c r="L4834">
        <f t="shared" si="304"/>
        <v>0</v>
      </c>
      <c r="M4834">
        <f t="shared" si="305"/>
        <v>1</v>
      </c>
      <c r="N4834">
        <f t="shared" si="306"/>
        <v>0</v>
      </c>
      <c r="O4834" t="str">
        <f t="shared" si="307"/>
        <v>Proposta Ok</v>
      </c>
    </row>
    <row r="4835" spans="12:15" x14ac:dyDescent="0.25">
      <c r="L4835">
        <f t="shared" si="304"/>
        <v>0</v>
      </c>
      <c r="M4835">
        <f t="shared" si="305"/>
        <v>1</v>
      </c>
      <c r="N4835">
        <f t="shared" si="306"/>
        <v>0</v>
      </c>
      <c r="O4835" t="str">
        <f t="shared" si="307"/>
        <v>Proposta Ok</v>
      </c>
    </row>
    <row r="4836" spans="12:15" x14ac:dyDescent="0.25">
      <c r="L4836">
        <f t="shared" si="304"/>
        <v>0</v>
      </c>
      <c r="M4836">
        <f t="shared" si="305"/>
        <v>1</v>
      </c>
      <c r="N4836">
        <f t="shared" si="306"/>
        <v>0</v>
      </c>
      <c r="O4836" t="str">
        <f t="shared" si="307"/>
        <v>Proposta Ok</v>
      </c>
    </row>
    <row r="4837" spans="12:15" x14ac:dyDescent="0.25">
      <c r="L4837">
        <f t="shared" si="304"/>
        <v>0</v>
      </c>
      <c r="M4837">
        <f t="shared" si="305"/>
        <v>1</v>
      </c>
      <c r="N4837">
        <f t="shared" si="306"/>
        <v>0</v>
      </c>
      <c r="O4837" t="str">
        <f t="shared" si="307"/>
        <v>Proposta Ok</v>
      </c>
    </row>
    <row r="4838" spans="12:15" x14ac:dyDescent="0.25">
      <c r="L4838">
        <f t="shared" si="304"/>
        <v>0</v>
      </c>
      <c r="M4838">
        <f t="shared" si="305"/>
        <v>1</v>
      </c>
      <c r="N4838">
        <f t="shared" si="306"/>
        <v>0</v>
      </c>
      <c r="O4838" t="str">
        <f t="shared" si="307"/>
        <v>Proposta Ok</v>
      </c>
    </row>
    <row r="4839" spans="12:15" x14ac:dyDescent="0.25">
      <c r="L4839">
        <f t="shared" si="304"/>
        <v>0</v>
      </c>
      <c r="M4839">
        <f t="shared" si="305"/>
        <v>1</v>
      </c>
      <c r="N4839">
        <f t="shared" si="306"/>
        <v>0</v>
      </c>
      <c r="O4839" t="str">
        <f t="shared" si="307"/>
        <v>Proposta Ok</v>
      </c>
    </row>
    <row r="4840" spans="12:15" x14ac:dyDescent="0.25">
      <c r="L4840">
        <f t="shared" si="304"/>
        <v>0</v>
      </c>
      <c r="M4840">
        <f t="shared" si="305"/>
        <v>1</v>
      </c>
      <c r="N4840">
        <f t="shared" si="306"/>
        <v>0</v>
      </c>
      <c r="O4840" t="str">
        <f t="shared" si="307"/>
        <v>Proposta Ok</v>
      </c>
    </row>
    <row r="4841" spans="12:15" x14ac:dyDescent="0.25">
      <c r="L4841">
        <f t="shared" si="304"/>
        <v>0</v>
      </c>
      <c r="M4841">
        <f t="shared" si="305"/>
        <v>1</v>
      </c>
      <c r="N4841">
        <f t="shared" si="306"/>
        <v>0</v>
      </c>
      <c r="O4841" t="str">
        <f t="shared" si="307"/>
        <v>Proposta Ok</v>
      </c>
    </row>
    <row r="4842" spans="12:15" x14ac:dyDescent="0.25">
      <c r="L4842">
        <f t="shared" si="304"/>
        <v>0</v>
      </c>
      <c r="M4842">
        <f t="shared" si="305"/>
        <v>1</v>
      </c>
      <c r="N4842">
        <f t="shared" si="306"/>
        <v>0</v>
      </c>
      <c r="O4842" t="str">
        <f t="shared" si="307"/>
        <v>Proposta Ok</v>
      </c>
    </row>
    <row r="4843" spans="12:15" x14ac:dyDescent="0.25">
      <c r="L4843">
        <f t="shared" si="304"/>
        <v>0</v>
      </c>
      <c r="M4843">
        <f t="shared" si="305"/>
        <v>1</v>
      </c>
      <c r="N4843">
        <f t="shared" si="306"/>
        <v>0</v>
      </c>
      <c r="O4843" t="str">
        <f t="shared" si="307"/>
        <v>Proposta Ok</v>
      </c>
    </row>
    <row r="4844" spans="12:15" x14ac:dyDescent="0.25">
      <c r="L4844">
        <f t="shared" si="304"/>
        <v>0</v>
      </c>
      <c r="M4844">
        <f t="shared" si="305"/>
        <v>1</v>
      </c>
      <c r="N4844">
        <f t="shared" si="306"/>
        <v>0</v>
      </c>
      <c r="O4844" t="str">
        <f t="shared" si="307"/>
        <v>Proposta Ok</v>
      </c>
    </row>
    <row r="4845" spans="12:15" x14ac:dyDescent="0.25">
      <c r="L4845">
        <f t="shared" si="304"/>
        <v>0</v>
      </c>
      <c r="M4845">
        <f t="shared" si="305"/>
        <v>1</v>
      </c>
      <c r="N4845">
        <f t="shared" si="306"/>
        <v>0</v>
      </c>
      <c r="O4845" t="str">
        <f t="shared" si="307"/>
        <v>Proposta Ok</v>
      </c>
    </row>
    <row r="4846" spans="12:15" x14ac:dyDescent="0.25">
      <c r="L4846">
        <f t="shared" si="304"/>
        <v>0</v>
      </c>
      <c r="M4846">
        <f t="shared" si="305"/>
        <v>1</v>
      </c>
      <c r="N4846">
        <f t="shared" si="306"/>
        <v>0</v>
      </c>
      <c r="O4846" t="str">
        <f t="shared" si="307"/>
        <v>Proposta Ok</v>
      </c>
    </row>
    <row r="4847" spans="12:15" x14ac:dyDescent="0.25">
      <c r="L4847">
        <f t="shared" si="304"/>
        <v>0</v>
      </c>
      <c r="M4847">
        <f t="shared" si="305"/>
        <v>1</v>
      </c>
      <c r="N4847">
        <f t="shared" si="306"/>
        <v>0</v>
      </c>
      <c r="O4847" t="str">
        <f t="shared" si="307"/>
        <v>Proposta Ok</v>
      </c>
    </row>
    <row r="4848" spans="12:15" x14ac:dyDescent="0.25">
      <c r="L4848">
        <f t="shared" si="304"/>
        <v>0</v>
      </c>
      <c r="M4848">
        <f t="shared" si="305"/>
        <v>1</v>
      </c>
      <c r="N4848">
        <f t="shared" si="306"/>
        <v>0</v>
      </c>
      <c r="O4848" t="str">
        <f t="shared" si="307"/>
        <v>Proposta Ok</v>
      </c>
    </row>
    <row r="4849" spans="12:15" x14ac:dyDescent="0.25">
      <c r="L4849">
        <f t="shared" si="304"/>
        <v>0</v>
      </c>
      <c r="M4849">
        <f t="shared" si="305"/>
        <v>1</v>
      </c>
      <c r="N4849">
        <f t="shared" si="306"/>
        <v>0</v>
      </c>
      <c r="O4849" t="str">
        <f t="shared" si="307"/>
        <v>Proposta Ok</v>
      </c>
    </row>
    <row r="4850" spans="12:15" x14ac:dyDescent="0.25">
      <c r="L4850">
        <f t="shared" si="304"/>
        <v>0</v>
      </c>
      <c r="M4850">
        <f t="shared" si="305"/>
        <v>1</v>
      </c>
      <c r="N4850">
        <f t="shared" si="306"/>
        <v>0</v>
      </c>
      <c r="O4850" t="str">
        <f t="shared" si="307"/>
        <v>Proposta Ok</v>
      </c>
    </row>
    <row r="4851" spans="12:15" x14ac:dyDescent="0.25">
      <c r="L4851">
        <f t="shared" si="304"/>
        <v>0</v>
      </c>
      <c r="M4851">
        <f t="shared" si="305"/>
        <v>1</v>
      </c>
      <c r="N4851">
        <f t="shared" si="306"/>
        <v>0</v>
      </c>
      <c r="O4851" t="str">
        <f t="shared" si="307"/>
        <v>Proposta Ok</v>
      </c>
    </row>
    <row r="4852" spans="12:15" x14ac:dyDescent="0.25">
      <c r="L4852">
        <f t="shared" si="304"/>
        <v>0</v>
      </c>
      <c r="M4852">
        <f t="shared" si="305"/>
        <v>1</v>
      </c>
      <c r="N4852">
        <f t="shared" si="306"/>
        <v>0</v>
      </c>
      <c r="O4852" t="str">
        <f t="shared" si="307"/>
        <v>Proposta Ok</v>
      </c>
    </row>
    <row r="4853" spans="12:15" x14ac:dyDescent="0.25">
      <c r="L4853">
        <f t="shared" si="304"/>
        <v>0</v>
      </c>
      <c r="M4853">
        <f t="shared" si="305"/>
        <v>1</v>
      </c>
      <c r="N4853">
        <f t="shared" si="306"/>
        <v>0</v>
      </c>
      <c r="O4853" t="str">
        <f t="shared" si="307"/>
        <v>Proposta Ok</v>
      </c>
    </row>
    <row r="4854" spans="12:15" x14ac:dyDescent="0.25">
      <c r="L4854">
        <f t="shared" si="304"/>
        <v>0</v>
      </c>
      <c r="M4854">
        <f t="shared" si="305"/>
        <v>1</v>
      </c>
      <c r="N4854">
        <f t="shared" si="306"/>
        <v>0</v>
      </c>
      <c r="O4854" t="str">
        <f t="shared" si="307"/>
        <v>Proposta Ok</v>
      </c>
    </row>
    <row r="4855" spans="12:15" x14ac:dyDescent="0.25">
      <c r="L4855">
        <f t="shared" si="304"/>
        <v>0</v>
      </c>
      <c r="M4855">
        <f t="shared" si="305"/>
        <v>1</v>
      </c>
      <c r="N4855">
        <f t="shared" si="306"/>
        <v>0</v>
      </c>
      <c r="O4855" t="str">
        <f t="shared" si="307"/>
        <v>Proposta Ok</v>
      </c>
    </row>
    <row r="4856" spans="12:15" x14ac:dyDescent="0.25">
      <c r="L4856">
        <f t="shared" si="304"/>
        <v>0</v>
      </c>
      <c r="M4856">
        <f t="shared" si="305"/>
        <v>1</v>
      </c>
      <c r="N4856">
        <f t="shared" si="306"/>
        <v>0</v>
      </c>
      <c r="O4856" t="str">
        <f t="shared" si="307"/>
        <v>Proposta Ok</v>
      </c>
    </row>
    <row r="4857" spans="12:15" x14ac:dyDescent="0.25">
      <c r="L4857">
        <f t="shared" si="304"/>
        <v>0</v>
      </c>
      <c r="M4857">
        <f t="shared" si="305"/>
        <v>1</v>
      </c>
      <c r="N4857">
        <f t="shared" si="306"/>
        <v>0</v>
      </c>
      <c r="O4857" t="str">
        <f t="shared" si="307"/>
        <v>Proposta Ok</v>
      </c>
    </row>
    <row r="4858" spans="12:15" x14ac:dyDescent="0.25">
      <c r="L4858">
        <f t="shared" si="304"/>
        <v>0</v>
      </c>
      <c r="M4858">
        <f t="shared" si="305"/>
        <v>1</v>
      </c>
      <c r="N4858">
        <f t="shared" si="306"/>
        <v>0</v>
      </c>
      <c r="O4858" t="str">
        <f t="shared" si="307"/>
        <v>Proposta Ok</v>
      </c>
    </row>
    <row r="4859" spans="12:15" x14ac:dyDescent="0.25">
      <c r="L4859">
        <f t="shared" si="304"/>
        <v>0</v>
      </c>
      <c r="M4859">
        <f t="shared" si="305"/>
        <v>1</v>
      </c>
      <c r="N4859">
        <f t="shared" si="306"/>
        <v>0</v>
      </c>
      <c r="O4859" t="str">
        <f t="shared" si="307"/>
        <v>Proposta Ok</v>
      </c>
    </row>
    <row r="4860" spans="12:15" x14ac:dyDescent="0.25">
      <c r="L4860">
        <f t="shared" si="304"/>
        <v>0</v>
      </c>
      <c r="M4860">
        <f t="shared" si="305"/>
        <v>1</v>
      </c>
      <c r="N4860">
        <f t="shared" si="306"/>
        <v>0</v>
      </c>
      <c r="O4860" t="str">
        <f t="shared" si="307"/>
        <v>Proposta Ok</v>
      </c>
    </row>
    <row r="4861" spans="12:15" x14ac:dyDescent="0.25">
      <c r="L4861">
        <f t="shared" si="304"/>
        <v>0</v>
      </c>
      <c r="M4861">
        <f t="shared" si="305"/>
        <v>1</v>
      </c>
      <c r="N4861">
        <f t="shared" si="306"/>
        <v>0</v>
      </c>
      <c r="O4861" t="str">
        <f t="shared" si="307"/>
        <v>Proposta Ok</v>
      </c>
    </row>
    <row r="4862" spans="12:15" x14ac:dyDescent="0.25">
      <c r="L4862">
        <f t="shared" si="304"/>
        <v>0</v>
      </c>
      <c r="M4862">
        <f t="shared" si="305"/>
        <v>1</v>
      </c>
      <c r="N4862">
        <f t="shared" si="306"/>
        <v>0</v>
      </c>
      <c r="O4862" t="str">
        <f t="shared" si="307"/>
        <v>Proposta Ok</v>
      </c>
    </row>
    <row r="4863" spans="12:15" x14ac:dyDescent="0.25">
      <c r="L4863">
        <f t="shared" si="304"/>
        <v>0</v>
      </c>
      <c r="M4863">
        <f t="shared" si="305"/>
        <v>1</v>
      </c>
      <c r="N4863">
        <f t="shared" si="306"/>
        <v>0</v>
      </c>
      <c r="O4863" t="str">
        <f t="shared" si="307"/>
        <v>Proposta Ok</v>
      </c>
    </row>
    <row r="4864" spans="12:15" x14ac:dyDescent="0.25">
      <c r="L4864">
        <f t="shared" si="304"/>
        <v>0</v>
      </c>
      <c r="M4864">
        <f t="shared" si="305"/>
        <v>1</v>
      </c>
      <c r="N4864">
        <f t="shared" si="306"/>
        <v>0</v>
      </c>
      <c r="O4864" t="str">
        <f t="shared" si="307"/>
        <v>Proposta Ok</v>
      </c>
    </row>
    <row r="4865" spans="12:15" x14ac:dyDescent="0.25">
      <c r="L4865">
        <f t="shared" si="304"/>
        <v>0</v>
      </c>
      <c r="M4865">
        <f t="shared" si="305"/>
        <v>1</v>
      </c>
      <c r="N4865">
        <f t="shared" si="306"/>
        <v>0</v>
      </c>
      <c r="O4865" t="str">
        <f t="shared" si="307"/>
        <v>Proposta Ok</v>
      </c>
    </row>
    <row r="4866" spans="12:15" x14ac:dyDescent="0.25">
      <c r="L4866">
        <f t="shared" si="304"/>
        <v>0</v>
      </c>
      <c r="M4866">
        <f t="shared" si="305"/>
        <v>1</v>
      </c>
      <c r="N4866">
        <f t="shared" si="306"/>
        <v>0</v>
      </c>
      <c r="O4866" t="str">
        <f t="shared" si="307"/>
        <v>Proposta Ok</v>
      </c>
    </row>
    <row r="4867" spans="12:15" x14ac:dyDescent="0.25">
      <c r="L4867">
        <f t="shared" si="304"/>
        <v>0</v>
      </c>
      <c r="M4867">
        <f t="shared" si="305"/>
        <v>1</v>
      </c>
      <c r="N4867">
        <f t="shared" si="306"/>
        <v>0</v>
      </c>
      <c r="O4867" t="str">
        <f t="shared" si="307"/>
        <v>Proposta Ok</v>
      </c>
    </row>
    <row r="4868" spans="12:15" x14ac:dyDescent="0.25">
      <c r="L4868">
        <f t="shared" si="304"/>
        <v>0</v>
      </c>
      <c r="M4868">
        <f t="shared" si="305"/>
        <v>1</v>
      </c>
      <c r="N4868">
        <f t="shared" si="306"/>
        <v>0</v>
      </c>
      <c r="O4868" t="str">
        <f t="shared" si="307"/>
        <v>Proposta Ok</v>
      </c>
    </row>
    <row r="4869" spans="12:15" x14ac:dyDescent="0.25">
      <c r="L4869">
        <f t="shared" si="304"/>
        <v>0</v>
      </c>
      <c r="M4869">
        <f t="shared" si="305"/>
        <v>1</v>
      </c>
      <c r="N4869">
        <f t="shared" si="306"/>
        <v>0</v>
      </c>
      <c r="O4869" t="str">
        <f t="shared" si="307"/>
        <v>Proposta Ok</v>
      </c>
    </row>
    <row r="4870" spans="12:15" x14ac:dyDescent="0.25">
      <c r="L4870">
        <f t="shared" si="304"/>
        <v>0</v>
      </c>
      <c r="M4870">
        <f t="shared" si="305"/>
        <v>1</v>
      </c>
      <c r="N4870">
        <f t="shared" si="306"/>
        <v>0</v>
      </c>
      <c r="O4870" t="str">
        <f t="shared" si="307"/>
        <v>Proposta Ok</v>
      </c>
    </row>
    <row r="4871" spans="12:15" x14ac:dyDescent="0.25">
      <c r="L4871">
        <f t="shared" si="304"/>
        <v>0</v>
      </c>
      <c r="M4871">
        <f t="shared" si="305"/>
        <v>1</v>
      </c>
      <c r="N4871">
        <f t="shared" si="306"/>
        <v>0</v>
      </c>
      <c r="O4871" t="str">
        <f t="shared" si="307"/>
        <v>Proposta Ok</v>
      </c>
    </row>
    <row r="4872" spans="12:15" x14ac:dyDescent="0.25">
      <c r="L4872">
        <f t="shared" si="304"/>
        <v>0</v>
      </c>
      <c r="M4872">
        <f t="shared" si="305"/>
        <v>1</v>
      </c>
      <c r="N4872">
        <f t="shared" si="306"/>
        <v>0</v>
      </c>
      <c r="O4872" t="str">
        <f t="shared" si="307"/>
        <v>Proposta Ok</v>
      </c>
    </row>
    <row r="4873" spans="12:15" x14ac:dyDescent="0.25">
      <c r="L4873">
        <f t="shared" si="304"/>
        <v>0</v>
      </c>
      <c r="M4873">
        <f t="shared" si="305"/>
        <v>1</v>
      </c>
      <c r="N4873">
        <f t="shared" si="306"/>
        <v>0</v>
      </c>
      <c r="O4873" t="str">
        <f t="shared" si="307"/>
        <v>Proposta Ok</v>
      </c>
    </row>
    <row r="4874" spans="12:15" x14ac:dyDescent="0.25">
      <c r="L4874">
        <f t="shared" si="304"/>
        <v>0</v>
      </c>
      <c r="M4874">
        <f t="shared" si="305"/>
        <v>1</v>
      </c>
      <c r="N4874">
        <f t="shared" si="306"/>
        <v>0</v>
      </c>
      <c r="O4874" t="str">
        <f t="shared" si="307"/>
        <v>Proposta Ok</v>
      </c>
    </row>
    <row r="4875" spans="12:15" x14ac:dyDescent="0.25">
      <c r="L4875">
        <f t="shared" si="304"/>
        <v>0</v>
      </c>
      <c r="M4875">
        <f t="shared" si="305"/>
        <v>1</v>
      </c>
      <c r="N4875">
        <f t="shared" si="306"/>
        <v>0</v>
      </c>
      <c r="O4875" t="str">
        <f t="shared" si="307"/>
        <v>Proposta Ok</v>
      </c>
    </row>
    <row r="4876" spans="12:15" x14ac:dyDescent="0.25">
      <c r="L4876">
        <f t="shared" si="304"/>
        <v>0</v>
      </c>
      <c r="M4876">
        <f t="shared" si="305"/>
        <v>1</v>
      </c>
      <c r="N4876">
        <f t="shared" si="306"/>
        <v>0</v>
      </c>
      <c r="O4876" t="str">
        <f t="shared" si="307"/>
        <v>Proposta Ok</v>
      </c>
    </row>
    <row r="4877" spans="12:15" x14ac:dyDescent="0.25">
      <c r="L4877">
        <f t="shared" si="304"/>
        <v>0</v>
      </c>
      <c r="M4877">
        <f t="shared" si="305"/>
        <v>1</v>
      </c>
      <c r="N4877">
        <f t="shared" si="306"/>
        <v>0</v>
      </c>
      <c r="O4877" t="str">
        <f t="shared" si="307"/>
        <v>Proposta Ok</v>
      </c>
    </row>
    <row r="4878" spans="12:15" x14ac:dyDescent="0.25">
      <c r="L4878">
        <f t="shared" si="304"/>
        <v>0</v>
      </c>
      <c r="M4878">
        <f t="shared" si="305"/>
        <v>1</v>
      </c>
      <c r="N4878">
        <f t="shared" si="306"/>
        <v>0</v>
      </c>
      <c r="O4878" t="str">
        <f t="shared" si="307"/>
        <v>Proposta Ok</v>
      </c>
    </row>
    <row r="4879" spans="12:15" x14ac:dyDescent="0.25">
      <c r="L4879">
        <f t="shared" si="304"/>
        <v>0</v>
      </c>
      <c r="M4879">
        <f t="shared" si="305"/>
        <v>1</v>
      </c>
      <c r="N4879">
        <f t="shared" si="306"/>
        <v>0</v>
      </c>
      <c r="O4879" t="str">
        <f t="shared" si="307"/>
        <v>Proposta Ok</v>
      </c>
    </row>
    <row r="4880" spans="12:15" x14ac:dyDescent="0.25">
      <c r="L4880">
        <f t="shared" si="304"/>
        <v>0</v>
      </c>
      <c r="M4880">
        <f t="shared" si="305"/>
        <v>1</v>
      </c>
      <c r="N4880">
        <f t="shared" si="306"/>
        <v>0</v>
      </c>
      <c r="O4880" t="str">
        <f t="shared" si="307"/>
        <v>Proposta Ok</v>
      </c>
    </row>
    <row r="4881" spans="12:15" x14ac:dyDescent="0.25">
      <c r="L4881">
        <f t="shared" si="304"/>
        <v>0</v>
      </c>
      <c r="M4881">
        <f t="shared" si="305"/>
        <v>1</v>
      </c>
      <c r="N4881">
        <f t="shared" si="306"/>
        <v>0</v>
      </c>
      <c r="O4881" t="str">
        <f t="shared" si="307"/>
        <v>Proposta Ok</v>
      </c>
    </row>
    <row r="4882" spans="12:15" x14ac:dyDescent="0.25">
      <c r="L4882">
        <f t="shared" si="304"/>
        <v>0</v>
      </c>
      <c r="M4882">
        <f t="shared" si="305"/>
        <v>1</v>
      </c>
      <c r="N4882">
        <f t="shared" si="306"/>
        <v>0</v>
      </c>
      <c r="O4882" t="str">
        <f t="shared" si="307"/>
        <v>Proposta Ok</v>
      </c>
    </row>
    <row r="4883" spans="12:15" x14ac:dyDescent="0.25">
      <c r="L4883">
        <f t="shared" si="304"/>
        <v>0</v>
      </c>
      <c r="M4883">
        <f t="shared" si="305"/>
        <v>1</v>
      </c>
      <c r="N4883">
        <f t="shared" si="306"/>
        <v>0</v>
      </c>
      <c r="O4883" t="str">
        <f t="shared" si="307"/>
        <v>Proposta Ok</v>
      </c>
    </row>
    <row r="4884" spans="12:15" x14ac:dyDescent="0.25">
      <c r="L4884">
        <f t="shared" si="304"/>
        <v>0</v>
      </c>
      <c r="M4884">
        <f t="shared" si="305"/>
        <v>1</v>
      </c>
      <c r="N4884">
        <f t="shared" si="306"/>
        <v>0</v>
      </c>
      <c r="O4884" t="str">
        <f t="shared" si="307"/>
        <v>Proposta Ok</v>
      </c>
    </row>
    <row r="4885" spans="12:15" x14ac:dyDescent="0.25">
      <c r="L4885">
        <f t="shared" si="304"/>
        <v>0</v>
      </c>
      <c r="M4885">
        <f t="shared" si="305"/>
        <v>1</v>
      </c>
      <c r="N4885">
        <f t="shared" si="306"/>
        <v>0</v>
      </c>
      <c r="O4885" t="str">
        <f t="shared" si="307"/>
        <v>Proposta Ok</v>
      </c>
    </row>
    <row r="4886" spans="12:15" x14ac:dyDescent="0.25">
      <c r="L4886">
        <f t="shared" si="304"/>
        <v>0</v>
      </c>
      <c r="M4886">
        <f t="shared" si="305"/>
        <v>1</v>
      </c>
      <c r="N4886">
        <f t="shared" si="306"/>
        <v>0</v>
      </c>
      <c r="O4886" t="str">
        <f t="shared" si="307"/>
        <v>Proposta Ok</v>
      </c>
    </row>
    <row r="4887" spans="12:15" x14ac:dyDescent="0.25">
      <c r="L4887">
        <f t="shared" si="304"/>
        <v>0</v>
      </c>
      <c r="M4887">
        <f t="shared" si="305"/>
        <v>1</v>
      </c>
      <c r="N4887">
        <f t="shared" si="306"/>
        <v>0</v>
      </c>
      <c r="O4887" t="str">
        <f t="shared" si="307"/>
        <v>Proposta Ok</v>
      </c>
    </row>
    <row r="4888" spans="12:15" x14ac:dyDescent="0.25">
      <c r="L4888">
        <f t="shared" si="304"/>
        <v>0</v>
      </c>
      <c r="M4888">
        <f t="shared" si="305"/>
        <v>1</v>
      </c>
      <c r="N4888">
        <f t="shared" si="306"/>
        <v>0</v>
      </c>
      <c r="O4888" t="str">
        <f t="shared" si="307"/>
        <v>Proposta Ok</v>
      </c>
    </row>
    <row r="4889" spans="12:15" x14ac:dyDescent="0.25">
      <c r="L4889">
        <f t="shared" si="304"/>
        <v>0</v>
      </c>
      <c r="M4889">
        <f t="shared" si="305"/>
        <v>1</v>
      </c>
      <c r="N4889">
        <f t="shared" si="306"/>
        <v>0</v>
      </c>
      <c r="O4889" t="str">
        <f t="shared" si="307"/>
        <v>Proposta Ok</v>
      </c>
    </row>
    <row r="4890" spans="12:15" x14ac:dyDescent="0.25">
      <c r="L4890">
        <f t="shared" si="304"/>
        <v>0</v>
      </c>
      <c r="M4890">
        <f t="shared" si="305"/>
        <v>1</v>
      </c>
      <c r="N4890">
        <f t="shared" si="306"/>
        <v>0</v>
      </c>
      <c r="O4890" t="str">
        <f t="shared" si="307"/>
        <v>Proposta Ok</v>
      </c>
    </row>
    <row r="4891" spans="12:15" x14ac:dyDescent="0.25">
      <c r="L4891">
        <f t="shared" ref="L4891:L4954" si="308">IF(OR(I4891="Termo OK (Exceção)",I4891="Termo OK"),1,0)</f>
        <v>0</v>
      </c>
      <c r="M4891">
        <f t="shared" ref="M4891:M4954" si="309">IF(OR(I4891="Termo OK (Exceção)",I4891="Termo OK"),0,1)</f>
        <v>1</v>
      </c>
      <c r="N4891">
        <f t="shared" ref="N4891:N4954" si="310">IF(J4891="SIM",1,0)</f>
        <v>0</v>
      </c>
      <c r="O4891" t="str">
        <f t="shared" ref="O4891:O4954" si="311">IF(SUMIFS(M:M,A:A,A4891)&gt;0,"Proposta não Ok","Proposta Ok")</f>
        <v>Proposta Ok</v>
      </c>
    </row>
    <row r="4892" spans="12:15" x14ac:dyDescent="0.25">
      <c r="L4892">
        <f t="shared" si="308"/>
        <v>0</v>
      </c>
      <c r="M4892">
        <f t="shared" si="309"/>
        <v>1</v>
      </c>
      <c r="N4892">
        <f t="shared" si="310"/>
        <v>0</v>
      </c>
      <c r="O4892" t="str">
        <f t="shared" si="311"/>
        <v>Proposta Ok</v>
      </c>
    </row>
    <row r="4893" spans="12:15" x14ac:dyDescent="0.25">
      <c r="L4893">
        <f t="shared" si="308"/>
        <v>0</v>
      </c>
      <c r="M4893">
        <f t="shared" si="309"/>
        <v>1</v>
      </c>
      <c r="N4893">
        <f t="shared" si="310"/>
        <v>0</v>
      </c>
      <c r="O4893" t="str">
        <f t="shared" si="311"/>
        <v>Proposta Ok</v>
      </c>
    </row>
    <row r="4894" spans="12:15" x14ac:dyDescent="0.25">
      <c r="L4894">
        <f t="shared" si="308"/>
        <v>0</v>
      </c>
      <c r="M4894">
        <f t="shared" si="309"/>
        <v>1</v>
      </c>
      <c r="N4894">
        <f t="shared" si="310"/>
        <v>0</v>
      </c>
      <c r="O4894" t="str">
        <f t="shared" si="311"/>
        <v>Proposta Ok</v>
      </c>
    </row>
    <row r="4895" spans="12:15" x14ac:dyDescent="0.25">
      <c r="L4895">
        <f t="shared" si="308"/>
        <v>0</v>
      </c>
      <c r="M4895">
        <f t="shared" si="309"/>
        <v>1</v>
      </c>
      <c r="N4895">
        <f t="shared" si="310"/>
        <v>0</v>
      </c>
      <c r="O4895" t="str">
        <f t="shared" si="311"/>
        <v>Proposta Ok</v>
      </c>
    </row>
    <row r="4896" spans="12:15" x14ac:dyDescent="0.25">
      <c r="L4896">
        <f t="shared" si="308"/>
        <v>0</v>
      </c>
      <c r="M4896">
        <f t="shared" si="309"/>
        <v>1</v>
      </c>
      <c r="N4896">
        <f t="shared" si="310"/>
        <v>0</v>
      </c>
      <c r="O4896" t="str">
        <f t="shared" si="311"/>
        <v>Proposta Ok</v>
      </c>
    </row>
    <row r="4897" spans="12:15" x14ac:dyDescent="0.25">
      <c r="L4897">
        <f t="shared" si="308"/>
        <v>0</v>
      </c>
      <c r="M4897">
        <f t="shared" si="309"/>
        <v>1</v>
      </c>
      <c r="N4897">
        <f t="shared" si="310"/>
        <v>0</v>
      </c>
      <c r="O4897" t="str">
        <f t="shared" si="311"/>
        <v>Proposta Ok</v>
      </c>
    </row>
    <row r="4898" spans="12:15" x14ac:dyDescent="0.25">
      <c r="L4898">
        <f t="shared" si="308"/>
        <v>0</v>
      </c>
      <c r="M4898">
        <f t="shared" si="309"/>
        <v>1</v>
      </c>
      <c r="N4898">
        <f t="shared" si="310"/>
        <v>0</v>
      </c>
      <c r="O4898" t="str">
        <f t="shared" si="311"/>
        <v>Proposta Ok</v>
      </c>
    </row>
    <row r="4899" spans="12:15" x14ac:dyDescent="0.25">
      <c r="L4899">
        <f t="shared" si="308"/>
        <v>0</v>
      </c>
      <c r="M4899">
        <f t="shared" si="309"/>
        <v>1</v>
      </c>
      <c r="N4899">
        <f t="shared" si="310"/>
        <v>0</v>
      </c>
      <c r="O4899" t="str">
        <f t="shared" si="311"/>
        <v>Proposta Ok</v>
      </c>
    </row>
    <row r="4900" spans="12:15" x14ac:dyDescent="0.25">
      <c r="L4900">
        <f t="shared" si="308"/>
        <v>0</v>
      </c>
      <c r="M4900">
        <f t="shared" si="309"/>
        <v>1</v>
      </c>
      <c r="N4900">
        <f t="shared" si="310"/>
        <v>0</v>
      </c>
      <c r="O4900" t="str">
        <f t="shared" si="311"/>
        <v>Proposta Ok</v>
      </c>
    </row>
    <row r="4901" spans="12:15" x14ac:dyDescent="0.25">
      <c r="L4901">
        <f t="shared" si="308"/>
        <v>0</v>
      </c>
      <c r="M4901">
        <f t="shared" si="309"/>
        <v>1</v>
      </c>
      <c r="N4901">
        <f t="shared" si="310"/>
        <v>0</v>
      </c>
      <c r="O4901" t="str">
        <f t="shared" si="311"/>
        <v>Proposta Ok</v>
      </c>
    </row>
    <row r="4902" spans="12:15" x14ac:dyDescent="0.25">
      <c r="L4902">
        <f t="shared" si="308"/>
        <v>0</v>
      </c>
      <c r="M4902">
        <f t="shared" si="309"/>
        <v>1</v>
      </c>
      <c r="N4902">
        <f t="shared" si="310"/>
        <v>0</v>
      </c>
      <c r="O4902" t="str">
        <f t="shared" si="311"/>
        <v>Proposta Ok</v>
      </c>
    </row>
    <row r="4903" spans="12:15" x14ac:dyDescent="0.25">
      <c r="L4903">
        <f t="shared" si="308"/>
        <v>0</v>
      </c>
      <c r="M4903">
        <f t="shared" si="309"/>
        <v>1</v>
      </c>
      <c r="N4903">
        <f t="shared" si="310"/>
        <v>0</v>
      </c>
      <c r="O4903" t="str">
        <f t="shared" si="311"/>
        <v>Proposta Ok</v>
      </c>
    </row>
    <row r="4904" spans="12:15" x14ac:dyDescent="0.25">
      <c r="L4904">
        <f t="shared" si="308"/>
        <v>0</v>
      </c>
      <c r="M4904">
        <f t="shared" si="309"/>
        <v>1</v>
      </c>
      <c r="N4904">
        <f t="shared" si="310"/>
        <v>0</v>
      </c>
      <c r="O4904" t="str">
        <f t="shared" si="311"/>
        <v>Proposta Ok</v>
      </c>
    </row>
    <row r="4905" spans="12:15" x14ac:dyDescent="0.25">
      <c r="L4905">
        <f t="shared" si="308"/>
        <v>0</v>
      </c>
      <c r="M4905">
        <f t="shared" si="309"/>
        <v>1</v>
      </c>
      <c r="N4905">
        <f t="shared" si="310"/>
        <v>0</v>
      </c>
      <c r="O4905" t="str">
        <f t="shared" si="311"/>
        <v>Proposta Ok</v>
      </c>
    </row>
    <row r="4906" spans="12:15" x14ac:dyDescent="0.25">
      <c r="L4906">
        <f t="shared" si="308"/>
        <v>0</v>
      </c>
      <c r="M4906">
        <f t="shared" si="309"/>
        <v>1</v>
      </c>
      <c r="N4906">
        <f t="shared" si="310"/>
        <v>0</v>
      </c>
      <c r="O4906" t="str">
        <f t="shared" si="311"/>
        <v>Proposta Ok</v>
      </c>
    </row>
    <row r="4907" spans="12:15" x14ac:dyDescent="0.25">
      <c r="L4907">
        <f t="shared" si="308"/>
        <v>0</v>
      </c>
      <c r="M4907">
        <f t="shared" si="309"/>
        <v>1</v>
      </c>
      <c r="N4907">
        <f t="shared" si="310"/>
        <v>0</v>
      </c>
      <c r="O4907" t="str">
        <f t="shared" si="311"/>
        <v>Proposta Ok</v>
      </c>
    </row>
    <row r="4908" spans="12:15" x14ac:dyDescent="0.25">
      <c r="L4908">
        <f t="shared" si="308"/>
        <v>0</v>
      </c>
      <c r="M4908">
        <f t="shared" si="309"/>
        <v>1</v>
      </c>
      <c r="N4908">
        <f t="shared" si="310"/>
        <v>0</v>
      </c>
      <c r="O4908" t="str">
        <f t="shared" si="311"/>
        <v>Proposta Ok</v>
      </c>
    </row>
    <row r="4909" spans="12:15" x14ac:dyDescent="0.25">
      <c r="L4909">
        <f t="shared" si="308"/>
        <v>0</v>
      </c>
      <c r="M4909">
        <f t="shared" si="309"/>
        <v>1</v>
      </c>
      <c r="N4909">
        <f t="shared" si="310"/>
        <v>0</v>
      </c>
      <c r="O4909" t="str">
        <f t="shared" si="311"/>
        <v>Proposta Ok</v>
      </c>
    </row>
    <row r="4910" spans="12:15" x14ac:dyDescent="0.25">
      <c r="L4910">
        <f t="shared" si="308"/>
        <v>0</v>
      </c>
      <c r="M4910">
        <f t="shared" si="309"/>
        <v>1</v>
      </c>
      <c r="N4910">
        <f t="shared" si="310"/>
        <v>0</v>
      </c>
      <c r="O4910" t="str">
        <f t="shared" si="311"/>
        <v>Proposta Ok</v>
      </c>
    </row>
    <row r="4911" spans="12:15" x14ac:dyDescent="0.25">
      <c r="L4911">
        <f t="shared" si="308"/>
        <v>0</v>
      </c>
      <c r="M4911">
        <f t="shared" si="309"/>
        <v>1</v>
      </c>
      <c r="N4911">
        <f t="shared" si="310"/>
        <v>0</v>
      </c>
      <c r="O4911" t="str">
        <f t="shared" si="311"/>
        <v>Proposta Ok</v>
      </c>
    </row>
    <row r="4912" spans="12:15" x14ac:dyDescent="0.25">
      <c r="L4912">
        <f t="shared" si="308"/>
        <v>0</v>
      </c>
      <c r="M4912">
        <f t="shared" si="309"/>
        <v>1</v>
      </c>
      <c r="N4912">
        <f t="shared" si="310"/>
        <v>0</v>
      </c>
      <c r="O4912" t="str">
        <f t="shared" si="311"/>
        <v>Proposta Ok</v>
      </c>
    </row>
    <row r="4913" spans="12:15" x14ac:dyDescent="0.25">
      <c r="L4913">
        <f t="shared" si="308"/>
        <v>0</v>
      </c>
      <c r="M4913">
        <f t="shared" si="309"/>
        <v>1</v>
      </c>
      <c r="N4913">
        <f t="shared" si="310"/>
        <v>0</v>
      </c>
      <c r="O4913" t="str">
        <f t="shared" si="311"/>
        <v>Proposta Ok</v>
      </c>
    </row>
    <row r="4914" spans="12:15" x14ac:dyDescent="0.25">
      <c r="L4914">
        <f t="shared" si="308"/>
        <v>0</v>
      </c>
      <c r="M4914">
        <f t="shared" si="309"/>
        <v>1</v>
      </c>
      <c r="N4914">
        <f t="shared" si="310"/>
        <v>0</v>
      </c>
      <c r="O4914" t="str">
        <f t="shared" si="311"/>
        <v>Proposta Ok</v>
      </c>
    </row>
    <row r="4915" spans="12:15" x14ac:dyDescent="0.25">
      <c r="L4915">
        <f t="shared" si="308"/>
        <v>0</v>
      </c>
      <c r="M4915">
        <f t="shared" si="309"/>
        <v>1</v>
      </c>
      <c r="N4915">
        <f t="shared" si="310"/>
        <v>0</v>
      </c>
      <c r="O4915" t="str">
        <f t="shared" si="311"/>
        <v>Proposta Ok</v>
      </c>
    </row>
    <row r="4916" spans="12:15" x14ac:dyDescent="0.25">
      <c r="L4916">
        <f t="shared" si="308"/>
        <v>0</v>
      </c>
      <c r="M4916">
        <f t="shared" si="309"/>
        <v>1</v>
      </c>
      <c r="N4916">
        <f t="shared" si="310"/>
        <v>0</v>
      </c>
      <c r="O4916" t="str">
        <f t="shared" si="311"/>
        <v>Proposta Ok</v>
      </c>
    </row>
    <row r="4917" spans="12:15" x14ac:dyDescent="0.25">
      <c r="L4917">
        <f t="shared" si="308"/>
        <v>0</v>
      </c>
      <c r="M4917">
        <f t="shared" si="309"/>
        <v>1</v>
      </c>
      <c r="N4917">
        <f t="shared" si="310"/>
        <v>0</v>
      </c>
      <c r="O4917" t="str">
        <f t="shared" si="311"/>
        <v>Proposta Ok</v>
      </c>
    </row>
    <row r="4918" spans="12:15" x14ac:dyDescent="0.25">
      <c r="L4918">
        <f t="shared" si="308"/>
        <v>0</v>
      </c>
      <c r="M4918">
        <f t="shared" si="309"/>
        <v>1</v>
      </c>
      <c r="N4918">
        <f t="shared" si="310"/>
        <v>0</v>
      </c>
      <c r="O4918" t="str">
        <f t="shared" si="311"/>
        <v>Proposta Ok</v>
      </c>
    </row>
    <row r="4919" spans="12:15" x14ac:dyDescent="0.25">
      <c r="L4919">
        <f t="shared" si="308"/>
        <v>0</v>
      </c>
      <c r="M4919">
        <f t="shared" si="309"/>
        <v>1</v>
      </c>
      <c r="N4919">
        <f t="shared" si="310"/>
        <v>0</v>
      </c>
      <c r="O4919" t="str">
        <f t="shared" si="311"/>
        <v>Proposta Ok</v>
      </c>
    </row>
    <row r="4920" spans="12:15" x14ac:dyDescent="0.25">
      <c r="L4920">
        <f t="shared" si="308"/>
        <v>0</v>
      </c>
      <c r="M4920">
        <f t="shared" si="309"/>
        <v>1</v>
      </c>
      <c r="N4920">
        <f t="shared" si="310"/>
        <v>0</v>
      </c>
      <c r="O4920" t="str">
        <f t="shared" si="311"/>
        <v>Proposta Ok</v>
      </c>
    </row>
    <row r="4921" spans="12:15" x14ac:dyDescent="0.25">
      <c r="L4921">
        <f t="shared" si="308"/>
        <v>0</v>
      </c>
      <c r="M4921">
        <f t="shared" si="309"/>
        <v>1</v>
      </c>
      <c r="N4921">
        <f t="shared" si="310"/>
        <v>0</v>
      </c>
      <c r="O4921" t="str">
        <f t="shared" si="311"/>
        <v>Proposta Ok</v>
      </c>
    </row>
    <row r="4922" spans="12:15" x14ac:dyDescent="0.25">
      <c r="L4922">
        <f t="shared" si="308"/>
        <v>0</v>
      </c>
      <c r="M4922">
        <f t="shared" si="309"/>
        <v>1</v>
      </c>
      <c r="N4922">
        <f t="shared" si="310"/>
        <v>0</v>
      </c>
      <c r="O4922" t="str">
        <f t="shared" si="311"/>
        <v>Proposta Ok</v>
      </c>
    </row>
    <row r="4923" spans="12:15" x14ac:dyDescent="0.25">
      <c r="L4923">
        <f t="shared" si="308"/>
        <v>0</v>
      </c>
      <c r="M4923">
        <f t="shared" si="309"/>
        <v>1</v>
      </c>
      <c r="N4923">
        <f t="shared" si="310"/>
        <v>0</v>
      </c>
      <c r="O4923" t="str">
        <f t="shared" si="311"/>
        <v>Proposta Ok</v>
      </c>
    </row>
    <row r="4924" spans="12:15" x14ac:dyDescent="0.25">
      <c r="L4924">
        <f t="shared" si="308"/>
        <v>0</v>
      </c>
      <c r="M4924">
        <f t="shared" si="309"/>
        <v>1</v>
      </c>
      <c r="N4924">
        <f t="shared" si="310"/>
        <v>0</v>
      </c>
      <c r="O4924" t="str">
        <f t="shared" si="311"/>
        <v>Proposta Ok</v>
      </c>
    </row>
    <row r="4925" spans="12:15" x14ac:dyDescent="0.25">
      <c r="L4925">
        <f t="shared" si="308"/>
        <v>0</v>
      </c>
      <c r="M4925">
        <f t="shared" si="309"/>
        <v>1</v>
      </c>
      <c r="N4925">
        <f t="shared" si="310"/>
        <v>0</v>
      </c>
      <c r="O4925" t="str">
        <f t="shared" si="311"/>
        <v>Proposta Ok</v>
      </c>
    </row>
    <row r="4926" spans="12:15" x14ac:dyDescent="0.25">
      <c r="L4926">
        <f t="shared" si="308"/>
        <v>0</v>
      </c>
      <c r="M4926">
        <f t="shared" si="309"/>
        <v>1</v>
      </c>
      <c r="N4926">
        <f t="shared" si="310"/>
        <v>0</v>
      </c>
      <c r="O4926" t="str">
        <f t="shared" si="311"/>
        <v>Proposta Ok</v>
      </c>
    </row>
    <row r="4927" spans="12:15" x14ac:dyDescent="0.25">
      <c r="L4927">
        <f t="shared" si="308"/>
        <v>0</v>
      </c>
      <c r="M4927">
        <f t="shared" si="309"/>
        <v>1</v>
      </c>
      <c r="N4927">
        <f t="shared" si="310"/>
        <v>0</v>
      </c>
      <c r="O4927" t="str">
        <f t="shared" si="311"/>
        <v>Proposta Ok</v>
      </c>
    </row>
    <row r="4928" spans="12:15" x14ac:dyDescent="0.25">
      <c r="L4928">
        <f t="shared" si="308"/>
        <v>0</v>
      </c>
      <c r="M4928">
        <f t="shared" si="309"/>
        <v>1</v>
      </c>
      <c r="N4928">
        <f t="shared" si="310"/>
        <v>0</v>
      </c>
      <c r="O4928" t="str">
        <f t="shared" si="311"/>
        <v>Proposta Ok</v>
      </c>
    </row>
    <row r="4929" spans="12:15" x14ac:dyDescent="0.25">
      <c r="L4929">
        <f t="shared" si="308"/>
        <v>0</v>
      </c>
      <c r="M4929">
        <f t="shared" si="309"/>
        <v>1</v>
      </c>
      <c r="N4929">
        <f t="shared" si="310"/>
        <v>0</v>
      </c>
      <c r="O4929" t="str">
        <f t="shared" si="311"/>
        <v>Proposta Ok</v>
      </c>
    </row>
    <row r="4930" spans="12:15" x14ac:dyDescent="0.25">
      <c r="L4930">
        <f t="shared" si="308"/>
        <v>0</v>
      </c>
      <c r="M4930">
        <f t="shared" si="309"/>
        <v>1</v>
      </c>
      <c r="N4930">
        <f t="shared" si="310"/>
        <v>0</v>
      </c>
      <c r="O4930" t="str">
        <f t="shared" si="311"/>
        <v>Proposta Ok</v>
      </c>
    </row>
    <row r="4931" spans="12:15" x14ac:dyDescent="0.25">
      <c r="L4931">
        <f t="shared" si="308"/>
        <v>0</v>
      </c>
      <c r="M4931">
        <f t="shared" si="309"/>
        <v>1</v>
      </c>
      <c r="N4931">
        <f t="shared" si="310"/>
        <v>0</v>
      </c>
      <c r="O4931" t="str">
        <f t="shared" si="311"/>
        <v>Proposta Ok</v>
      </c>
    </row>
    <row r="4932" spans="12:15" x14ac:dyDescent="0.25">
      <c r="L4932">
        <f t="shared" si="308"/>
        <v>0</v>
      </c>
      <c r="M4932">
        <f t="shared" si="309"/>
        <v>1</v>
      </c>
      <c r="N4932">
        <f t="shared" si="310"/>
        <v>0</v>
      </c>
      <c r="O4932" t="str">
        <f t="shared" si="311"/>
        <v>Proposta Ok</v>
      </c>
    </row>
    <row r="4933" spans="12:15" x14ac:dyDescent="0.25">
      <c r="L4933">
        <f t="shared" si="308"/>
        <v>0</v>
      </c>
      <c r="M4933">
        <f t="shared" si="309"/>
        <v>1</v>
      </c>
      <c r="N4933">
        <f t="shared" si="310"/>
        <v>0</v>
      </c>
      <c r="O4933" t="str">
        <f t="shared" si="311"/>
        <v>Proposta Ok</v>
      </c>
    </row>
    <row r="4934" spans="12:15" x14ac:dyDescent="0.25">
      <c r="L4934">
        <f t="shared" si="308"/>
        <v>0</v>
      </c>
      <c r="M4934">
        <f t="shared" si="309"/>
        <v>1</v>
      </c>
      <c r="N4934">
        <f t="shared" si="310"/>
        <v>0</v>
      </c>
      <c r="O4934" t="str">
        <f t="shared" si="311"/>
        <v>Proposta Ok</v>
      </c>
    </row>
    <row r="4935" spans="12:15" x14ac:dyDescent="0.25">
      <c r="L4935">
        <f t="shared" si="308"/>
        <v>0</v>
      </c>
      <c r="M4935">
        <f t="shared" si="309"/>
        <v>1</v>
      </c>
      <c r="N4935">
        <f t="shared" si="310"/>
        <v>0</v>
      </c>
      <c r="O4935" t="str">
        <f t="shared" si="311"/>
        <v>Proposta Ok</v>
      </c>
    </row>
    <row r="4936" spans="12:15" x14ac:dyDescent="0.25">
      <c r="L4936">
        <f t="shared" si="308"/>
        <v>0</v>
      </c>
      <c r="M4936">
        <f t="shared" si="309"/>
        <v>1</v>
      </c>
      <c r="N4936">
        <f t="shared" si="310"/>
        <v>0</v>
      </c>
      <c r="O4936" t="str">
        <f t="shared" si="311"/>
        <v>Proposta Ok</v>
      </c>
    </row>
    <row r="4937" spans="12:15" x14ac:dyDescent="0.25">
      <c r="L4937">
        <f t="shared" si="308"/>
        <v>0</v>
      </c>
      <c r="M4937">
        <f t="shared" si="309"/>
        <v>1</v>
      </c>
      <c r="N4937">
        <f t="shared" si="310"/>
        <v>0</v>
      </c>
      <c r="O4937" t="str">
        <f t="shared" si="311"/>
        <v>Proposta Ok</v>
      </c>
    </row>
    <row r="4938" spans="12:15" x14ac:dyDescent="0.25">
      <c r="L4938">
        <f t="shared" si="308"/>
        <v>0</v>
      </c>
      <c r="M4938">
        <f t="shared" si="309"/>
        <v>1</v>
      </c>
      <c r="N4938">
        <f t="shared" si="310"/>
        <v>0</v>
      </c>
      <c r="O4938" t="str">
        <f t="shared" si="311"/>
        <v>Proposta Ok</v>
      </c>
    </row>
    <row r="4939" spans="12:15" x14ac:dyDescent="0.25">
      <c r="L4939">
        <f t="shared" si="308"/>
        <v>0</v>
      </c>
      <c r="M4939">
        <f t="shared" si="309"/>
        <v>1</v>
      </c>
      <c r="N4939">
        <f t="shared" si="310"/>
        <v>0</v>
      </c>
      <c r="O4939" t="str">
        <f t="shared" si="311"/>
        <v>Proposta Ok</v>
      </c>
    </row>
    <row r="4940" spans="12:15" x14ac:dyDescent="0.25">
      <c r="L4940">
        <f t="shared" si="308"/>
        <v>0</v>
      </c>
      <c r="M4940">
        <f t="shared" si="309"/>
        <v>1</v>
      </c>
      <c r="N4940">
        <f t="shared" si="310"/>
        <v>0</v>
      </c>
      <c r="O4940" t="str">
        <f t="shared" si="311"/>
        <v>Proposta Ok</v>
      </c>
    </row>
    <row r="4941" spans="12:15" x14ac:dyDescent="0.25">
      <c r="L4941">
        <f t="shared" si="308"/>
        <v>0</v>
      </c>
      <c r="M4941">
        <f t="shared" si="309"/>
        <v>1</v>
      </c>
      <c r="N4941">
        <f t="shared" si="310"/>
        <v>0</v>
      </c>
      <c r="O4941" t="str">
        <f t="shared" si="311"/>
        <v>Proposta Ok</v>
      </c>
    </row>
    <row r="4942" spans="12:15" x14ac:dyDescent="0.25">
      <c r="L4942">
        <f t="shared" si="308"/>
        <v>0</v>
      </c>
      <c r="M4942">
        <f t="shared" si="309"/>
        <v>1</v>
      </c>
      <c r="N4942">
        <f t="shared" si="310"/>
        <v>0</v>
      </c>
      <c r="O4942" t="str">
        <f t="shared" si="311"/>
        <v>Proposta Ok</v>
      </c>
    </row>
    <row r="4943" spans="12:15" x14ac:dyDescent="0.25">
      <c r="L4943">
        <f t="shared" si="308"/>
        <v>0</v>
      </c>
      <c r="M4943">
        <f t="shared" si="309"/>
        <v>1</v>
      </c>
      <c r="N4943">
        <f t="shared" si="310"/>
        <v>0</v>
      </c>
      <c r="O4943" t="str">
        <f t="shared" si="311"/>
        <v>Proposta Ok</v>
      </c>
    </row>
    <row r="4944" spans="12:15" x14ac:dyDescent="0.25">
      <c r="L4944">
        <f t="shared" si="308"/>
        <v>0</v>
      </c>
      <c r="M4944">
        <f t="shared" si="309"/>
        <v>1</v>
      </c>
      <c r="N4944">
        <f t="shared" si="310"/>
        <v>0</v>
      </c>
      <c r="O4944" t="str">
        <f t="shared" si="311"/>
        <v>Proposta Ok</v>
      </c>
    </row>
    <row r="4945" spans="12:15" x14ac:dyDescent="0.25">
      <c r="L4945">
        <f t="shared" si="308"/>
        <v>0</v>
      </c>
      <c r="M4945">
        <f t="shared" si="309"/>
        <v>1</v>
      </c>
      <c r="N4945">
        <f t="shared" si="310"/>
        <v>0</v>
      </c>
      <c r="O4945" t="str">
        <f t="shared" si="311"/>
        <v>Proposta Ok</v>
      </c>
    </row>
    <row r="4946" spans="12:15" x14ac:dyDescent="0.25">
      <c r="L4946">
        <f t="shared" si="308"/>
        <v>0</v>
      </c>
      <c r="M4946">
        <f t="shared" si="309"/>
        <v>1</v>
      </c>
      <c r="N4946">
        <f t="shared" si="310"/>
        <v>0</v>
      </c>
      <c r="O4946" t="str">
        <f t="shared" si="311"/>
        <v>Proposta Ok</v>
      </c>
    </row>
    <row r="4947" spans="12:15" x14ac:dyDescent="0.25">
      <c r="L4947">
        <f t="shared" si="308"/>
        <v>0</v>
      </c>
      <c r="M4947">
        <f t="shared" si="309"/>
        <v>1</v>
      </c>
      <c r="N4947">
        <f t="shared" si="310"/>
        <v>0</v>
      </c>
      <c r="O4947" t="str">
        <f t="shared" si="311"/>
        <v>Proposta Ok</v>
      </c>
    </row>
    <row r="4948" spans="12:15" x14ac:dyDescent="0.25">
      <c r="L4948">
        <f t="shared" si="308"/>
        <v>0</v>
      </c>
      <c r="M4948">
        <f t="shared" si="309"/>
        <v>1</v>
      </c>
      <c r="N4948">
        <f t="shared" si="310"/>
        <v>0</v>
      </c>
      <c r="O4948" t="str">
        <f t="shared" si="311"/>
        <v>Proposta Ok</v>
      </c>
    </row>
    <row r="4949" spans="12:15" x14ac:dyDescent="0.25">
      <c r="L4949">
        <f t="shared" si="308"/>
        <v>0</v>
      </c>
      <c r="M4949">
        <f t="shared" si="309"/>
        <v>1</v>
      </c>
      <c r="N4949">
        <f t="shared" si="310"/>
        <v>0</v>
      </c>
      <c r="O4949" t="str">
        <f t="shared" si="311"/>
        <v>Proposta Ok</v>
      </c>
    </row>
    <row r="4950" spans="12:15" x14ac:dyDescent="0.25">
      <c r="L4950">
        <f t="shared" si="308"/>
        <v>0</v>
      </c>
      <c r="M4950">
        <f t="shared" si="309"/>
        <v>1</v>
      </c>
      <c r="N4950">
        <f t="shared" si="310"/>
        <v>0</v>
      </c>
      <c r="O4950" t="str">
        <f t="shared" si="311"/>
        <v>Proposta Ok</v>
      </c>
    </row>
    <row r="4951" spans="12:15" x14ac:dyDescent="0.25">
      <c r="L4951">
        <f t="shared" si="308"/>
        <v>0</v>
      </c>
      <c r="M4951">
        <f t="shared" si="309"/>
        <v>1</v>
      </c>
      <c r="N4951">
        <f t="shared" si="310"/>
        <v>0</v>
      </c>
      <c r="O4951" t="str">
        <f t="shared" si="311"/>
        <v>Proposta Ok</v>
      </c>
    </row>
    <row r="4952" spans="12:15" x14ac:dyDescent="0.25">
      <c r="L4952">
        <f t="shared" si="308"/>
        <v>0</v>
      </c>
      <c r="M4952">
        <f t="shared" si="309"/>
        <v>1</v>
      </c>
      <c r="N4952">
        <f t="shared" si="310"/>
        <v>0</v>
      </c>
      <c r="O4952" t="str">
        <f t="shared" si="311"/>
        <v>Proposta Ok</v>
      </c>
    </row>
    <row r="4953" spans="12:15" x14ac:dyDescent="0.25">
      <c r="L4953">
        <f t="shared" si="308"/>
        <v>0</v>
      </c>
      <c r="M4953">
        <f t="shared" si="309"/>
        <v>1</v>
      </c>
      <c r="N4953">
        <f t="shared" si="310"/>
        <v>0</v>
      </c>
      <c r="O4953" t="str">
        <f t="shared" si="311"/>
        <v>Proposta Ok</v>
      </c>
    </row>
    <row r="4954" spans="12:15" x14ac:dyDescent="0.25">
      <c r="L4954">
        <f t="shared" si="308"/>
        <v>0</v>
      </c>
      <c r="M4954">
        <f t="shared" si="309"/>
        <v>1</v>
      </c>
      <c r="N4954">
        <f t="shared" si="310"/>
        <v>0</v>
      </c>
      <c r="O4954" t="str">
        <f t="shared" si="311"/>
        <v>Proposta Ok</v>
      </c>
    </row>
    <row r="4955" spans="12:15" x14ac:dyDescent="0.25">
      <c r="L4955">
        <f t="shared" ref="L4955:L5018" si="312">IF(OR(I4955="Termo OK (Exceção)",I4955="Termo OK"),1,0)</f>
        <v>0</v>
      </c>
      <c r="M4955">
        <f t="shared" ref="M4955:M5018" si="313">IF(OR(I4955="Termo OK (Exceção)",I4955="Termo OK"),0,1)</f>
        <v>1</v>
      </c>
      <c r="N4955">
        <f t="shared" ref="N4955:N5018" si="314">IF(J4955="SIM",1,0)</f>
        <v>0</v>
      </c>
      <c r="O4955" t="str">
        <f t="shared" ref="O4955:O5018" si="315">IF(SUMIFS(M:M,A:A,A4955)&gt;0,"Proposta não Ok","Proposta Ok")</f>
        <v>Proposta Ok</v>
      </c>
    </row>
    <row r="4956" spans="12:15" x14ac:dyDescent="0.25">
      <c r="L4956">
        <f t="shared" si="312"/>
        <v>0</v>
      </c>
      <c r="M4956">
        <f t="shared" si="313"/>
        <v>1</v>
      </c>
      <c r="N4956">
        <f t="shared" si="314"/>
        <v>0</v>
      </c>
      <c r="O4956" t="str">
        <f t="shared" si="315"/>
        <v>Proposta Ok</v>
      </c>
    </row>
    <row r="4957" spans="12:15" x14ac:dyDescent="0.25">
      <c r="L4957">
        <f t="shared" si="312"/>
        <v>0</v>
      </c>
      <c r="M4957">
        <f t="shared" si="313"/>
        <v>1</v>
      </c>
      <c r="N4957">
        <f t="shared" si="314"/>
        <v>0</v>
      </c>
      <c r="O4957" t="str">
        <f t="shared" si="315"/>
        <v>Proposta Ok</v>
      </c>
    </row>
    <row r="4958" spans="12:15" x14ac:dyDescent="0.25">
      <c r="L4958">
        <f t="shared" si="312"/>
        <v>0</v>
      </c>
      <c r="M4958">
        <f t="shared" si="313"/>
        <v>1</v>
      </c>
      <c r="N4958">
        <f t="shared" si="314"/>
        <v>0</v>
      </c>
      <c r="O4958" t="str">
        <f t="shared" si="315"/>
        <v>Proposta Ok</v>
      </c>
    </row>
    <row r="4959" spans="12:15" x14ac:dyDescent="0.25">
      <c r="L4959">
        <f t="shared" si="312"/>
        <v>0</v>
      </c>
      <c r="M4959">
        <f t="shared" si="313"/>
        <v>1</v>
      </c>
      <c r="N4959">
        <f t="shared" si="314"/>
        <v>0</v>
      </c>
      <c r="O4959" t="str">
        <f t="shared" si="315"/>
        <v>Proposta Ok</v>
      </c>
    </row>
    <row r="4960" spans="12:15" x14ac:dyDescent="0.25">
      <c r="L4960">
        <f t="shared" si="312"/>
        <v>0</v>
      </c>
      <c r="M4960">
        <f t="shared" si="313"/>
        <v>1</v>
      </c>
      <c r="N4960">
        <f t="shared" si="314"/>
        <v>0</v>
      </c>
      <c r="O4960" t="str">
        <f t="shared" si="315"/>
        <v>Proposta Ok</v>
      </c>
    </row>
    <row r="4961" spans="12:15" x14ac:dyDescent="0.25">
      <c r="L4961">
        <f t="shared" si="312"/>
        <v>0</v>
      </c>
      <c r="M4961">
        <f t="shared" si="313"/>
        <v>1</v>
      </c>
      <c r="N4961">
        <f t="shared" si="314"/>
        <v>0</v>
      </c>
      <c r="O4961" t="str">
        <f t="shared" si="315"/>
        <v>Proposta Ok</v>
      </c>
    </row>
    <row r="4962" spans="12:15" x14ac:dyDescent="0.25">
      <c r="L4962">
        <f t="shared" si="312"/>
        <v>0</v>
      </c>
      <c r="M4962">
        <f t="shared" si="313"/>
        <v>1</v>
      </c>
      <c r="N4962">
        <f t="shared" si="314"/>
        <v>0</v>
      </c>
      <c r="O4962" t="str">
        <f t="shared" si="315"/>
        <v>Proposta Ok</v>
      </c>
    </row>
    <row r="4963" spans="12:15" x14ac:dyDescent="0.25">
      <c r="L4963">
        <f t="shared" si="312"/>
        <v>0</v>
      </c>
      <c r="M4963">
        <f t="shared" si="313"/>
        <v>1</v>
      </c>
      <c r="N4963">
        <f t="shared" si="314"/>
        <v>0</v>
      </c>
      <c r="O4963" t="str">
        <f t="shared" si="315"/>
        <v>Proposta Ok</v>
      </c>
    </row>
    <row r="4964" spans="12:15" x14ac:dyDescent="0.25">
      <c r="L4964">
        <f t="shared" si="312"/>
        <v>0</v>
      </c>
      <c r="M4964">
        <f t="shared" si="313"/>
        <v>1</v>
      </c>
      <c r="N4964">
        <f t="shared" si="314"/>
        <v>0</v>
      </c>
      <c r="O4964" t="str">
        <f t="shared" si="315"/>
        <v>Proposta Ok</v>
      </c>
    </row>
    <row r="4965" spans="12:15" x14ac:dyDescent="0.25">
      <c r="L4965">
        <f t="shared" si="312"/>
        <v>0</v>
      </c>
      <c r="M4965">
        <f t="shared" si="313"/>
        <v>1</v>
      </c>
      <c r="N4965">
        <f t="shared" si="314"/>
        <v>0</v>
      </c>
      <c r="O4965" t="str">
        <f t="shared" si="315"/>
        <v>Proposta Ok</v>
      </c>
    </row>
    <row r="4966" spans="12:15" x14ac:dyDescent="0.25">
      <c r="L4966">
        <f t="shared" si="312"/>
        <v>0</v>
      </c>
      <c r="M4966">
        <f t="shared" si="313"/>
        <v>1</v>
      </c>
      <c r="N4966">
        <f t="shared" si="314"/>
        <v>0</v>
      </c>
      <c r="O4966" t="str">
        <f t="shared" si="315"/>
        <v>Proposta Ok</v>
      </c>
    </row>
    <row r="4967" spans="12:15" x14ac:dyDescent="0.25">
      <c r="L4967">
        <f t="shared" si="312"/>
        <v>0</v>
      </c>
      <c r="M4967">
        <f t="shared" si="313"/>
        <v>1</v>
      </c>
      <c r="N4967">
        <f t="shared" si="314"/>
        <v>0</v>
      </c>
      <c r="O4967" t="str">
        <f t="shared" si="315"/>
        <v>Proposta Ok</v>
      </c>
    </row>
    <row r="4968" spans="12:15" x14ac:dyDescent="0.25">
      <c r="L4968">
        <f t="shared" si="312"/>
        <v>0</v>
      </c>
      <c r="M4968">
        <f t="shared" si="313"/>
        <v>1</v>
      </c>
      <c r="N4968">
        <f t="shared" si="314"/>
        <v>0</v>
      </c>
      <c r="O4968" t="str">
        <f t="shared" si="315"/>
        <v>Proposta Ok</v>
      </c>
    </row>
    <row r="4969" spans="12:15" x14ac:dyDescent="0.25">
      <c r="L4969">
        <f t="shared" si="312"/>
        <v>0</v>
      </c>
      <c r="M4969">
        <f t="shared" si="313"/>
        <v>1</v>
      </c>
      <c r="N4969">
        <f t="shared" si="314"/>
        <v>0</v>
      </c>
      <c r="O4969" t="str">
        <f t="shared" si="315"/>
        <v>Proposta Ok</v>
      </c>
    </row>
    <row r="4970" spans="12:15" x14ac:dyDescent="0.25">
      <c r="L4970">
        <f t="shared" si="312"/>
        <v>0</v>
      </c>
      <c r="M4970">
        <f t="shared" si="313"/>
        <v>1</v>
      </c>
      <c r="N4970">
        <f t="shared" si="314"/>
        <v>0</v>
      </c>
      <c r="O4970" t="str">
        <f t="shared" si="315"/>
        <v>Proposta Ok</v>
      </c>
    </row>
    <row r="4971" spans="12:15" x14ac:dyDescent="0.25">
      <c r="L4971">
        <f t="shared" si="312"/>
        <v>0</v>
      </c>
      <c r="M4971">
        <f t="shared" si="313"/>
        <v>1</v>
      </c>
      <c r="N4971">
        <f t="shared" si="314"/>
        <v>0</v>
      </c>
      <c r="O4971" t="str">
        <f t="shared" si="315"/>
        <v>Proposta Ok</v>
      </c>
    </row>
    <row r="4972" spans="12:15" x14ac:dyDescent="0.25">
      <c r="L4972">
        <f t="shared" si="312"/>
        <v>0</v>
      </c>
      <c r="M4972">
        <f t="shared" si="313"/>
        <v>1</v>
      </c>
      <c r="N4972">
        <f t="shared" si="314"/>
        <v>0</v>
      </c>
      <c r="O4972" t="str">
        <f t="shared" si="315"/>
        <v>Proposta Ok</v>
      </c>
    </row>
    <row r="4973" spans="12:15" x14ac:dyDescent="0.25">
      <c r="L4973">
        <f t="shared" si="312"/>
        <v>0</v>
      </c>
      <c r="M4973">
        <f t="shared" si="313"/>
        <v>1</v>
      </c>
      <c r="N4973">
        <f t="shared" si="314"/>
        <v>0</v>
      </c>
      <c r="O4973" t="str">
        <f t="shared" si="315"/>
        <v>Proposta Ok</v>
      </c>
    </row>
    <row r="4974" spans="12:15" x14ac:dyDescent="0.25">
      <c r="L4974">
        <f t="shared" si="312"/>
        <v>0</v>
      </c>
      <c r="M4974">
        <f t="shared" si="313"/>
        <v>1</v>
      </c>
      <c r="N4974">
        <f t="shared" si="314"/>
        <v>0</v>
      </c>
      <c r="O4974" t="str">
        <f t="shared" si="315"/>
        <v>Proposta Ok</v>
      </c>
    </row>
    <row r="4975" spans="12:15" x14ac:dyDescent="0.25">
      <c r="L4975">
        <f t="shared" si="312"/>
        <v>0</v>
      </c>
      <c r="M4975">
        <f t="shared" si="313"/>
        <v>1</v>
      </c>
      <c r="N4975">
        <f t="shared" si="314"/>
        <v>0</v>
      </c>
      <c r="O4975" t="str">
        <f t="shared" si="315"/>
        <v>Proposta Ok</v>
      </c>
    </row>
    <row r="4976" spans="12:15" x14ac:dyDescent="0.25">
      <c r="L4976">
        <f t="shared" si="312"/>
        <v>0</v>
      </c>
      <c r="M4976">
        <f t="shared" si="313"/>
        <v>1</v>
      </c>
      <c r="N4976">
        <f t="shared" si="314"/>
        <v>0</v>
      </c>
      <c r="O4976" t="str">
        <f t="shared" si="315"/>
        <v>Proposta Ok</v>
      </c>
    </row>
    <row r="4977" spans="12:15" x14ac:dyDescent="0.25">
      <c r="L4977">
        <f t="shared" si="312"/>
        <v>0</v>
      </c>
      <c r="M4977">
        <f t="shared" si="313"/>
        <v>1</v>
      </c>
      <c r="N4977">
        <f t="shared" si="314"/>
        <v>0</v>
      </c>
      <c r="O4977" t="str">
        <f t="shared" si="315"/>
        <v>Proposta Ok</v>
      </c>
    </row>
    <row r="4978" spans="12:15" x14ac:dyDescent="0.25">
      <c r="L4978">
        <f t="shared" si="312"/>
        <v>0</v>
      </c>
      <c r="M4978">
        <f t="shared" si="313"/>
        <v>1</v>
      </c>
      <c r="N4978">
        <f t="shared" si="314"/>
        <v>0</v>
      </c>
      <c r="O4978" t="str">
        <f t="shared" si="315"/>
        <v>Proposta Ok</v>
      </c>
    </row>
    <row r="4979" spans="12:15" x14ac:dyDescent="0.25">
      <c r="L4979">
        <f t="shared" si="312"/>
        <v>0</v>
      </c>
      <c r="M4979">
        <f t="shared" si="313"/>
        <v>1</v>
      </c>
      <c r="N4979">
        <f t="shared" si="314"/>
        <v>0</v>
      </c>
      <c r="O4979" t="str">
        <f t="shared" si="315"/>
        <v>Proposta Ok</v>
      </c>
    </row>
    <row r="4980" spans="12:15" x14ac:dyDescent="0.25">
      <c r="L4980">
        <f t="shared" si="312"/>
        <v>0</v>
      </c>
      <c r="M4980">
        <f t="shared" si="313"/>
        <v>1</v>
      </c>
      <c r="N4980">
        <f t="shared" si="314"/>
        <v>0</v>
      </c>
      <c r="O4980" t="str">
        <f t="shared" si="315"/>
        <v>Proposta Ok</v>
      </c>
    </row>
    <row r="4981" spans="12:15" x14ac:dyDescent="0.25">
      <c r="L4981">
        <f t="shared" si="312"/>
        <v>0</v>
      </c>
      <c r="M4981">
        <f t="shared" si="313"/>
        <v>1</v>
      </c>
      <c r="N4981">
        <f t="shared" si="314"/>
        <v>0</v>
      </c>
      <c r="O4981" t="str">
        <f t="shared" si="315"/>
        <v>Proposta Ok</v>
      </c>
    </row>
    <row r="4982" spans="12:15" x14ac:dyDescent="0.25">
      <c r="L4982">
        <f t="shared" si="312"/>
        <v>0</v>
      </c>
      <c r="M4982">
        <f t="shared" si="313"/>
        <v>1</v>
      </c>
      <c r="N4982">
        <f t="shared" si="314"/>
        <v>0</v>
      </c>
      <c r="O4982" t="str">
        <f t="shared" si="315"/>
        <v>Proposta Ok</v>
      </c>
    </row>
    <row r="4983" spans="12:15" x14ac:dyDescent="0.25">
      <c r="L4983">
        <f t="shared" si="312"/>
        <v>0</v>
      </c>
      <c r="M4983">
        <f t="shared" si="313"/>
        <v>1</v>
      </c>
      <c r="N4983">
        <f t="shared" si="314"/>
        <v>0</v>
      </c>
      <c r="O4983" t="str">
        <f t="shared" si="315"/>
        <v>Proposta Ok</v>
      </c>
    </row>
    <row r="4984" spans="12:15" x14ac:dyDescent="0.25">
      <c r="L4984">
        <f t="shared" si="312"/>
        <v>0</v>
      </c>
      <c r="M4984">
        <f t="shared" si="313"/>
        <v>1</v>
      </c>
      <c r="N4984">
        <f t="shared" si="314"/>
        <v>0</v>
      </c>
      <c r="O4984" t="str">
        <f t="shared" si="315"/>
        <v>Proposta Ok</v>
      </c>
    </row>
    <row r="4985" spans="12:15" x14ac:dyDescent="0.25">
      <c r="L4985">
        <f t="shared" si="312"/>
        <v>0</v>
      </c>
      <c r="M4985">
        <f t="shared" si="313"/>
        <v>1</v>
      </c>
      <c r="N4985">
        <f t="shared" si="314"/>
        <v>0</v>
      </c>
      <c r="O4985" t="str">
        <f t="shared" si="315"/>
        <v>Proposta Ok</v>
      </c>
    </row>
    <row r="4986" spans="12:15" x14ac:dyDescent="0.25">
      <c r="L4986">
        <f t="shared" si="312"/>
        <v>0</v>
      </c>
      <c r="M4986">
        <f t="shared" si="313"/>
        <v>1</v>
      </c>
      <c r="N4986">
        <f t="shared" si="314"/>
        <v>0</v>
      </c>
      <c r="O4986" t="str">
        <f t="shared" si="315"/>
        <v>Proposta Ok</v>
      </c>
    </row>
    <row r="4987" spans="12:15" x14ac:dyDescent="0.25">
      <c r="L4987">
        <f t="shared" si="312"/>
        <v>0</v>
      </c>
      <c r="M4987">
        <f t="shared" si="313"/>
        <v>1</v>
      </c>
      <c r="N4987">
        <f t="shared" si="314"/>
        <v>0</v>
      </c>
      <c r="O4987" t="str">
        <f t="shared" si="315"/>
        <v>Proposta Ok</v>
      </c>
    </row>
    <row r="4988" spans="12:15" x14ac:dyDescent="0.25">
      <c r="L4988">
        <f t="shared" si="312"/>
        <v>0</v>
      </c>
      <c r="M4988">
        <f t="shared" si="313"/>
        <v>1</v>
      </c>
      <c r="N4988">
        <f t="shared" si="314"/>
        <v>0</v>
      </c>
      <c r="O4988" t="str">
        <f t="shared" si="315"/>
        <v>Proposta Ok</v>
      </c>
    </row>
    <row r="4989" spans="12:15" x14ac:dyDescent="0.25">
      <c r="L4989">
        <f t="shared" si="312"/>
        <v>0</v>
      </c>
      <c r="M4989">
        <f t="shared" si="313"/>
        <v>1</v>
      </c>
      <c r="N4989">
        <f t="shared" si="314"/>
        <v>0</v>
      </c>
      <c r="O4989" t="str">
        <f t="shared" si="315"/>
        <v>Proposta Ok</v>
      </c>
    </row>
    <row r="4990" spans="12:15" x14ac:dyDescent="0.25">
      <c r="L4990">
        <f t="shared" si="312"/>
        <v>0</v>
      </c>
      <c r="M4990">
        <f t="shared" si="313"/>
        <v>1</v>
      </c>
      <c r="N4990">
        <f t="shared" si="314"/>
        <v>0</v>
      </c>
      <c r="O4990" t="str">
        <f t="shared" si="315"/>
        <v>Proposta Ok</v>
      </c>
    </row>
    <row r="4991" spans="12:15" x14ac:dyDescent="0.25">
      <c r="L4991">
        <f t="shared" si="312"/>
        <v>0</v>
      </c>
      <c r="M4991">
        <f t="shared" si="313"/>
        <v>1</v>
      </c>
      <c r="N4991">
        <f t="shared" si="314"/>
        <v>0</v>
      </c>
      <c r="O4991" t="str">
        <f t="shared" si="315"/>
        <v>Proposta Ok</v>
      </c>
    </row>
    <row r="4992" spans="12:15" x14ac:dyDescent="0.25">
      <c r="L4992">
        <f t="shared" si="312"/>
        <v>0</v>
      </c>
      <c r="M4992">
        <f t="shared" si="313"/>
        <v>1</v>
      </c>
      <c r="N4992">
        <f t="shared" si="314"/>
        <v>0</v>
      </c>
      <c r="O4992" t="str">
        <f t="shared" si="315"/>
        <v>Proposta Ok</v>
      </c>
    </row>
    <row r="4993" spans="12:15" x14ac:dyDescent="0.25">
      <c r="L4993">
        <f t="shared" si="312"/>
        <v>0</v>
      </c>
      <c r="M4993">
        <f t="shared" si="313"/>
        <v>1</v>
      </c>
      <c r="N4993">
        <f t="shared" si="314"/>
        <v>0</v>
      </c>
      <c r="O4993" t="str">
        <f t="shared" si="315"/>
        <v>Proposta Ok</v>
      </c>
    </row>
    <row r="4994" spans="12:15" x14ac:dyDescent="0.25">
      <c r="L4994">
        <f t="shared" si="312"/>
        <v>0</v>
      </c>
      <c r="M4994">
        <f t="shared" si="313"/>
        <v>1</v>
      </c>
      <c r="N4994">
        <f t="shared" si="314"/>
        <v>0</v>
      </c>
      <c r="O4994" t="str">
        <f t="shared" si="315"/>
        <v>Proposta Ok</v>
      </c>
    </row>
    <row r="4995" spans="12:15" x14ac:dyDescent="0.25">
      <c r="L4995">
        <f t="shared" si="312"/>
        <v>0</v>
      </c>
      <c r="M4995">
        <f t="shared" si="313"/>
        <v>1</v>
      </c>
      <c r="N4995">
        <f t="shared" si="314"/>
        <v>0</v>
      </c>
      <c r="O4995" t="str">
        <f t="shared" si="315"/>
        <v>Proposta Ok</v>
      </c>
    </row>
    <row r="4996" spans="12:15" x14ac:dyDescent="0.25">
      <c r="L4996">
        <f t="shared" si="312"/>
        <v>0</v>
      </c>
      <c r="M4996">
        <f t="shared" si="313"/>
        <v>1</v>
      </c>
      <c r="N4996">
        <f t="shared" si="314"/>
        <v>0</v>
      </c>
      <c r="O4996" t="str">
        <f t="shared" si="315"/>
        <v>Proposta Ok</v>
      </c>
    </row>
    <row r="4997" spans="12:15" x14ac:dyDescent="0.25">
      <c r="L4997">
        <f t="shared" si="312"/>
        <v>0</v>
      </c>
      <c r="M4997">
        <f t="shared" si="313"/>
        <v>1</v>
      </c>
      <c r="N4997">
        <f t="shared" si="314"/>
        <v>0</v>
      </c>
      <c r="O4997" t="str">
        <f t="shared" si="315"/>
        <v>Proposta Ok</v>
      </c>
    </row>
    <row r="4998" spans="12:15" x14ac:dyDescent="0.25">
      <c r="L4998">
        <f t="shared" si="312"/>
        <v>0</v>
      </c>
      <c r="M4998">
        <f t="shared" si="313"/>
        <v>1</v>
      </c>
      <c r="N4998">
        <f t="shared" si="314"/>
        <v>0</v>
      </c>
      <c r="O4998" t="str">
        <f t="shared" si="315"/>
        <v>Proposta Ok</v>
      </c>
    </row>
    <row r="4999" spans="12:15" x14ac:dyDescent="0.25">
      <c r="L4999">
        <f t="shared" si="312"/>
        <v>0</v>
      </c>
      <c r="M4999">
        <f t="shared" si="313"/>
        <v>1</v>
      </c>
      <c r="N4999">
        <f t="shared" si="314"/>
        <v>0</v>
      </c>
      <c r="O4999" t="str">
        <f t="shared" si="315"/>
        <v>Proposta Ok</v>
      </c>
    </row>
    <row r="5000" spans="12:15" x14ac:dyDescent="0.25">
      <c r="L5000">
        <f t="shared" si="312"/>
        <v>0</v>
      </c>
      <c r="M5000">
        <f t="shared" si="313"/>
        <v>1</v>
      </c>
      <c r="N5000">
        <f t="shared" si="314"/>
        <v>0</v>
      </c>
      <c r="O5000" t="str">
        <f t="shared" si="315"/>
        <v>Proposta Ok</v>
      </c>
    </row>
    <row r="5001" spans="12:15" x14ac:dyDescent="0.25">
      <c r="L5001">
        <f t="shared" si="312"/>
        <v>0</v>
      </c>
      <c r="M5001">
        <f t="shared" si="313"/>
        <v>1</v>
      </c>
      <c r="N5001">
        <f t="shared" si="314"/>
        <v>0</v>
      </c>
      <c r="O5001" t="str">
        <f t="shared" si="315"/>
        <v>Proposta Ok</v>
      </c>
    </row>
    <row r="5002" spans="12:15" x14ac:dyDescent="0.25">
      <c r="L5002">
        <f t="shared" si="312"/>
        <v>0</v>
      </c>
      <c r="M5002">
        <f t="shared" si="313"/>
        <v>1</v>
      </c>
      <c r="N5002">
        <f t="shared" si="314"/>
        <v>0</v>
      </c>
      <c r="O5002" t="str">
        <f t="shared" si="315"/>
        <v>Proposta Ok</v>
      </c>
    </row>
    <row r="5003" spans="12:15" x14ac:dyDescent="0.25">
      <c r="L5003">
        <f t="shared" si="312"/>
        <v>0</v>
      </c>
      <c r="M5003">
        <f t="shared" si="313"/>
        <v>1</v>
      </c>
      <c r="N5003">
        <f t="shared" si="314"/>
        <v>0</v>
      </c>
      <c r="O5003" t="str">
        <f t="shared" si="315"/>
        <v>Proposta Ok</v>
      </c>
    </row>
    <row r="5004" spans="12:15" x14ac:dyDescent="0.25">
      <c r="L5004">
        <f t="shared" si="312"/>
        <v>0</v>
      </c>
      <c r="M5004">
        <f t="shared" si="313"/>
        <v>1</v>
      </c>
      <c r="N5004">
        <f t="shared" si="314"/>
        <v>0</v>
      </c>
      <c r="O5004" t="str">
        <f t="shared" si="315"/>
        <v>Proposta Ok</v>
      </c>
    </row>
    <row r="5005" spans="12:15" x14ac:dyDescent="0.25">
      <c r="L5005">
        <f t="shared" si="312"/>
        <v>0</v>
      </c>
      <c r="M5005">
        <f t="shared" si="313"/>
        <v>1</v>
      </c>
      <c r="N5005">
        <f t="shared" si="314"/>
        <v>0</v>
      </c>
      <c r="O5005" t="str">
        <f t="shared" si="315"/>
        <v>Proposta Ok</v>
      </c>
    </row>
    <row r="5006" spans="12:15" x14ac:dyDescent="0.25">
      <c r="L5006">
        <f t="shared" si="312"/>
        <v>0</v>
      </c>
      <c r="M5006">
        <f t="shared" si="313"/>
        <v>1</v>
      </c>
      <c r="N5006">
        <f t="shared" si="314"/>
        <v>0</v>
      </c>
      <c r="O5006" t="str">
        <f t="shared" si="315"/>
        <v>Proposta Ok</v>
      </c>
    </row>
    <row r="5007" spans="12:15" x14ac:dyDescent="0.25">
      <c r="L5007">
        <f t="shared" si="312"/>
        <v>0</v>
      </c>
      <c r="M5007">
        <f t="shared" si="313"/>
        <v>1</v>
      </c>
      <c r="N5007">
        <f t="shared" si="314"/>
        <v>0</v>
      </c>
      <c r="O5007" t="str">
        <f t="shared" si="315"/>
        <v>Proposta Ok</v>
      </c>
    </row>
    <row r="5008" spans="12:15" x14ac:dyDescent="0.25">
      <c r="L5008">
        <f t="shared" si="312"/>
        <v>0</v>
      </c>
      <c r="M5008">
        <f t="shared" si="313"/>
        <v>1</v>
      </c>
      <c r="N5008">
        <f t="shared" si="314"/>
        <v>0</v>
      </c>
      <c r="O5008" t="str">
        <f t="shared" si="315"/>
        <v>Proposta Ok</v>
      </c>
    </row>
    <row r="5009" spans="12:15" x14ac:dyDescent="0.25">
      <c r="L5009">
        <f t="shared" si="312"/>
        <v>0</v>
      </c>
      <c r="M5009">
        <f t="shared" si="313"/>
        <v>1</v>
      </c>
      <c r="N5009">
        <f t="shared" si="314"/>
        <v>0</v>
      </c>
      <c r="O5009" t="str">
        <f t="shared" si="315"/>
        <v>Proposta Ok</v>
      </c>
    </row>
    <row r="5010" spans="12:15" x14ac:dyDescent="0.25">
      <c r="L5010">
        <f t="shared" si="312"/>
        <v>0</v>
      </c>
      <c r="M5010">
        <f t="shared" si="313"/>
        <v>1</v>
      </c>
      <c r="N5010">
        <f t="shared" si="314"/>
        <v>0</v>
      </c>
      <c r="O5010" t="str">
        <f t="shared" si="315"/>
        <v>Proposta Ok</v>
      </c>
    </row>
    <row r="5011" spans="12:15" x14ac:dyDescent="0.25">
      <c r="L5011">
        <f t="shared" si="312"/>
        <v>0</v>
      </c>
      <c r="M5011">
        <f t="shared" si="313"/>
        <v>1</v>
      </c>
      <c r="N5011">
        <f t="shared" si="314"/>
        <v>0</v>
      </c>
      <c r="O5011" t="str">
        <f t="shared" si="315"/>
        <v>Proposta Ok</v>
      </c>
    </row>
    <row r="5012" spans="12:15" x14ac:dyDescent="0.25">
      <c r="L5012">
        <f t="shared" si="312"/>
        <v>0</v>
      </c>
      <c r="M5012">
        <f t="shared" si="313"/>
        <v>1</v>
      </c>
      <c r="N5012">
        <f t="shared" si="314"/>
        <v>0</v>
      </c>
      <c r="O5012" t="str">
        <f t="shared" si="315"/>
        <v>Proposta Ok</v>
      </c>
    </row>
    <row r="5013" spans="12:15" x14ac:dyDescent="0.25">
      <c r="L5013">
        <f t="shared" si="312"/>
        <v>0</v>
      </c>
      <c r="M5013">
        <f t="shared" si="313"/>
        <v>1</v>
      </c>
      <c r="N5013">
        <f t="shared" si="314"/>
        <v>0</v>
      </c>
      <c r="O5013" t="str">
        <f t="shared" si="315"/>
        <v>Proposta Ok</v>
      </c>
    </row>
    <row r="5014" spans="12:15" x14ac:dyDescent="0.25">
      <c r="L5014">
        <f t="shared" si="312"/>
        <v>0</v>
      </c>
      <c r="M5014">
        <f t="shared" si="313"/>
        <v>1</v>
      </c>
      <c r="N5014">
        <f t="shared" si="314"/>
        <v>0</v>
      </c>
      <c r="O5014" t="str">
        <f t="shared" si="315"/>
        <v>Proposta Ok</v>
      </c>
    </row>
    <row r="5015" spans="12:15" x14ac:dyDescent="0.25">
      <c r="L5015">
        <f t="shared" si="312"/>
        <v>0</v>
      </c>
      <c r="M5015">
        <f t="shared" si="313"/>
        <v>1</v>
      </c>
      <c r="N5015">
        <f t="shared" si="314"/>
        <v>0</v>
      </c>
      <c r="O5015" t="str">
        <f t="shared" si="315"/>
        <v>Proposta Ok</v>
      </c>
    </row>
    <row r="5016" spans="12:15" x14ac:dyDescent="0.25">
      <c r="L5016">
        <f t="shared" si="312"/>
        <v>0</v>
      </c>
      <c r="M5016">
        <f t="shared" si="313"/>
        <v>1</v>
      </c>
      <c r="N5016">
        <f t="shared" si="314"/>
        <v>0</v>
      </c>
      <c r="O5016" t="str">
        <f t="shared" si="315"/>
        <v>Proposta Ok</v>
      </c>
    </row>
    <row r="5017" spans="12:15" x14ac:dyDescent="0.25">
      <c r="L5017">
        <f t="shared" si="312"/>
        <v>0</v>
      </c>
      <c r="M5017">
        <f t="shared" si="313"/>
        <v>1</v>
      </c>
      <c r="N5017">
        <f t="shared" si="314"/>
        <v>0</v>
      </c>
      <c r="O5017" t="str">
        <f t="shared" si="315"/>
        <v>Proposta Ok</v>
      </c>
    </row>
    <row r="5018" spans="12:15" x14ac:dyDescent="0.25">
      <c r="L5018">
        <f t="shared" si="312"/>
        <v>0</v>
      </c>
      <c r="M5018">
        <f t="shared" si="313"/>
        <v>1</v>
      </c>
      <c r="N5018">
        <f t="shared" si="314"/>
        <v>0</v>
      </c>
      <c r="O5018" t="str">
        <f t="shared" si="315"/>
        <v>Proposta Ok</v>
      </c>
    </row>
    <row r="5019" spans="12:15" x14ac:dyDescent="0.25">
      <c r="L5019">
        <f t="shared" ref="L5019:L5082" si="316">IF(OR(I5019="Termo OK (Exceção)",I5019="Termo OK"),1,0)</f>
        <v>0</v>
      </c>
      <c r="M5019">
        <f t="shared" ref="M5019:M5082" si="317">IF(OR(I5019="Termo OK (Exceção)",I5019="Termo OK"),0,1)</f>
        <v>1</v>
      </c>
      <c r="N5019">
        <f t="shared" ref="N5019:N5082" si="318">IF(J5019="SIM",1,0)</f>
        <v>0</v>
      </c>
      <c r="O5019" t="str">
        <f t="shared" ref="O5019:O5082" si="319">IF(SUMIFS(M:M,A:A,A5019)&gt;0,"Proposta não Ok","Proposta Ok")</f>
        <v>Proposta Ok</v>
      </c>
    </row>
    <row r="5020" spans="12:15" x14ac:dyDescent="0.25">
      <c r="L5020">
        <f t="shared" si="316"/>
        <v>0</v>
      </c>
      <c r="M5020">
        <f t="shared" si="317"/>
        <v>1</v>
      </c>
      <c r="N5020">
        <f t="shared" si="318"/>
        <v>0</v>
      </c>
      <c r="O5020" t="str">
        <f t="shared" si="319"/>
        <v>Proposta Ok</v>
      </c>
    </row>
    <row r="5021" spans="12:15" x14ac:dyDescent="0.25">
      <c r="L5021">
        <f t="shared" si="316"/>
        <v>0</v>
      </c>
      <c r="M5021">
        <f t="shared" si="317"/>
        <v>1</v>
      </c>
      <c r="N5021">
        <f t="shared" si="318"/>
        <v>0</v>
      </c>
      <c r="O5021" t="str">
        <f t="shared" si="319"/>
        <v>Proposta Ok</v>
      </c>
    </row>
    <row r="5022" spans="12:15" x14ac:dyDescent="0.25">
      <c r="L5022">
        <f t="shared" si="316"/>
        <v>0</v>
      </c>
      <c r="M5022">
        <f t="shared" si="317"/>
        <v>1</v>
      </c>
      <c r="N5022">
        <f t="shared" si="318"/>
        <v>0</v>
      </c>
      <c r="O5022" t="str">
        <f t="shared" si="319"/>
        <v>Proposta Ok</v>
      </c>
    </row>
    <row r="5023" spans="12:15" x14ac:dyDescent="0.25">
      <c r="L5023">
        <f t="shared" si="316"/>
        <v>0</v>
      </c>
      <c r="M5023">
        <f t="shared" si="317"/>
        <v>1</v>
      </c>
      <c r="N5023">
        <f t="shared" si="318"/>
        <v>0</v>
      </c>
      <c r="O5023" t="str">
        <f t="shared" si="319"/>
        <v>Proposta Ok</v>
      </c>
    </row>
    <row r="5024" spans="12:15" x14ac:dyDescent="0.25">
      <c r="L5024">
        <f t="shared" si="316"/>
        <v>0</v>
      </c>
      <c r="M5024">
        <f t="shared" si="317"/>
        <v>1</v>
      </c>
      <c r="N5024">
        <f t="shared" si="318"/>
        <v>0</v>
      </c>
      <c r="O5024" t="str">
        <f t="shared" si="319"/>
        <v>Proposta Ok</v>
      </c>
    </row>
    <row r="5025" spans="12:15" x14ac:dyDescent="0.25">
      <c r="L5025">
        <f t="shared" si="316"/>
        <v>0</v>
      </c>
      <c r="M5025">
        <f t="shared" si="317"/>
        <v>1</v>
      </c>
      <c r="N5025">
        <f t="shared" si="318"/>
        <v>0</v>
      </c>
      <c r="O5025" t="str">
        <f t="shared" si="319"/>
        <v>Proposta Ok</v>
      </c>
    </row>
    <row r="5026" spans="12:15" x14ac:dyDescent="0.25">
      <c r="L5026">
        <f t="shared" si="316"/>
        <v>0</v>
      </c>
      <c r="M5026">
        <f t="shared" si="317"/>
        <v>1</v>
      </c>
      <c r="N5026">
        <f t="shared" si="318"/>
        <v>0</v>
      </c>
      <c r="O5026" t="str">
        <f t="shared" si="319"/>
        <v>Proposta Ok</v>
      </c>
    </row>
    <row r="5027" spans="12:15" x14ac:dyDescent="0.25">
      <c r="L5027">
        <f t="shared" si="316"/>
        <v>0</v>
      </c>
      <c r="M5027">
        <f t="shared" si="317"/>
        <v>1</v>
      </c>
      <c r="N5027">
        <f t="shared" si="318"/>
        <v>0</v>
      </c>
      <c r="O5027" t="str">
        <f t="shared" si="319"/>
        <v>Proposta Ok</v>
      </c>
    </row>
    <row r="5028" spans="12:15" x14ac:dyDescent="0.25">
      <c r="L5028">
        <f t="shared" si="316"/>
        <v>0</v>
      </c>
      <c r="M5028">
        <f t="shared" si="317"/>
        <v>1</v>
      </c>
      <c r="N5028">
        <f t="shared" si="318"/>
        <v>0</v>
      </c>
      <c r="O5028" t="str">
        <f t="shared" si="319"/>
        <v>Proposta Ok</v>
      </c>
    </row>
    <row r="5029" spans="12:15" x14ac:dyDescent="0.25">
      <c r="L5029">
        <f t="shared" si="316"/>
        <v>0</v>
      </c>
      <c r="M5029">
        <f t="shared" si="317"/>
        <v>1</v>
      </c>
      <c r="N5029">
        <f t="shared" si="318"/>
        <v>0</v>
      </c>
      <c r="O5029" t="str">
        <f t="shared" si="319"/>
        <v>Proposta Ok</v>
      </c>
    </row>
    <row r="5030" spans="12:15" x14ac:dyDescent="0.25">
      <c r="L5030">
        <f t="shared" si="316"/>
        <v>0</v>
      </c>
      <c r="M5030">
        <f t="shared" si="317"/>
        <v>1</v>
      </c>
      <c r="N5030">
        <f t="shared" si="318"/>
        <v>0</v>
      </c>
      <c r="O5030" t="str">
        <f t="shared" si="319"/>
        <v>Proposta Ok</v>
      </c>
    </row>
    <row r="5031" spans="12:15" x14ac:dyDescent="0.25">
      <c r="L5031">
        <f t="shared" si="316"/>
        <v>0</v>
      </c>
      <c r="M5031">
        <f t="shared" si="317"/>
        <v>1</v>
      </c>
      <c r="N5031">
        <f t="shared" si="318"/>
        <v>0</v>
      </c>
      <c r="O5031" t="str">
        <f t="shared" si="319"/>
        <v>Proposta Ok</v>
      </c>
    </row>
    <row r="5032" spans="12:15" x14ac:dyDescent="0.25">
      <c r="L5032">
        <f t="shared" si="316"/>
        <v>0</v>
      </c>
      <c r="M5032">
        <f t="shared" si="317"/>
        <v>1</v>
      </c>
      <c r="N5032">
        <f t="shared" si="318"/>
        <v>0</v>
      </c>
      <c r="O5032" t="str">
        <f t="shared" si="319"/>
        <v>Proposta Ok</v>
      </c>
    </row>
    <row r="5033" spans="12:15" x14ac:dyDescent="0.25">
      <c r="L5033">
        <f t="shared" si="316"/>
        <v>0</v>
      </c>
      <c r="M5033">
        <f t="shared" si="317"/>
        <v>1</v>
      </c>
      <c r="N5033">
        <f t="shared" si="318"/>
        <v>0</v>
      </c>
      <c r="O5033" t="str">
        <f t="shared" si="319"/>
        <v>Proposta Ok</v>
      </c>
    </row>
    <row r="5034" spans="12:15" x14ac:dyDescent="0.25">
      <c r="L5034">
        <f t="shared" si="316"/>
        <v>0</v>
      </c>
      <c r="M5034">
        <f t="shared" si="317"/>
        <v>1</v>
      </c>
      <c r="N5034">
        <f t="shared" si="318"/>
        <v>0</v>
      </c>
      <c r="O5034" t="str">
        <f t="shared" si="319"/>
        <v>Proposta Ok</v>
      </c>
    </row>
    <row r="5035" spans="12:15" x14ac:dyDescent="0.25">
      <c r="L5035">
        <f t="shared" si="316"/>
        <v>0</v>
      </c>
      <c r="M5035">
        <f t="shared" si="317"/>
        <v>1</v>
      </c>
      <c r="N5035">
        <f t="shared" si="318"/>
        <v>0</v>
      </c>
      <c r="O5035" t="str">
        <f t="shared" si="319"/>
        <v>Proposta Ok</v>
      </c>
    </row>
    <row r="5036" spans="12:15" x14ac:dyDescent="0.25">
      <c r="L5036">
        <f t="shared" si="316"/>
        <v>0</v>
      </c>
      <c r="M5036">
        <f t="shared" si="317"/>
        <v>1</v>
      </c>
      <c r="N5036">
        <f t="shared" si="318"/>
        <v>0</v>
      </c>
      <c r="O5036" t="str">
        <f t="shared" si="319"/>
        <v>Proposta Ok</v>
      </c>
    </row>
    <row r="5037" spans="12:15" x14ac:dyDescent="0.25">
      <c r="L5037">
        <f t="shared" si="316"/>
        <v>0</v>
      </c>
      <c r="M5037">
        <f t="shared" si="317"/>
        <v>1</v>
      </c>
      <c r="N5037">
        <f t="shared" si="318"/>
        <v>0</v>
      </c>
      <c r="O5037" t="str">
        <f t="shared" si="319"/>
        <v>Proposta Ok</v>
      </c>
    </row>
    <row r="5038" spans="12:15" x14ac:dyDescent="0.25">
      <c r="L5038">
        <f t="shared" si="316"/>
        <v>0</v>
      </c>
      <c r="M5038">
        <f t="shared" si="317"/>
        <v>1</v>
      </c>
      <c r="N5038">
        <f t="shared" si="318"/>
        <v>0</v>
      </c>
      <c r="O5038" t="str">
        <f t="shared" si="319"/>
        <v>Proposta Ok</v>
      </c>
    </row>
    <row r="5039" spans="12:15" x14ac:dyDescent="0.25">
      <c r="L5039">
        <f t="shared" si="316"/>
        <v>0</v>
      </c>
      <c r="M5039">
        <f t="shared" si="317"/>
        <v>1</v>
      </c>
      <c r="N5039">
        <f t="shared" si="318"/>
        <v>0</v>
      </c>
      <c r="O5039" t="str">
        <f t="shared" si="319"/>
        <v>Proposta Ok</v>
      </c>
    </row>
    <row r="5040" spans="12:15" x14ac:dyDescent="0.25">
      <c r="L5040">
        <f t="shared" si="316"/>
        <v>0</v>
      </c>
      <c r="M5040">
        <f t="shared" si="317"/>
        <v>1</v>
      </c>
      <c r="N5040">
        <f t="shared" si="318"/>
        <v>0</v>
      </c>
      <c r="O5040" t="str">
        <f t="shared" si="319"/>
        <v>Proposta Ok</v>
      </c>
    </row>
    <row r="5041" spans="12:15" x14ac:dyDescent="0.25">
      <c r="L5041">
        <f t="shared" si="316"/>
        <v>0</v>
      </c>
      <c r="M5041">
        <f t="shared" si="317"/>
        <v>1</v>
      </c>
      <c r="N5041">
        <f t="shared" si="318"/>
        <v>0</v>
      </c>
      <c r="O5041" t="str">
        <f t="shared" si="319"/>
        <v>Proposta Ok</v>
      </c>
    </row>
    <row r="5042" spans="12:15" x14ac:dyDescent="0.25">
      <c r="L5042">
        <f t="shared" si="316"/>
        <v>0</v>
      </c>
      <c r="M5042">
        <f t="shared" si="317"/>
        <v>1</v>
      </c>
      <c r="N5042">
        <f t="shared" si="318"/>
        <v>0</v>
      </c>
      <c r="O5042" t="str">
        <f t="shared" si="319"/>
        <v>Proposta Ok</v>
      </c>
    </row>
    <row r="5043" spans="12:15" x14ac:dyDescent="0.25">
      <c r="L5043">
        <f t="shared" si="316"/>
        <v>0</v>
      </c>
      <c r="M5043">
        <f t="shared" si="317"/>
        <v>1</v>
      </c>
      <c r="N5043">
        <f t="shared" si="318"/>
        <v>0</v>
      </c>
      <c r="O5043" t="str">
        <f t="shared" si="319"/>
        <v>Proposta Ok</v>
      </c>
    </row>
    <row r="5044" spans="12:15" x14ac:dyDescent="0.25">
      <c r="L5044">
        <f t="shared" si="316"/>
        <v>0</v>
      </c>
      <c r="M5044">
        <f t="shared" si="317"/>
        <v>1</v>
      </c>
      <c r="N5044">
        <f t="shared" si="318"/>
        <v>0</v>
      </c>
      <c r="O5044" t="str">
        <f t="shared" si="319"/>
        <v>Proposta Ok</v>
      </c>
    </row>
    <row r="5045" spans="12:15" x14ac:dyDescent="0.25">
      <c r="L5045">
        <f t="shared" si="316"/>
        <v>0</v>
      </c>
      <c r="M5045">
        <f t="shared" si="317"/>
        <v>1</v>
      </c>
      <c r="N5045">
        <f t="shared" si="318"/>
        <v>0</v>
      </c>
      <c r="O5045" t="str">
        <f t="shared" si="319"/>
        <v>Proposta Ok</v>
      </c>
    </row>
    <row r="5046" spans="12:15" x14ac:dyDescent="0.25">
      <c r="L5046">
        <f t="shared" si="316"/>
        <v>0</v>
      </c>
      <c r="M5046">
        <f t="shared" si="317"/>
        <v>1</v>
      </c>
      <c r="N5046">
        <f t="shared" si="318"/>
        <v>0</v>
      </c>
      <c r="O5046" t="str">
        <f t="shared" si="319"/>
        <v>Proposta Ok</v>
      </c>
    </row>
    <row r="5047" spans="12:15" x14ac:dyDescent="0.25">
      <c r="L5047">
        <f t="shared" si="316"/>
        <v>0</v>
      </c>
      <c r="M5047">
        <f t="shared" si="317"/>
        <v>1</v>
      </c>
      <c r="N5047">
        <f t="shared" si="318"/>
        <v>0</v>
      </c>
      <c r="O5047" t="str">
        <f t="shared" si="319"/>
        <v>Proposta Ok</v>
      </c>
    </row>
    <row r="5048" spans="12:15" x14ac:dyDescent="0.25">
      <c r="L5048">
        <f t="shared" si="316"/>
        <v>0</v>
      </c>
      <c r="M5048">
        <f t="shared" si="317"/>
        <v>1</v>
      </c>
      <c r="N5048">
        <f t="shared" si="318"/>
        <v>0</v>
      </c>
      <c r="O5048" t="str">
        <f t="shared" si="319"/>
        <v>Proposta Ok</v>
      </c>
    </row>
    <row r="5049" spans="12:15" x14ac:dyDescent="0.25">
      <c r="L5049">
        <f t="shared" si="316"/>
        <v>0</v>
      </c>
      <c r="M5049">
        <f t="shared" si="317"/>
        <v>1</v>
      </c>
      <c r="N5049">
        <f t="shared" si="318"/>
        <v>0</v>
      </c>
      <c r="O5049" t="str">
        <f t="shared" si="319"/>
        <v>Proposta Ok</v>
      </c>
    </row>
    <row r="5050" spans="12:15" x14ac:dyDescent="0.25">
      <c r="L5050">
        <f t="shared" si="316"/>
        <v>0</v>
      </c>
      <c r="M5050">
        <f t="shared" si="317"/>
        <v>1</v>
      </c>
      <c r="N5050">
        <f t="shared" si="318"/>
        <v>0</v>
      </c>
      <c r="O5050" t="str">
        <f t="shared" si="319"/>
        <v>Proposta Ok</v>
      </c>
    </row>
    <row r="5051" spans="12:15" x14ac:dyDescent="0.25">
      <c r="L5051">
        <f t="shared" si="316"/>
        <v>0</v>
      </c>
      <c r="M5051">
        <f t="shared" si="317"/>
        <v>1</v>
      </c>
      <c r="N5051">
        <f t="shared" si="318"/>
        <v>0</v>
      </c>
      <c r="O5051" t="str">
        <f t="shared" si="319"/>
        <v>Proposta Ok</v>
      </c>
    </row>
    <row r="5052" spans="12:15" x14ac:dyDescent="0.25">
      <c r="L5052">
        <f t="shared" si="316"/>
        <v>0</v>
      </c>
      <c r="M5052">
        <f t="shared" si="317"/>
        <v>1</v>
      </c>
      <c r="N5052">
        <f t="shared" si="318"/>
        <v>0</v>
      </c>
      <c r="O5052" t="str">
        <f t="shared" si="319"/>
        <v>Proposta Ok</v>
      </c>
    </row>
    <row r="5053" spans="12:15" x14ac:dyDescent="0.25">
      <c r="L5053">
        <f t="shared" si="316"/>
        <v>0</v>
      </c>
      <c r="M5053">
        <f t="shared" si="317"/>
        <v>1</v>
      </c>
      <c r="N5053">
        <f t="shared" si="318"/>
        <v>0</v>
      </c>
      <c r="O5053" t="str">
        <f t="shared" si="319"/>
        <v>Proposta Ok</v>
      </c>
    </row>
    <row r="5054" spans="12:15" x14ac:dyDescent="0.25">
      <c r="L5054">
        <f t="shared" si="316"/>
        <v>0</v>
      </c>
      <c r="M5054">
        <f t="shared" si="317"/>
        <v>1</v>
      </c>
      <c r="N5054">
        <f t="shared" si="318"/>
        <v>0</v>
      </c>
      <c r="O5054" t="str">
        <f t="shared" si="319"/>
        <v>Proposta Ok</v>
      </c>
    </row>
    <row r="5055" spans="12:15" x14ac:dyDescent="0.25">
      <c r="L5055">
        <f t="shared" si="316"/>
        <v>0</v>
      </c>
      <c r="M5055">
        <f t="shared" si="317"/>
        <v>1</v>
      </c>
      <c r="N5055">
        <f t="shared" si="318"/>
        <v>0</v>
      </c>
      <c r="O5055" t="str">
        <f t="shared" si="319"/>
        <v>Proposta Ok</v>
      </c>
    </row>
    <row r="5056" spans="12:15" x14ac:dyDescent="0.25">
      <c r="L5056">
        <f t="shared" si="316"/>
        <v>0</v>
      </c>
      <c r="M5056">
        <f t="shared" si="317"/>
        <v>1</v>
      </c>
      <c r="N5056">
        <f t="shared" si="318"/>
        <v>0</v>
      </c>
      <c r="O5056" t="str">
        <f t="shared" si="319"/>
        <v>Proposta Ok</v>
      </c>
    </row>
    <row r="5057" spans="12:15" x14ac:dyDescent="0.25">
      <c r="L5057">
        <f t="shared" si="316"/>
        <v>0</v>
      </c>
      <c r="M5057">
        <f t="shared" si="317"/>
        <v>1</v>
      </c>
      <c r="N5057">
        <f t="shared" si="318"/>
        <v>0</v>
      </c>
      <c r="O5057" t="str">
        <f t="shared" si="319"/>
        <v>Proposta Ok</v>
      </c>
    </row>
    <row r="5058" spans="12:15" x14ac:dyDescent="0.25">
      <c r="L5058">
        <f t="shared" si="316"/>
        <v>0</v>
      </c>
      <c r="M5058">
        <f t="shared" si="317"/>
        <v>1</v>
      </c>
      <c r="N5058">
        <f t="shared" si="318"/>
        <v>0</v>
      </c>
      <c r="O5058" t="str">
        <f t="shared" si="319"/>
        <v>Proposta Ok</v>
      </c>
    </row>
    <row r="5059" spans="12:15" x14ac:dyDescent="0.25">
      <c r="L5059">
        <f t="shared" si="316"/>
        <v>0</v>
      </c>
      <c r="M5059">
        <f t="shared" si="317"/>
        <v>1</v>
      </c>
      <c r="N5059">
        <f t="shared" si="318"/>
        <v>0</v>
      </c>
      <c r="O5059" t="str">
        <f t="shared" si="319"/>
        <v>Proposta Ok</v>
      </c>
    </row>
    <row r="5060" spans="12:15" x14ac:dyDescent="0.25">
      <c r="L5060">
        <f t="shared" si="316"/>
        <v>0</v>
      </c>
      <c r="M5060">
        <f t="shared" si="317"/>
        <v>1</v>
      </c>
      <c r="N5060">
        <f t="shared" si="318"/>
        <v>0</v>
      </c>
      <c r="O5060" t="str">
        <f t="shared" si="319"/>
        <v>Proposta Ok</v>
      </c>
    </row>
    <row r="5061" spans="12:15" x14ac:dyDescent="0.25">
      <c r="L5061">
        <f t="shared" si="316"/>
        <v>0</v>
      </c>
      <c r="M5061">
        <f t="shared" si="317"/>
        <v>1</v>
      </c>
      <c r="N5061">
        <f t="shared" si="318"/>
        <v>0</v>
      </c>
      <c r="O5061" t="str">
        <f t="shared" si="319"/>
        <v>Proposta Ok</v>
      </c>
    </row>
    <row r="5062" spans="12:15" x14ac:dyDescent="0.25">
      <c r="L5062">
        <f t="shared" si="316"/>
        <v>0</v>
      </c>
      <c r="M5062">
        <f t="shared" si="317"/>
        <v>1</v>
      </c>
      <c r="N5062">
        <f t="shared" si="318"/>
        <v>0</v>
      </c>
      <c r="O5062" t="str">
        <f t="shared" si="319"/>
        <v>Proposta Ok</v>
      </c>
    </row>
    <row r="5063" spans="12:15" x14ac:dyDescent="0.25">
      <c r="L5063">
        <f t="shared" si="316"/>
        <v>0</v>
      </c>
      <c r="M5063">
        <f t="shared" si="317"/>
        <v>1</v>
      </c>
      <c r="N5063">
        <f t="shared" si="318"/>
        <v>0</v>
      </c>
      <c r="O5063" t="str">
        <f t="shared" si="319"/>
        <v>Proposta Ok</v>
      </c>
    </row>
    <row r="5064" spans="12:15" x14ac:dyDescent="0.25">
      <c r="L5064">
        <f t="shared" si="316"/>
        <v>0</v>
      </c>
      <c r="M5064">
        <f t="shared" si="317"/>
        <v>1</v>
      </c>
      <c r="N5064">
        <f t="shared" si="318"/>
        <v>0</v>
      </c>
      <c r="O5064" t="str">
        <f t="shared" si="319"/>
        <v>Proposta Ok</v>
      </c>
    </row>
    <row r="5065" spans="12:15" x14ac:dyDescent="0.25">
      <c r="L5065">
        <f t="shared" si="316"/>
        <v>0</v>
      </c>
      <c r="M5065">
        <f t="shared" si="317"/>
        <v>1</v>
      </c>
      <c r="N5065">
        <f t="shared" si="318"/>
        <v>0</v>
      </c>
      <c r="O5065" t="str">
        <f t="shared" si="319"/>
        <v>Proposta Ok</v>
      </c>
    </row>
    <row r="5066" spans="12:15" x14ac:dyDescent="0.25">
      <c r="L5066">
        <f t="shared" si="316"/>
        <v>0</v>
      </c>
      <c r="M5066">
        <f t="shared" si="317"/>
        <v>1</v>
      </c>
      <c r="N5066">
        <f t="shared" si="318"/>
        <v>0</v>
      </c>
      <c r="O5066" t="str">
        <f t="shared" si="319"/>
        <v>Proposta Ok</v>
      </c>
    </row>
    <row r="5067" spans="12:15" x14ac:dyDescent="0.25">
      <c r="L5067">
        <f t="shared" si="316"/>
        <v>0</v>
      </c>
      <c r="M5067">
        <f t="shared" si="317"/>
        <v>1</v>
      </c>
      <c r="N5067">
        <f t="shared" si="318"/>
        <v>0</v>
      </c>
      <c r="O5067" t="str">
        <f t="shared" si="319"/>
        <v>Proposta Ok</v>
      </c>
    </row>
    <row r="5068" spans="12:15" x14ac:dyDescent="0.25">
      <c r="L5068">
        <f t="shared" si="316"/>
        <v>0</v>
      </c>
      <c r="M5068">
        <f t="shared" si="317"/>
        <v>1</v>
      </c>
      <c r="N5068">
        <f t="shared" si="318"/>
        <v>0</v>
      </c>
      <c r="O5068" t="str">
        <f t="shared" si="319"/>
        <v>Proposta Ok</v>
      </c>
    </row>
    <row r="5069" spans="12:15" x14ac:dyDescent="0.25">
      <c r="L5069">
        <f t="shared" si="316"/>
        <v>0</v>
      </c>
      <c r="M5069">
        <f t="shared" si="317"/>
        <v>1</v>
      </c>
      <c r="N5069">
        <f t="shared" si="318"/>
        <v>0</v>
      </c>
      <c r="O5069" t="str">
        <f t="shared" si="319"/>
        <v>Proposta Ok</v>
      </c>
    </row>
    <row r="5070" spans="12:15" x14ac:dyDescent="0.25">
      <c r="L5070">
        <f t="shared" si="316"/>
        <v>0</v>
      </c>
      <c r="M5070">
        <f t="shared" si="317"/>
        <v>1</v>
      </c>
      <c r="N5070">
        <f t="shared" si="318"/>
        <v>0</v>
      </c>
      <c r="O5070" t="str">
        <f t="shared" si="319"/>
        <v>Proposta Ok</v>
      </c>
    </row>
    <row r="5071" spans="12:15" x14ac:dyDescent="0.25">
      <c r="L5071">
        <f t="shared" si="316"/>
        <v>0</v>
      </c>
      <c r="M5071">
        <f t="shared" si="317"/>
        <v>1</v>
      </c>
      <c r="N5071">
        <f t="shared" si="318"/>
        <v>0</v>
      </c>
      <c r="O5071" t="str">
        <f t="shared" si="319"/>
        <v>Proposta Ok</v>
      </c>
    </row>
    <row r="5072" spans="12:15" x14ac:dyDescent="0.25">
      <c r="L5072">
        <f t="shared" si="316"/>
        <v>0</v>
      </c>
      <c r="M5072">
        <f t="shared" si="317"/>
        <v>1</v>
      </c>
      <c r="N5072">
        <f t="shared" si="318"/>
        <v>0</v>
      </c>
      <c r="O5072" t="str">
        <f t="shared" si="319"/>
        <v>Proposta Ok</v>
      </c>
    </row>
    <row r="5073" spans="12:15" x14ac:dyDescent="0.25">
      <c r="L5073">
        <f t="shared" si="316"/>
        <v>0</v>
      </c>
      <c r="M5073">
        <f t="shared" si="317"/>
        <v>1</v>
      </c>
      <c r="N5073">
        <f t="shared" si="318"/>
        <v>0</v>
      </c>
      <c r="O5073" t="str">
        <f t="shared" si="319"/>
        <v>Proposta Ok</v>
      </c>
    </row>
    <row r="5074" spans="12:15" x14ac:dyDescent="0.25">
      <c r="L5074">
        <f t="shared" si="316"/>
        <v>0</v>
      </c>
      <c r="M5074">
        <f t="shared" si="317"/>
        <v>1</v>
      </c>
      <c r="N5074">
        <f t="shared" si="318"/>
        <v>0</v>
      </c>
      <c r="O5074" t="str">
        <f t="shared" si="319"/>
        <v>Proposta Ok</v>
      </c>
    </row>
    <row r="5075" spans="12:15" x14ac:dyDescent="0.25">
      <c r="L5075">
        <f t="shared" si="316"/>
        <v>0</v>
      </c>
      <c r="M5075">
        <f t="shared" si="317"/>
        <v>1</v>
      </c>
      <c r="N5075">
        <f t="shared" si="318"/>
        <v>0</v>
      </c>
      <c r="O5075" t="str">
        <f t="shared" si="319"/>
        <v>Proposta Ok</v>
      </c>
    </row>
    <row r="5076" spans="12:15" x14ac:dyDescent="0.25">
      <c r="L5076">
        <f t="shared" si="316"/>
        <v>0</v>
      </c>
      <c r="M5076">
        <f t="shared" si="317"/>
        <v>1</v>
      </c>
      <c r="N5076">
        <f t="shared" si="318"/>
        <v>0</v>
      </c>
      <c r="O5076" t="str">
        <f t="shared" si="319"/>
        <v>Proposta Ok</v>
      </c>
    </row>
    <row r="5077" spans="12:15" x14ac:dyDescent="0.25">
      <c r="L5077">
        <f t="shared" si="316"/>
        <v>0</v>
      </c>
      <c r="M5077">
        <f t="shared" si="317"/>
        <v>1</v>
      </c>
      <c r="N5077">
        <f t="shared" si="318"/>
        <v>0</v>
      </c>
      <c r="O5077" t="str">
        <f t="shared" si="319"/>
        <v>Proposta Ok</v>
      </c>
    </row>
    <row r="5078" spans="12:15" x14ac:dyDescent="0.25">
      <c r="L5078">
        <f t="shared" si="316"/>
        <v>0</v>
      </c>
      <c r="M5078">
        <f t="shared" si="317"/>
        <v>1</v>
      </c>
      <c r="N5078">
        <f t="shared" si="318"/>
        <v>0</v>
      </c>
      <c r="O5078" t="str">
        <f t="shared" si="319"/>
        <v>Proposta Ok</v>
      </c>
    </row>
    <row r="5079" spans="12:15" x14ac:dyDescent="0.25">
      <c r="L5079">
        <f t="shared" si="316"/>
        <v>0</v>
      </c>
      <c r="M5079">
        <f t="shared" si="317"/>
        <v>1</v>
      </c>
      <c r="N5079">
        <f t="shared" si="318"/>
        <v>0</v>
      </c>
      <c r="O5079" t="str">
        <f t="shared" si="319"/>
        <v>Proposta Ok</v>
      </c>
    </row>
    <row r="5080" spans="12:15" x14ac:dyDescent="0.25">
      <c r="L5080">
        <f t="shared" si="316"/>
        <v>0</v>
      </c>
      <c r="M5080">
        <f t="shared" si="317"/>
        <v>1</v>
      </c>
      <c r="N5080">
        <f t="shared" si="318"/>
        <v>0</v>
      </c>
      <c r="O5080" t="str">
        <f t="shared" si="319"/>
        <v>Proposta Ok</v>
      </c>
    </row>
    <row r="5081" spans="12:15" x14ac:dyDescent="0.25">
      <c r="L5081">
        <f t="shared" si="316"/>
        <v>0</v>
      </c>
      <c r="M5081">
        <f t="shared" si="317"/>
        <v>1</v>
      </c>
      <c r="N5081">
        <f t="shared" si="318"/>
        <v>0</v>
      </c>
      <c r="O5081" t="str">
        <f t="shared" si="319"/>
        <v>Proposta Ok</v>
      </c>
    </row>
    <row r="5082" spans="12:15" x14ac:dyDescent="0.25">
      <c r="L5082">
        <f t="shared" si="316"/>
        <v>0</v>
      </c>
      <c r="M5082">
        <f t="shared" si="317"/>
        <v>1</v>
      </c>
      <c r="N5082">
        <f t="shared" si="318"/>
        <v>0</v>
      </c>
      <c r="O5082" t="str">
        <f t="shared" si="319"/>
        <v>Proposta Ok</v>
      </c>
    </row>
    <row r="5083" spans="12:15" x14ac:dyDescent="0.25">
      <c r="L5083">
        <f t="shared" ref="L5083:L5146" si="320">IF(OR(I5083="Termo OK (Exceção)",I5083="Termo OK"),1,0)</f>
        <v>0</v>
      </c>
      <c r="M5083">
        <f t="shared" ref="M5083:M5146" si="321">IF(OR(I5083="Termo OK (Exceção)",I5083="Termo OK"),0,1)</f>
        <v>1</v>
      </c>
      <c r="N5083">
        <f t="shared" ref="N5083:N5146" si="322">IF(J5083="SIM",1,0)</f>
        <v>0</v>
      </c>
      <c r="O5083" t="str">
        <f t="shared" ref="O5083:O5146" si="323">IF(SUMIFS(M:M,A:A,A5083)&gt;0,"Proposta não Ok","Proposta Ok")</f>
        <v>Proposta Ok</v>
      </c>
    </row>
    <row r="5084" spans="12:15" x14ac:dyDescent="0.25">
      <c r="L5084">
        <f t="shared" si="320"/>
        <v>0</v>
      </c>
      <c r="M5084">
        <f t="shared" si="321"/>
        <v>1</v>
      </c>
      <c r="N5084">
        <f t="shared" si="322"/>
        <v>0</v>
      </c>
      <c r="O5084" t="str">
        <f t="shared" si="323"/>
        <v>Proposta Ok</v>
      </c>
    </row>
    <row r="5085" spans="12:15" x14ac:dyDescent="0.25">
      <c r="L5085">
        <f t="shared" si="320"/>
        <v>0</v>
      </c>
      <c r="M5085">
        <f t="shared" si="321"/>
        <v>1</v>
      </c>
      <c r="N5085">
        <f t="shared" si="322"/>
        <v>0</v>
      </c>
      <c r="O5085" t="str">
        <f t="shared" si="323"/>
        <v>Proposta Ok</v>
      </c>
    </row>
    <row r="5086" spans="12:15" x14ac:dyDescent="0.25">
      <c r="L5086">
        <f t="shared" si="320"/>
        <v>0</v>
      </c>
      <c r="M5086">
        <f t="shared" si="321"/>
        <v>1</v>
      </c>
      <c r="N5086">
        <f t="shared" si="322"/>
        <v>0</v>
      </c>
      <c r="O5086" t="str">
        <f t="shared" si="323"/>
        <v>Proposta Ok</v>
      </c>
    </row>
    <row r="5087" spans="12:15" x14ac:dyDescent="0.25">
      <c r="L5087">
        <f t="shared" si="320"/>
        <v>0</v>
      </c>
      <c r="M5087">
        <f t="shared" si="321"/>
        <v>1</v>
      </c>
      <c r="N5087">
        <f t="shared" si="322"/>
        <v>0</v>
      </c>
      <c r="O5087" t="str">
        <f t="shared" si="323"/>
        <v>Proposta Ok</v>
      </c>
    </row>
    <row r="5088" spans="12:15" x14ac:dyDescent="0.25">
      <c r="L5088">
        <f t="shared" si="320"/>
        <v>0</v>
      </c>
      <c r="M5088">
        <f t="shared" si="321"/>
        <v>1</v>
      </c>
      <c r="N5088">
        <f t="shared" si="322"/>
        <v>0</v>
      </c>
      <c r="O5088" t="str">
        <f t="shared" si="323"/>
        <v>Proposta Ok</v>
      </c>
    </row>
    <row r="5089" spans="12:15" x14ac:dyDescent="0.25">
      <c r="L5089">
        <f t="shared" si="320"/>
        <v>0</v>
      </c>
      <c r="M5089">
        <f t="shared" si="321"/>
        <v>1</v>
      </c>
      <c r="N5089">
        <f t="shared" si="322"/>
        <v>0</v>
      </c>
      <c r="O5089" t="str">
        <f t="shared" si="323"/>
        <v>Proposta Ok</v>
      </c>
    </row>
    <row r="5090" spans="12:15" x14ac:dyDescent="0.25">
      <c r="L5090">
        <f t="shared" si="320"/>
        <v>0</v>
      </c>
      <c r="M5090">
        <f t="shared" si="321"/>
        <v>1</v>
      </c>
      <c r="N5090">
        <f t="shared" si="322"/>
        <v>0</v>
      </c>
      <c r="O5090" t="str">
        <f t="shared" si="323"/>
        <v>Proposta Ok</v>
      </c>
    </row>
    <row r="5091" spans="12:15" x14ac:dyDescent="0.25">
      <c r="L5091">
        <f t="shared" si="320"/>
        <v>0</v>
      </c>
      <c r="M5091">
        <f t="shared" si="321"/>
        <v>1</v>
      </c>
      <c r="N5091">
        <f t="shared" si="322"/>
        <v>0</v>
      </c>
      <c r="O5091" t="str">
        <f t="shared" si="323"/>
        <v>Proposta Ok</v>
      </c>
    </row>
    <row r="5092" spans="12:15" x14ac:dyDescent="0.25">
      <c r="L5092">
        <f t="shared" si="320"/>
        <v>0</v>
      </c>
      <c r="M5092">
        <f t="shared" si="321"/>
        <v>1</v>
      </c>
      <c r="N5092">
        <f t="shared" si="322"/>
        <v>0</v>
      </c>
      <c r="O5092" t="str">
        <f t="shared" si="323"/>
        <v>Proposta Ok</v>
      </c>
    </row>
    <row r="5093" spans="12:15" x14ac:dyDescent="0.25">
      <c r="L5093">
        <f t="shared" si="320"/>
        <v>0</v>
      </c>
      <c r="M5093">
        <f t="shared" si="321"/>
        <v>1</v>
      </c>
      <c r="N5093">
        <f t="shared" si="322"/>
        <v>0</v>
      </c>
      <c r="O5093" t="str">
        <f t="shared" si="323"/>
        <v>Proposta Ok</v>
      </c>
    </row>
    <row r="5094" spans="12:15" x14ac:dyDescent="0.25">
      <c r="L5094">
        <f t="shared" si="320"/>
        <v>0</v>
      </c>
      <c r="M5094">
        <f t="shared" si="321"/>
        <v>1</v>
      </c>
      <c r="N5094">
        <f t="shared" si="322"/>
        <v>0</v>
      </c>
      <c r="O5094" t="str">
        <f t="shared" si="323"/>
        <v>Proposta Ok</v>
      </c>
    </row>
    <row r="5095" spans="12:15" x14ac:dyDescent="0.25">
      <c r="L5095">
        <f t="shared" si="320"/>
        <v>0</v>
      </c>
      <c r="M5095">
        <f t="shared" si="321"/>
        <v>1</v>
      </c>
      <c r="N5095">
        <f t="shared" si="322"/>
        <v>0</v>
      </c>
      <c r="O5095" t="str">
        <f t="shared" si="323"/>
        <v>Proposta Ok</v>
      </c>
    </row>
    <row r="5096" spans="12:15" x14ac:dyDescent="0.25">
      <c r="L5096">
        <f t="shared" si="320"/>
        <v>0</v>
      </c>
      <c r="M5096">
        <f t="shared" si="321"/>
        <v>1</v>
      </c>
      <c r="N5096">
        <f t="shared" si="322"/>
        <v>0</v>
      </c>
      <c r="O5096" t="str">
        <f t="shared" si="323"/>
        <v>Proposta Ok</v>
      </c>
    </row>
    <row r="5097" spans="12:15" x14ac:dyDescent="0.25">
      <c r="L5097">
        <f t="shared" si="320"/>
        <v>0</v>
      </c>
      <c r="M5097">
        <f t="shared" si="321"/>
        <v>1</v>
      </c>
      <c r="N5097">
        <f t="shared" si="322"/>
        <v>0</v>
      </c>
      <c r="O5097" t="str">
        <f t="shared" si="323"/>
        <v>Proposta Ok</v>
      </c>
    </row>
    <row r="5098" spans="12:15" x14ac:dyDescent="0.25">
      <c r="L5098">
        <f t="shared" si="320"/>
        <v>0</v>
      </c>
      <c r="M5098">
        <f t="shared" si="321"/>
        <v>1</v>
      </c>
      <c r="N5098">
        <f t="shared" si="322"/>
        <v>0</v>
      </c>
      <c r="O5098" t="str">
        <f t="shared" si="323"/>
        <v>Proposta Ok</v>
      </c>
    </row>
    <row r="5099" spans="12:15" x14ac:dyDescent="0.25">
      <c r="L5099">
        <f t="shared" si="320"/>
        <v>0</v>
      </c>
      <c r="M5099">
        <f t="shared" si="321"/>
        <v>1</v>
      </c>
      <c r="N5099">
        <f t="shared" si="322"/>
        <v>0</v>
      </c>
      <c r="O5099" t="str">
        <f t="shared" si="323"/>
        <v>Proposta Ok</v>
      </c>
    </row>
    <row r="5100" spans="12:15" x14ac:dyDescent="0.25">
      <c r="L5100">
        <f t="shared" si="320"/>
        <v>0</v>
      </c>
      <c r="M5100">
        <f t="shared" si="321"/>
        <v>1</v>
      </c>
      <c r="N5100">
        <f t="shared" si="322"/>
        <v>0</v>
      </c>
      <c r="O5100" t="str">
        <f t="shared" si="323"/>
        <v>Proposta Ok</v>
      </c>
    </row>
    <row r="5101" spans="12:15" x14ac:dyDescent="0.25">
      <c r="L5101">
        <f t="shared" si="320"/>
        <v>0</v>
      </c>
      <c r="M5101">
        <f t="shared" si="321"/>
        <v>1</v>
      </c>
      <c r="N5101">
        <f t="shared" si="322"/>
        <v>0</v>
      </c>
      <c r="O5101" t="str">
        <f t="shared" si="323"/>
        <v>Proposta Ok</v>
      </c>
    </row>
    <row r="5102" spans="12:15" x14ac:dyDescent="0.25">
      <c r="L5102">
        <f t="shared" si="320"/>
        <v>0</v>
      </c>
      <c r="M5102">
        <f t="shared" si="321"/>
        <v>1</v>
      </c>
      <c r="N5102">
        <f t="shared" si="322"/>
        <v>0</v>
      </c>
      <c r="O5102" t="str">
        <f t="shared" si="323"/>
        <v>Proposta Ok</v>
      </c>
    </row>
    <row r="5103" spans="12:15" x14ac:dyDescent="0.25">
      <c r="L5103">
        <f t="shared" si="320"/>
        <v>0</v>
      </c>
      <c r="M5103">
        <f t="shared" si="321"/>
        <v>1</v>
      </c>
      <c r="N5103">
        <f t="shared" si="322"/>
        <v>0</v>
      </c>
      <c r="O5103" t="str">
        <f t="shared" si="323"/>
        <v>Proposta Ok</v>
      </c>
    </row>
    <row r="5104" spans="12:15" x14ac:dyDescent="0.25">
      <c r="L5104">
        <f t="shared" si="320"/>
        <v>0</v>
      </c>
      <c r="M5104">
        <f t="shared" si="321"/>
        <v>1</v>
      </c>
      <c r="N5104">
        <f t="shared" si="322"/>
        <v>0</v>
      </c>
      <c r="O5104" t="str">
        <f t="shared" si="323"/>
        <v>Proposta Ok</v>
      </c>
    </row>
    <row r="5105" spans="12:15" x14ac:dyDescent="0.25">
      <c r="L5105">
        <f t="shared" si="320"/>
        <v>0</v>
      </c>
      <c r="M5105">
        <f t="shared" si="321"/>
        <v>1</v>
      </c>
      <c r="N5105">
        <f t="shared" si="322"/>
        <v>0</v>
      </c>
      <c r="O5105" t="str">
        <f t="shared" si="323"/>
        <v>Proposta Ok</v>
      </c>
    </row>
    <row r="5106" spans="12:15" x14ac:dyDescent="0.25">
      <c r="L5106">
        <f t="shared" si="320"/>
        <v>0</v>
      </c>
      <c r="M5106">
        <f t="shared" si="321"/>
        <v>1</v>
      </c>
      <c r="N5106">
        <f t="shared" si="322"/>
        <v>0</v>
      </c>
      <c r="O5106" t="str">
        <f t="shared" si="323"/>
        <v>Proposta Ok</v>
      </c>
    </row>
    <row r="5107" spans="12:15" x14ac:dyDescent="0.25">
      <c r="L5107">
        <f t="shared" si="320"/>
        <v>0</v>
      </c>
      <c r="M5107">
        <f t="shared" si="321"/>
        <v>1</v>
      </c>
      <c r="N5107">
        <f t="shared" si="322"/>
        <v>0</v>
      </c>
      <c r="O5107" t="str">
        <f t="shared" si="323"/>
        <v>Proposta Ok</v>
      </c>
    </row>
    <row r="5108" spans="12:15" x14ac:dyDescent="0.25">
      <c r="L5108">
        <f t="shared" si="320"/>
        <v>0</v>
      </c>
      <c r="M5108">
        <f t="shared" si="321"/>
        <v>1</v>
      </c>
      <c r="N5108">
        <f t="shared" si="322"/>
        <v>0</v>
      </c>
      <c r="O5108" t="str">
        <f t="shared" si="323"/>
        <v>Proposta Ok</v>
      </c>
    </row>
    <row r="5109" spans="12:15" x14ac:dyDescent="0.25">
      <c r="L5109">
        <f t="shared" si="320"/>
        <v>0</v>
      </c>
      <c r="M5109">
        <f t="shared" si="321"/>
        <v>1</v>
      </c>
      <c r="N5109">
        <f t="shared" si="322"/>
        <v>0</v>
      </c>
      <c r="O5109" t="str">
        <f t="shared" si="323"/>
        <v>Proposta Ok</v>
      </c>
    </row>
    <row r="5110" spans="12:15" x14ac:dyDescent="0.25">
      <c r="L5110">
        <f t="shared" si="320"/>
        <v>0</v>
      </c>
      <c r="M5110">
        <f t="shared" si="321"/>
        <v>1</v>
      </c>
      <c r="N5110">
        <f t="shared" si="322"/>
        <v>0</v>
      </c>
      <c r="O5110" t="str">
        <f t="shared" si="323"/>
        <v>Proposta Ok</v>
      </c>
    </row>
    <row r="5111" spans="12:15" x14ac:dyDescent="0.25">
      <c r="L5111">
        <f t="shared" si="320"/>
        <v>0</v>
      </c>
      <c r="M5111">
        <f t="shared" si="321"/>
        <v>1</v>
      </c>
      <c r="N5111">
        <f t="shared" si="322"/>
        <v>0</v>
      </c>
      <c r="O5111" t="str">
        <f t="shared" si="323"/>
        <v>Proposta Ok</v>
      </c>
    </row>
    <row r="5112" spans="12:15" x14ac:dyDescent="0.25">
      <c r="L5112">
        <f t="shared" si="320"/>
        <v>0</v>
      </c>
      <c r="M5112">
        <f t="shared" si="321"/>
        <v>1</v>
      </c>
      <c r="N5112">
        <f t="shared" si="322"/>
        <v>0</v>
      </c>
      <c r="O5112" t="str">
        <f t="shared" si="323"/>
        <v>Proposta Ok</v>
      </c>
    </row>
    <row r="5113" spans="12:15" x14ac:dyDescent="0.25">
      <c r="L5113">
        <f t="shared" si="320"/>
        <v>0</v>
      </c>
      <c r="M5113">
        <f t="shared" si="321"/>
        <v>1</v>
      </c>
      <c r="N5113">
        <f t="shared" si="322"/>
        <v>0</v>
      </c>
      <c r="O5113" t="str">
        <f t="shared" si="323"/>
        <v>Proposta Ok</v>
      </c>
    </row>
    <row r="5114" spans="12:15" x14ac:dyDescent="0.25">
      <c r="L5114">
        <f t="shared" si="320"/>
        <v>0</v>
      </c>
      <c r="M5114">
        <f t="shared" si="321"/>
        <v>1</v>
      </c>
      <c r="N5114">
        <f t="shared" si="322"/>
        <v>0</v>
      </c>
      <c r="O5114" t="str">
        <f t="shared" si="323"/>
        <v>Proposta Ok</v>
      </c>
    </row>
    <row r="5115" spans="12:15" x14ac:dyDescent="0.25">
      <c r="L5115">
        <f t="shared" si="320"/>
        <v>0</v>
      </c>
      <c r="M5115">
        <f t="shared" si="321"/>
        <v>1</v>
      </c>
      <c r="N5115">
        <f t="shared" si="322"/>
        <v>0</v>
      </c>
      <c r="O5115" t="str">
        <f t="shared" si="323"/>
        <v>Proposta Ok</v>
      </c>
    </row>
    <row r="5116" spans="12:15" x14ac:dyDescent="0.25">
      <c r="L5116">
        <f t="shared" si="320"/>
        <v>0</v>
      </c>
      <c r="M5116">
        <f t="shared" si="321"/>
        <v>1</v>
      </c>
      <c r="N5116">
        <f t="shared" si="322"/>
        <v>0</v>
      </c>
      <c r="O5116" t="str">
        <f t="shared" si="323"/>
        <v>Proposta Ok</v>
      </c>
    </row>
    <row r="5117" spans="12:15" x14ac:dyDescent="0.25">
      <c r="L5117">
        <f t="shared" si="320"/>
        <v>0</v>
      </c>
      <c r="M5117">
        <f t="shared" si="321"/>
        <v>1</v>
      </c>
      <c r="N5117">
        <f t="shared" si="322"/>
        <v>0</v>
      </c>
      <c r="O5117" t="str">
        <f t="shared" si="323"/>
        <v>Proposta Ok</v>
      </c>
    </row>
    <row r="5118" spans="12:15" x14ac:dyDescent="0.25">
      <c r="L5118">
        <f t="shared" si="320"/>
        <v>0</v>
      </c>
      <c r="M5118">
        <f t="shared" si="321"/>
        <v>1</v>
      </c>
      <c r="N5118">
        <f t="shared" si="322"/>
        <v>0</v>
      </c>
      <c r="O5118" t="str">
        <f t="shared" si="323"/>
        <v>Proposta Ok</v>
      </c>
    </row>
    <row r="5119" spans="12:15" x14ac:dyDescent="0.25">
      <c r="L5119">
        <f t="shared" si="320"/>
        <v>0</v>
      </c>
      <c r="M5119">
        <f t="shared" si="321"/>
        <v>1</v>
      </c>
      <c r="N5119">
        <f t="shared" si="322"/>
        <v>0</v>
      </c>
      <c r="O5119" t="str">
        <f t="shared" si="323"/>
        <v>Proposta Ok</v>
      </c>
    </row>
    <row r="5120" spans="12:15" x14ac:dyDescent="0.25">
      <c r="L5120">
        <f t="shared" si="320"/>
        <v>0</v>
      </c>
      <c r="M5120">
        <f t="shared" si="321"/>
        <v>1</v>
      </c>
      <c r="N5120">
        <f t="shared" si="322"/>
        <v>0</v>
      </c>
      <c r="O5120" t="str">
        <f t="shared" si="323"/>
        <v>Proposta Ok</v>
      </c>
    </row>
    <row r="5121" spans="12:15" x14ac:dyDescent="0.25">
      <c r="L5121">
        <f t="shared" si="320"/>
        <v>0</v>
      </c>
      <c r="M5121">
        <f t="shared" si="321"/>
        <v>1</v>
      </c>
      <c r="N5121">
        <f t="shared" si="322"/>
        <v>0</v>
      </c>
      <c r="O5121" t="str">
        <f t="shared" si="323"/>
        <v>Proposta Ok</v>
      </c>
    </row>
    <row r="5122" spans="12:15" x14ac:dyDescent="0.25">
      <c r="L5122">
        <f t="shared" si="320"/>
        <v>0</v>
      </c>
      <c r="M5122">
        <f t="shared" si="321"/>
        <v>1</v>
      </c>
      <c r="N5122">
        <f t="shared" si="322"/>
        <v>0</v>
      </c>
      <c r="O5122" t="str">
        <f t="shared" si="323"/>
        <v>Proposta Ok</v>
      </c>
    </row>
    <row r="5123" spans="12:15" x14ac:dyDescent="0.25">
      <c r="L5123">
        <f t="shared" si="320"/>
        <v>0</v>
      </c>
      <c r="M5123">
        <f t="shared" si="321"/>
        <v>1</v>
      </c>
      <c r="N5123">
        <f t="shared" si="322"/>
        <v>0</v>
      </c>
      <c r="O5123" t="str">
        <f t="shared" si="323"/>
        <v>Proposta Ok</v>
      </c>
    </row>
    <row r="5124" spans="12:15" x14ac:dyDescent="0.25">
      <c r="L5124">
        <f t="shared" si="320"/>
        <v>0</v>
      </c>
      <c r="M5124">
        <f t="shared" si="321"/>
        <v>1</v>
      </c>
      <c r="N5124">
        <f t="shared" si="322"/>
        <v>0</v>
      </c>
      <c r="O5124" t="str">
        <f t="shared" si="323"/>
        <v>Proposta Ok</v>
      </c>
    </row>
    <row r="5125" spans="12:15" x14ac:dyDescent="0.25">
      <c r="L5125">
        <f t="shared" si="320"/>
        <v>0</v>
      </c>
      <c r="M5125">
        <f t="shared" si="321"/>
        <v>1</v>
      </c>
      <c r="N5125">
        <f t="shared" si="322"/>
        <v>0</v>
      </c>
      <c r="O5125" t="str">
        <f t="shared" si="323"/>
        <v>Proposta Ok</v>
      </c>
    </row>
    <row r="5126" spans="12:15" x14ac:dyDescent="0.25">
      <c r="L5126">
        <f t="shared" si="320"/>
        <v>0</v>
      </c>
      <c r="M5126">
        <f t="shared" si="321"/>
        <v>1</v>
      </c>
      <c r="N5126">
        <f t="shared" si="322"/>
        <v>0</v>
      </c>
      <c r="O5126" t="str">
        <f t="shared" si="323"/>
        <v>Proposta Ok</v>
      </c>
    </row>
    <row r="5127" spans="12:15" x14ac:dyDescent="0.25">
      <c r="L5127">
        <f t="shared" si="320"/>
        <v>0</v>
      </c>
      <c r="M5127">
        <f t="shared" si="321"/>
        <v>1</v>
      </c>
      <c r="N5127">
        <f t="shared" si="322"/>
        <v>0</v>
      </c>
      <c r="O5127" t="str">
        <f t="shared" si="323"/>
        <v>Proposta Ok</v>
      </c>
    </row>
    <row r="5128" spans="12:15" x14ac:dyDescent="0.25">
      <c r="L5128">
        <f t="shared" si="320"/>
        <v>0</v>
      </c>
      <c r="M5128">
        <f t="shared" si="321"/>
        <v>1</v>
      </c>
      <c r="N5128">
        <f t="shared" si="322"/>
        <v>0</v>
      </c>
      <c r="O5128" t="str">
        <f t="shared" si="323"/>
        <v>Proposta Ok</v>
      </c>
    </row>
    <row r="5129" spans="12:15" x14ac:dyDescent="0.25">
      <c r="L5129">
        <f t="shared" si="320"/>
        <v>0</v>
      </c>
      <c r="M5129">
        <f t="shared" si="321"/>
        <v>1</v>
      </c>
      <c r="N5129">
        <f t="shared" si="322"/>
        <v>0</v>
      </c>
      <c r="O5129" t="str">
        <f t="shared" si="323"/>
        <v>Proposta Ok</v>
      </c>
    </row>
    <row r="5130" spans="12:15" x14ac:dyDescent="0.25">
      <c r="L5130">
        <f t="shared" si="320"/>
        <v>0</v>
      </c>
      <c r="M5130">
        <f t="shared" si="321"/>
        <v>1</v>
      </c>
      <c r="N5130">
        <f t="shared" si="322"/>
        <v>0</v>
      </c>
      <c r="O5130" t="str">
        <f t="shared" si="323"/>
        <v>Proposta Ok</v>
      </c>
    </row>
    <row r="5131" spans="12:15" x14ac:dyDescent="0.25">
      <c r="L5131">
        <f t="shared" si="320"/>
        <v>0</v>
      </c>
      <c r="M5131">
        <f t="shared" si="321"/>
        <v>1</v>
      </c>
      <c r="N5131">
        <f t="shared" si="322"/>
        <v>0</v>
      </c>
      <c r="O5131" t="str">
        <f t="shared" si="323"/>
        <v>Proposta Ok</v>
      </c>
    </row>
    <row r="5132" spans="12:15" x14ac:dyDescent="0.25">
      <c r="L5132">
        <f t="shared" si="320"/>
        <v>0</v>
      </c>
      <c r="M5132">
        <f t="shared" si="321"/>
        <v>1</v>
      </c>
      <c r="N5132">
        <f t="shared" si="322"/>
        <v>0</v>
      </c>
      <c r="O5132" t="str">
        <f t="shared" si="323"/>
        <v>Proposta Ok</v>
      </c>
    </row>
    <row r="5133" spans="12:15" x14ac:dyDescent="0.25">
      <c r="L5133">
        <f t="shared" si="320"/>
        <v>0</v>
      </c>
      <c r="M5133">
        <f t="shared" si="321"/>
        <v>1</v>
      </c>
      <c r="N5133">
        <f t="shared" si="322"/>
        <v>0</v>
      </c>
      <c r="O5133" t="str">
        <f t="shared" si="323"/>
        <v>Proposta Ok</v>
      </c>
    </row>
    <row r="5134" spans="12:15" x14ac:dyDescent="0.25">
      <c r="L5134">
        <f t="shared" si="320"/>
        <v>0</v>
      </c>
      <c r="M5134">
        <f t="shared" si="321"/>
        <v>1</v>
      </c>
      <c r="N5134">
        <f t="shared" si="322"/>
        <v>0</v>
      </c>
      <c r="O5134" t="str">
        <f t="shared" si="323"/>
        <v>Proposta Ok</v>
      </c>
    </row>
    <row r="5135" spans="12:15" x14ac:dyDescent="0.25">
      <c r="L5135">
        <f t="shared" si="320"/>
        <v>0</v>
      </c>
      <c r="M5135">
        <f t="shared" si="321"/>
        <v>1</v>
      </c>
      <c r="N5135">
        <f t="shared" si="322"/>
        <v>0</v>
      </c>
      <c r="O5135" t="str">
        <f t="shared" si="323"/>
        <v>Proposta Ok</v>
      </c>
    </row>
    <row r="5136" spans="12:15" x14ac:dyDescent="0.25">
      <c r="L5136">
        <f t="shared" si="320"/>
        <v>0</v>
      </c>
      <c r="M5136">
        <f t="shared" si="321"/>
        <v>1</v>
      </c>
      <c r="N5136">
        <f t="shared" si="322"/>
        <v>0</v>
      </c>
      <c r="O5136" t="str">
        <f t="shared" si="323"/>
        <v>Proposta Ok</v>
      </c>
    </row>
    <row r="5137" spans="12:15" x14ac:dyDescent="0.25">
      <c r="L5137">
        <f t="shared" si="320"/>
        <v>0</v>
      </c>
      <c r="M5137">
        <f t="shared" si="321"/>
        <v>1</v>
      </c>
      <c r="N5137">
        <f t="shared" si="322"/>
        <v>0</v>
      </c>
      <c r="O5137" t="str">
        <f t="shared" si="323"/>
        <v>Proposta Ok</v>
      </c>
    </row>
    <row r="5138" spans="12:15" x14ac:dyDescent="0.25">
      <c r="L5138">
        <f t="shared" si="320"/>
        <v>0</v>
      </c>
      <c r="M5138">
        <f t="shared" si="321"/>
        <v>1</v>
      </c>
      <c r="N5138">
        <f t="shared" si="322"/>
        <v>0</v>
      </c>
      <c r="O5138" t="str">
        <f t="shared" si="323"/>
        <v>Proposta Ok</v>
      </c>
    </row>
    <row r="5139" spans="12:15" x14ac:dyDescent="0.25">
      <c r="L5139">
        <f t="shared" si="320"/>
        <v>0</v>
      </c>
      <c r="M5139">
        <f t="shared" si="321"/>
        <v>1</v>
      </c>
      <c r="N5139">
        <f t="shared" si="322"/>
        <v>0</v>
      </c>
      <c r="O5139" t="str">
        <f t="shared" si="323"/>
        <v>Proposta Ok</v>
      </c>
    </row>
    <row r="5140" spans="12:15" x14ac:dyDescent="0.25">
      <c r="L5140">
        <f t="shared" si="320"/>
        <v>0</v>
      </c>
      <c r="M5140">
        <f t="shared" si="321"/>
        <v>1</v>
      </c>
      <c r="N5140">
        <f t="shared" si="322"/>
        <v>0</v>
      </c>
      <c r="O5140" t="str">
        <f t="shared" si="323"/>
        <v>Proposta Ok</v>
      </c>
    </row>
    <row r="5141" spans="12:15" x14ac:dyDescent="0.25">
      <c r="L5141">
        <f t="shared" si="320"/>
        <v>0</v>
      </c>
      <c r="M5141">
        <f t="shared" si="321"/>
        <v>1</v>
      </c>
      <c r="N5141">
        <f t="shared" si="322"/>
        <v>0</v>
      </c>
      <c r="O5141" t="str">
        <f t="shared" si="323"/>
        <v>Proposta Ok</v>
      </c>
    </row>
    <row r="5142" spans="12:15" x14ac:dyDescent="0.25">
      <c r="L5142">
        <f t="shared" si="320"/>
        <v>0</v>
      </c>
      <c r="M5142">
        <f t="shared" si="321"/>
        <v>1</v>
      </c>
      <c r="N5142">
        <f t="shared" si="322"/>
        <v>0</v>
      </c>
      <c r="O5142" t="str">
        <f t="shared" si="323"/>
        <v>Proposta Ok</v>
      </c>
    </row>
    <row r="5143" spans="12:15" x14ac:dyDescent="0.25">
      <c r="L5143">
        <f t="shared" si="320"/>
        <v>0</v>
      </c>
      <c r="M5143">
        <f t="shared" si="321"/>
        <v>1</v>
      </c>
      <c r="N5143">
        <f t="shared" si="322"/>
        <v>0</v>
      </c>
      <c r="O5143" t="str">
        <f t="shared" si="323"/>
        <v>Proposta Ok</v>
      </c>
    </row>
    <row r="5144" spans="12:15" x14ac:dyDescent="0.25">
      <c r="L5144">
        <f t="shared" si="320"/>
        <v>0</v>
      </c>
      <c r="M5144">
        <f t="shared" si="321"/>
        <v>1</v>
      </c>
      <c r="N5144">
        <f t="shared" si="322"/>
        <v>0</v>
      </c>
      <c r="O5144" t="str">
        <f t="shared" si="323"/>
        <v>Proposta Ok</v>
      </c>
    </row>
    <row r="5145" spans="12:15" x14ac:dyDescent="0.25">
      <c r="L5145">
        <f t="shared" si="320"/>
        <v>0</v>
      </c>
      <c r="M5145">
        <f t="shared" si="321"/>
        <v>1</v>
      </c>
      <c r="N5145">
        <f t="shared" si="322"/>
        <v>0</v>
      </c>
      <c r="O5145" t="str">
        <f t="shared" si="323"/>
        <v>Proposta Ok</v>
      </c>
    </row>
    <row r="5146" spans="12:15" x14ac:dyDescent="0.25">
      <c r="L5146">
        <f t="shared" si="320"/>
        <v>0</v>
      </c>
      <c r="M5146">
        <f t="shared" si="321"/>
        <v>1</v>
      </c>
      <c r="N5146">
        <f t="shared" si="322"/>
        <v>0</v>
      </c>
      <c r="O5146" t="str">
        <f t="shared" si="323"/>
        <v>Proposta Ok</v>
      </c>
    </row>
    <row r="5147" spans="12:15" x14ac:dyDescent="0.25">
      <c r="L5147">
        <f t="shared" ref="L5147:L5210" si="324">IF(OR(I5147="Termo OK (Exceção)",I5147="Termo OK"),1,0)</f>
        <v>0</v>
      </c>
      <c r="M5147">
        <f t="shared" ref="M5147:M5210" si="325">IF(OR(I5147="Termo OK (Exceção)",I5147="Termo OK"),0,1)</f>
        <v>1</v>
      </c>
      <c r="N5147">
        <f t="shared" ref="N5147:N5210" si="326">IF(J5147="SIM",1,0)</f>
        <v>0</v>
      </c>
      <c r="O5147" t="str">
        <f t="shared" ref="O5147:O5210" si="327">IF(SUMIFS(M:M,A:A,A5147)&gt;0,"Proposta não Ok","Proposta Ok")</f>
        <v>Proposta Ok</v>
      </c>
    </row>
    <row r="5148" spans="12:15" x14ac:dyDescent="0.25">
      <c r="L5148">
        <f t="shared" si="324"/>
        <v>0</v>
      </c>
      <c r="M5148">
        <f t="shared" si="325"/>
        <v>1</v>
      </c>
      <c r="N5148">
        <f t="shared" si="326"/>
        <v>0</v>
      </c>
      <c r="O5148" t="str">
        <f t="shared" si="327"/>
        <v>Proposta Ok</v>
      </c>
    </row>
    <row r="5149" spans="12:15" x14ac:dyDescent="0.25">
      <c r="L5149">
        <f t="shared" si="324"/>
        <v>0</v>
      </c>
      <c r="M5149">
        <f t="shared" si="325"/>
        <v>1</v>
      </c>
      <c r="N5149">
        <f t="shared" si="326"/>
        <v>0</v>
      </c>
      <c r="O5149" t="str">
        <f t="shared" si="327"/>
        <v>Proposta Ok</v>
      </c>
    </row>
    <row r="5150" spans="12:15" x14ac:dyDescent="0.25">
      <c r="L5150">
        <f t="shared" si="324"/>
        <v>0</v>
      </c>
      <c r="M5150">
        <f t="shared" si="325"/>
        <v>1</v>
      </c>
      <c r="N5150">
        <f t="shared" si="326"/>
        <v>0</v>
      </c>
      <c r="O5150" t="str">
        <f t="shared" si="327"/>
        <v>Proposta Ok</v>
      </c>
    </row>
    <row r="5151" spans="12:15" x14ac:dyDescent="0.25">
      <c r="L5151">
        <f t="shared" si="324"/>
        <v>0</v>
      </c>
      <c r="M5151">
        <f t="shared" si="325"/>
        <v>1</v>
      </c>
      <c r="N5151">
        <f t="shared" si="326"/>
        <v>0</v>
      </c>
      <c r="O5151" t="str">
        <f t="shared" si="327"/>
        <v>Proposta Ok</v>
      </c>
    </row>
    <row r="5152" spans="12:15" x14ac:dyDescent="0.25">
      <c r="L5152">
        <f t="shared" si="324"/>
        <v>0</v>
      </c>
      <c r="M5152">
        <f t="shared" si="325"/>
        <v>1</v>
      </c>
      <c r="N5152">
        <f t="shared" si="326"/>
        <v>0</v>
      </c>
      <c r="O5152" t="str">
        <f t="shared" si="327"/>
        <v>Proposta Ok</v>
      </c>
    </row>
    <row r="5153" spans="12:15" x14ac:dyDescent="0.25">
      <c r="L5153">
        <f t="shared" si="324"/>
        <v>0</v>
      </c>
      <c r="M5153">
        <f t="shared" si="325"/>
        <v>1</v>
      </c>
      <c r="N5153">
        <f t="shared" si="326"/>
        <v>0</v>
      </c>
      <c r="O5153" t="str">
        <f t="shared" si="327"/>
        <v>Proposta Ok</v>
      </c>
    </row>
    <row r="5154" spans="12:15" x14ac:dyDescent="0.25">
      <c r="L5154">
        <f t="shared" si="324"/>
        <v>0</v>
      </c>
      <c r="M5154">
        <f t="shared" si="325"/>
        <v>1</v>
      </c>
      <c r="N5154">
        <f t="shared" si="326"/>
        <v>0</v>
      </c>
      <c r="O5154" t="str">
        <f t="shared" si="327"/>
        <v>Proposta Ok</v>
      </c>
    </row>
    <row r="5155" spans="12:15" x14ac:dyDescent="0.25">
      <c r="L5155">
        <f t="shared" si="324"/>
        <v>0</v>
      </c>
      <c r="M5155">
        <f t="shared" si="325"/>
        <v>1</v>
      </c>
      <c r="N5155">
        <f t="shared" si="326"/>
        <v>0</v>
      </c>
      <c r="O5155" t="str">
        <f t="shared" si="327"/>
        <v>Proposta Ok</v>
      </c>
    </row>
    <row r="5156" spans="12:15" x14ac:dyDescent="0.25">
      <c r="L5156">
        <f t="shared" si="324"/>
        <v>0</v>
      </c>
      <c r="M5156">
        <f t="shared" si="325"/>
        <v>1</v>
      </c>
      <c r="N5156">
        <f t="shared" si="326"/>
        <v>0</v>
      </c>
      <c r="O5156" t="str">
        <f t="shared" si="327"/>
        <v>Proposta Ok</v>
      </c>
    </row>
    <row r="5157" spans="12:15" x14ac:dyDescent="0.25">
      <c r="L5157">
        <f t="shared" si="324"/>
        <v>0</v>
      </c>
      <c r="M5157">
        <f t="shared" si="325"/>
        <v>1</v>
      </c>
      <c r="N5157">
        <f t="shared" si="326"/>
        <v>0</v>
      </c>
      <c r="O5157" t="str">
        <f t="shared" si="327"/>
        <v>Proposta Ok</v>
      </c>
    </row>
    <row r="5158" spans="12:15" x14ac:dyDescent="0.25">
      <c r="L5158">
        <f t="shared" si="324"/>
        <v>0</v>
      </c>
      <c r="M5158">
        <f t="shared" si="325"/>
        <v>1</v>
      </c>
      <c r="N5158">
        <f t="shared" si="326"/>
        <v>0</v>
      </c>
      <c r="O5158" t="str">
        <f t="shared" si="327"/>
        <v>Proposta Ok</v>
      </c>
    </row>
    <row r="5159" spans="12:15" x14ac:dyDescent="0.25">
      <c r="L5159">
        <f t="shared" si="324"/>
        <v>0</v>
      </c>
      <c r="M5159">
        <f t="shared" si="325"/>
        <v>1</v>
      </c>
      <c r="N5159">
        <f t="shared" si="326"/>
        <v>0</v>
      </c>
      <c r="O5159" t="str">
        <f t="shared" si="327"/>
        <v>Proposta Ok</v>
      </c>
    </row>
    <row r="5160" spans="12:15" x14ac:dyDescent="0.25">
      <c r="L5160">
        <f t="shared" si="324"/>
        <v>0</v>
      </c>
      <c r="M5160">
        <f t="shared" si="325"/>
        <v>1</v>
      </c>
      <c r="N5160">
        <f t="shared" si="326"/>
        <v>0</v>
      </c>
      <c r="O5160" t="str">
        <f t="shared" si="327"/>
        <v>Proposta Ok</v>
      </c>
    </row>
    <row r="5161" spans="12:15" x14ac:dyDescent="0.25">
      <c r="L5161">
        <f t="shared" si="324"/>
        <v>0</v>
      </c>
      <c r="M5161">
        <f t="shared" si="325"/>
        <v>1</v>
      </c>
      <c r="N5161">
        <f t="shared" si="326"/>
        <v>0</v>
      </c>
      <c r="O5161" t="str">
        <f t="shared" si="327"/>
        <v>Proposta Ok</v>
      </c>
    </row>
    <row r="5162" spans="12:15" x14ac:dyDescent="0.25">
      <c r="L5162">
        <f t="shared" si="324"/>
        <v>0</v>
      </c>
      <c r="M5162">
        <f t="shared" si="325"/>
        <v>1</v>
      </c>
      <c r="N5162">
        <f t="shared" si="326"/>
        <v>0</v>
      </c>
      <c r="O5162" t="str">
        <f t="shared" si="327"/>
        <v>Proposta Ok</v>
      </c>
    </row>
    <row r="5163" spans="12:15" x14ac:dyDescent="0.25">
      <c r="L5163">
        <f t="shared" si="324"/>
        <v>0</v>
      </c>
      <c r="M5163">
        <f t="shared" si="325"/>
        <v>1</v>
      </c>
      <c r="N5163">
        <f t="shared" si="326"/>
        <v>0</v>
      </c>
      <c r="O5163" t="str">
        <f t="shared" si="327"/>
        <v>Proposta Ok</v>
      </c>
    </row>
    <row r="5164" spans="12:15" x14ac:dyDescent="0.25">
      <c r="L5164">
        <f t="shared" si="324"/>
        <v>0</v>
      </c>
      <c r="M5164">
        <f t="shared" si="325"/>
        <v>1</v>
      </c>
      <c r="N5164">
        <f t="shared" si="326"/>
        <v>0</v>
      </c>
      <c r="O5164" t="str">
        <f t="shared" si="327"/>
        <v>Proposta Ok</v>
      </c>
    </row>
    <row r="5165" spans="12:15" x14ac:dyDescent="0.25">
      <c r="L5165">
        <f t="shared" si="324"/>
        <v>0</v>
      </c>
      <c r="M5165">
        <f t="shared" si="325"/>
        <v>1</v>
      </c>
      <c r="N5165">
        <f t="shared" si="326"/>
        <v>0</v>
      </c>
      <c r="O5165" t="str">
        <f t="shared" si="327"/>
        <v>Proposta Ok</v>
      </c>
    </row>
    <row r="5166" spans="12:15" x14ac:dyDescent="0.25">
      <c r="L5166">
        <f t="shared" si="324"/>
        <v>0</v>
      </c>
      <c r="M5166">
        <f t="shared" si="325"/>
        <v>1</v>
      </c>
      <c r="N5166">
        <f t="shared" si="326"/>
        <v>0</v>
      </c>
      <c r="O5166" t="str">
        <f t="shared" si="327"/>
        <v>Proposta Ok</v>
      </c>
    </row>
    <row r="5167" spans="12:15" x14ac:dyDescent="0.25">
      <c r="L5167">
        <f t="shared" si="324"/>
        <v>0</v>
      </c>
      <c r="M5167">
        <f t="shared" si="325"/>
        <v>1</v>
      </c>
      <c r="N5167">
        <f t="shared" si="326"/>
        <v>0</v>
      </c>
      <c r="O5167" t="str">
        <f t="shared" si="327"/>
        <v>Proposta Ok</v>
      </c>
    </row>
    <row r="5168" spans="12:15" x14ac:dyDescent="0.25">
      <c r="L5168">
        <f t="shared" si="324"/>
        <v>0</v>
      </c>
      <c r="M5168">
        <f t="shared" si="325"/>
        <v>1</v>
      </c>
      <c r="N5168">
        <f t="shared" si="326"/>
        <v>0</v>
      </c>
      <c r="O5168" t="str">
        <f t="shared" si="327"/>
        <v>Proposta Ok</v>
      </c>
    </row>
    <row r="5169" spans="12:15" x14ac:dyDescent="0.25">
      <c r="L5169">
        <f t="shared" si="324"/>
        <v>0</v>
      </c>
      <c r="M5169">
        <f t="shared" si="325"/>
        <v>1</v>
      </c>
      <c r="N5169">
        <f t="shared" si="326"/>
        <v>0</v>
      </c>
      <c r="O5169" t="str">
        <f t="shared" si="327"/>
        <v>Proposta Ok</v>
      </c>
    </row>
    <row r="5170" spans="12:15" x14ac:dyDescent="0.25">
      <c r="L5170">
        <f t="shared" si="324"/>
        <v>0</v>
      </c>
      <c r="M5170">
        <f t="shared" si="325"/>
        <v>1</v>
      </c>
      <c r="N5170">
        <f t="shared" si="326"/>
        <v>0</v>
      </c>
      <c r="O5170" t="str">
        <f t="shared" si="327"/>
        <v>Proposta Ok</v>
      </c>
    </row>
    <row r="5171" spans="12:15" x14ac:dyDescent="0.25">
      <c r="L5171">
        <f t="shared" si="324"/>
        <v>0</v>
      </c>
      <c r="M5171">
        <f t="shared" si="325"/>
        <v>1</v>
      </c>
      <c r="N5171">
        <f t="shared" si="326"/>
        <v>0</v>
      </c>
      <c r="O5171" t="str">
        <f t="shared" si="327"/>
        <v>Proposta Ok</v>
      </c>
    </row>
    <row r="5172" spans="12:15" x14ac:dyDescent="0.25">
      <c r="L5172">
        <f t="shared" si="324"/>
        <v>0</v>
      </c>
      <c r="M5172">
        <f t="shared" si="325"/>
        <v>1</v>
      </c>
      <c r="N5172">
        <f t="shared" si="326"/>
        <v>0</v>
      </c>
      <c r="O5172" t="str">
        <f t="shared" si="327"/>
        <v>Proposta Ok</v>
      </c>
    </row>
    <row r="5173" spans="12:15" x14ac:dyDescent="0.25">
      <c r="L5173">
        <f t="shared" si="324"/>
        <v>0</v>
      </c>
      <c r="M5173">
        <f t="shared" si="325"/>
        <v>1</v>
      </c>
      <c r="N5173">
        <f t="shared" si="326"/>
        <v>0</v>
      </c>
      <c r="O5173" t="str">
        <f t="shared" si="327"/>
        <v>Proposta Ok</v>
      </c>
    </row>
    <row r="5174" spans="12:15" x14ac:dyDescent="0.25">
      <c r="L5174">
        <f t="shared" si="324"/>
        <v>0</v>
      </c>
      <c r="M5174">
        <f t="shared" si="325"/>
        <v>1</v>
      </c>
      <c r="N5174">
        <f t="shared" si="326"/>
        <v>0</v>
      </c>
      <c r="O5174" t="str">
        <f t="shared" si="327"/>
        <v>Proposta Ok</v>
      </c>
    </row>
    <row r="5175" spans="12:15" x14ac:dyDescent="0.25">
      <c r="L5175">
        <f t="shared" si="324"/>
        <v>0</v>
      </c>
      <c r="M5175">
        <f t="shared" si="325"/>
        <v>1</v>
      </c>
      <c r="N5175">
        <f t="shared" si="326"/>
        <v>0</v>
      </c>
      <c r="O5175" t="str">
        <f t="shared" si="327"/>
        <v>Proposta Ok</v>
      </c>
    </row>
    <row r="5176" spans="12:15" x14ac:dyDescent="0.25">
      <c r="L5176">
        <f t="shared" si="324"/>
        <v>0</v>
      </c>
      <c r="M5176">
        <f t="shared" si="325"/>
        <v>1</v>
      </c>
      <c r="N5176">
        <f t="shared" si="326"/>
        <v>0</v>
      </c>
      <c r="O5176" t="str">
        <f t="shared" si="327"/>
        <v>Proposta Ok</v>
      </c>
    </row>
    <row r="5177" spans="12:15" x14ac:dyDescent="0.25">
      <c r="L5177">
        <f t="shared" si="324"/>
        <v>0</v>
      </c>
      <c r="M5177">
        <f t="shared" si="325"/>
        <v>1</v>
      </c>
      <c r="N5177">
        <f t="shared" si="326"/>
        <v>0</v>
      </c>
      <c r="O5177" t="str">
        <f t="shared" si="327"/>
        <v>Proposta Ok</v>
      </c>
    </row>
    <row r="5178" spans="12:15" x14ac:dyDescent="0.25">
      <c r="L5178">
        <f t="shared" si="324"/>
        <v>0</v>
      </c>
      <c r="M5178">
        <f t="shared" si="325"/>
        <v>1</v>
      </c>
      <c r="N5178">
        <f t="shared" si="326"/>
        <v>0</v>
      </c>
      <c r="O5178" t="str">
        <f t="shared" si="327"/>
        <v>Proposta Ok</v>
      </c>
    </row>
    <row r="5179" spans="12:15" x14ac:dyDescent="0.25">
      <c r="L5179">
        <f t="shared" si="324"/>
        <v>0</v>
      </c>
      <c r="M5179">
        <f t="shared" si="325"/>
        <v>1</v>
      </c>
      <c r="N5179">
        <f t="shared" si="326"/>
        <v>0</v>
      </c>
      <c r="O5179" t="str">
        <f t="shared" si="327"/>
        <v>Proposta Ok</v>
      </c>
    </row>
    <row r="5180" spans="12:15" x14ac:dyDescent="0.25">
      <c r="L5180">
        <f t="shared" si="324"/>
        <v>0</v>
      </c>
      <c r="M5180">
        <f t="shared" si="325"/>
        <v>1</v>
      </c>
      <c r="N5180">
        <f t="shared" si="326"/>
        <v>0</v>
      </c>
      <c r="O5180" t="str">
        <f t="shared" si="327"/>
        <v>Proposta Ok</v>
      </c>
    </row>
    <row r="5181" spans="12:15" x14ac:dyDescent="0.25">
      <c r="L5181">
        <f t="shared" si="324"/>
        <v>0</v>
      </c>
      <c r="M5181">
        <f t="shared" si="325"/>
        <v>1</v>
      </c>
      <c r="N5181">
        <f t="shared" si="326"/>
        <v>0</v>
      </c>
      <c r="O5181" t="str">
        <f t="shared" si="327"/>
        <v>Proposta Ok</v>
      </c>
    </row>
    <row r="5182" spans="12:15" x14ac:dyDescent="0.25">
      <c r="L5182">
        <f t="shared" si="324"/>
        <v>0</v>
      </c>
      <c r="M5182">
        <f t="shared" si="325"/>
        <v>1</v>
      </c>
      <c r="N5182">
        <f t="shared" si="326"/>
        <v>0</v>
      </c>
      <c r="O5182" t="str">
        <f t="shared" si="327"/>
        <v>Proposta Ok</v>
      </c>
    </row>
    <row r="5183" spans="12:15" x14ac:dyDescent="0.25">
      <c r="L5183">
        <f t="shared" si="324"/>
        <v>0</v>
      </c>
      <c r="M5183">
        <f t="shared" si="325"/>
        <v>1</v>
      </c>
      <c r="N5183">
        <f t="shared" si="326"/>
        <v>0</v>
      </c>
      <c r="O5183" t="str">
        <f t="shared" si="327"/>
        <v>Proposta Ok</v>
      </c>
    </row>
    <row r="5184" spans="12:15" x14ac:dyDescent="0.25">
      <c r="L5184">
        <f t="shared" si="324"/>
        <v>0</v>
      </c>
      <c r="M5184">
        <f t="shared" si="325"/>
        <v>1</v>
      </c>
      <c r="N5184">
        <f t="shared" si="326"/>
        <v>0</v>
      </c>
      <c r="O5184" t="str">
        <f t="shared" si="327"/>
        <v>Proposta Ok</v>
      </c>
    </row>
    <row r="5185" spans="12:15" x14ac:dyDescent="0.25">
      <c r="L5185">
        <f t="shared" si="324"/>
        <v>0</v>
      </c>
      <c r="M5185">
        <f t="shared" si="325"/>
        <v>1</v>
      </c>
      <c r="N5185">
        <f t="shared" si="326"/>
        <v>0</v>
      </c>
      <c r="O5185" t="str">
        <f t="shared" si="327"/>
        <v>Proposta Ok</v>
      </c>
    </row>
    <row r="5186" spans="12:15" x14ac:dyDescent="0.25">
      <c r="L5186">
        <f t="shared" si="324"/>
        <v>0</v>
      </c>
      <c r="M5186">
        <f t="shared" si="325"/>
        <v>1</v>
      </c>
      <c r="N5186">
        <f t="shared" si="326"/>
        <v>0</v>
      </c>
      <c r="O5186" t="str">
        <f t="shared" si="327"/>
        <v>Proposta Ok</v>
      </c>
    </row>
    <row r="5187" spans="12:15" x14ac:dyDescent="0.25">
      <c r="L5187">
        <f t="shared" si="324"/>
        <v>0</v>
      </c>
      <c r="M5187">
        <f t="shared" si="325"/>
        <v>1</v>
      </c>
      <c r="N5187">
        <f t="shared" si="326"/>
        <v>0</v>
      </c>
      <c r="O5187" t="str">
        <f t="shared" si="327"/>
        <v>Proposta Ok</v>
      </c>
    </row>
    <row r="5188" spans="12:15" x14ac:dyDescent="0.25">
      <c r="L5188">
        <f t="shared" si="324"/>
        <v>0</v>
      </c>
      <c r="M5188">
        <f t="shared" si="325"/>
        <v>1</v>
      </c>
      <c r="N5188">
        <f t="shared" si="326"/>
        <v>0</v>
      </c>
      <c r="O5188" t="str">
        <f t="shared" si="327"/>
        <v>Proposta Ok</v>
      </c>
    </row>
    <row r="5189" spans="12:15" x14ac:dyDescent="0.25">
      <c r="L5189">
        <f t="shared" si="324"/>
        <v>0</v>
      </c>
      <c r="M5189">
        <f t="shared" si="325"/>
        <v>1</v>
      </c>
      <c r="N5189">
        <f t="shared" si="326"/>
        <v>0</v>
      </c>
      <c r="O5189" t="str">
        <f t="shared" si="327"/>
        <v>Proposta Ok</v>
      </c>
    </row>
    <row r="5190" spans="12:15" x14ac:dyDescent="0.25">
      <c r="L5190">
        <f t="shared" si="324"/>
        <v>0</v>
      </c>
      <c r="M5190">
        <f t="shared" si="325"/>
        <v>1</v>
      </c>
      <c r="N5190">
        <f t="shared" si="326"/>
        <v>0</v>
      </c>
      <c r="O5190" t="str">
        <f t="shared" si="327"/>
        <v>Proposta Ok</v>
      </c>
    </row>
    <row r="5191" spans="12:15" x14ac:dyDescent="0.25">
      <c r="L5191">
        <f t="shared" si="324"/>
        <v>0</v>
      </c>
      <c r="M5191">
        <f t="shared" si="325"/>
        <v>1</v>
      </c>
      <c r="N5191">
        <f t="shared" si="326"/>
        <v>0</v>
      </c>
      <c r="O5191" t="str">
        <f t="shared" si="327"/>
        <v>Proposta Ok</v>
      </c>
    </row>
    <row r="5192" spans="12:15" x14ac:dyDescent="0.25">
      <c r="L5192">
        <f t="shared" si="324"/>
        <v>0</v>
      </c>
      <c r="M5192">
        <f t="shared" si="325"/>
        <v>1</v>
      </c>
      <c r="N5192">
        <f t="shared" si="326"/>
        <v>0</v>
      </c>
      <c r="O5192" t="str">
        <f t="shared" si="327"/>
        <v>Proposta Ok</v>
      </c>
    </row>
    <row r="5193" spans="12:15" x14ac:dyDescent="0.25">
      <c r="L5193">
        <f t="shared" si="324"/>
        <v>0</v>
      </c>
      <c r="M5193">
        <f t="shared" si="325"/>
        <v>1</v>
      </c>
      <c r="N5193">
        <f t="shared" si="326"/>
        <v>0</v>
      </c>
      <c r="O5193" t="str">
        <f t="shared" si="327"/>
        <v>Proposta Ok</v>
      </c>
    </row>
    <row r="5194" spans="12:15" x14ac:dyDescent="0.25">
      <c r="L5194">
        <f t="shared" si="324"/>
        <v>0</v>
      </c>
      <c r="M5194">
        <f t="shared" si="325"/>
        <v>1</v>
      </c>
      <c r="N5194">
        <f t="shared" si="326"/>
        <v>0</v>
      </c>
      <c r="O5194" t="str">
        <f t="shared" si="327"/>
        <v>Proposta Ok</v>
      </c>
    </row>
    <row r="5195" spans="12:15" x14ac:dyDescent="0.25">
      <c r="L5195">
        <f t="shared" si="324"/>
        <v>0</v>
      </c>
      <c r="M5195">
        <f t="shared" si="325"/>
        <v>1</v>
      </c>
      <c r="N5195">
        <f t="shared" si="326"/>
        <v>0</v>
      </c>
      <c r="O5195" t="str">
        <f t="shared" si="327"/>
        <v>Proposta Ok</v>
      </c>
    </row>
    <row r="5196" spans="12:15" x14ac:dyDescent="0.25">
      <c r="L5196">
        <f t="shared" si="324"/>
        <v>0</v>
      </c>
      <c r="M5196">
        <f t="shared" si="325"/>
        <v>1</v>
      </c>
      <c r="N5196">
        <f t="shared" si="326"/>
        <v>0</v>
      </c>
      <c r="O5196" t="str">
        <f t="shared" si="327"/>
        <v>Proposta Ok</v>
      </c>
    </row>
    <row r="5197" spans="12:15" x14ac:dyDescent="0.25">
      <c r="L5197">
        <f t="shared" si="324"/>
        <v>0</v>
      </c>
      <c r="M5197">
        <f t="shared" si="325"/>
        <v>1</v>
      </c>
      <c r="N5197">
        <f t="shared" si="326"/>
        <v>0</v>
      </c>
      <c r="O5197" t="str">
        <f t="shared" si="327"/>
        <v>Proposta Ok</v>
      </c>
    </row>
    <row r="5198" spans="12:15" x14ac:dyDescent="0.25">
      <c r="L5198">
        <f t="shared" si="324"/>
        <v>0</v>
      </c>
      <c r="M5198">
        <f t="shared" si="325"/>
        <v>1</v>
      </c>
      <c r="N5198">
        <f t="shared" si="326"/>
        <v>0</v>
      </c>
      <c r="O5198" t="str">
        <f t="shared" si="327"/>
        <v>Proposta Ok</v>
      </c>
    </row>
    <row r="5199" spans="12:15" x14ac:dyDescent="0.25">
      <c r="L5199">
        <f t="shared" si="324"/>
        <v>0</v>
      </c>
      <c r="M5199">
        <f t="shared" si="325"/>
        <v>1</v>
      </c>
      <c r="N5199">
        <f t="shared" si="326"/>
        <v>0</v>
      </c>
      <c r="O5199" t="str">
        <f t="shared" si="327"/>
        <v>Proposta Ok</v>
      </c>
    </row>
    <row r="5200" spans="12:15" x14ac:dyDescent="0.25">
      <c r="L5200">
        <f t="shared" si="324"/>
        <v>0</v>
      </c>
      <c r="M5200">
        <f t="shared" si="325"/>
        <v>1</v>
      </c>
      <c r="N5200">
        <f t="shared" si="326"/>
        <v>0</v>
      </c>
      <c r="O5200" t="str">
        <f t="shared" si="327"/>
        <v>Proposta Ok</v>
      </c>
    </row>
    <row r="5201" spans="12:15" x14ac:dyDescent="0.25">
      <c r="L5201">
        <f t="shared" si="324"/>
        <v>0</v>
      </c>
      <c r="M5201">
        <f t="shared" si="325"/>
        <v>1</v>
      </c>
      <c r="N5201">
        <f t="shared" si="326"/>
        <v>0</v>
      </c>
      <c r="O5201" t="str">
        <f t="shared" si="327"/>
        <v>Proposta Ok</v>
      </c>
    </row>
    <row r="5202" spans="12:15" x14ac:dyDescent="0.25">
      <c r="L5202">
        <f t="shared" si="324"/>
        <v>0</v>
      </c>
      <c r="M5202">
        <f t="shared" si="325"/>
        <v>1</v>
      </c>
      <c r="N5202">
        <f t="shared" si="326"/>
        <v>0</v>
      </c>
      <c r="O5202" t="str">
        <f t="shared" si="327"/>
        <v>Proposta Ok</v>
      </c>
    </row>
    <row r="5203" spans="12:15" x14ac:dyDescent="0.25">
      <c r="L5203">
        <f t="shared" si="324"/>
        <v>0</v>
      </c>
      <c r="M5203">
        <f t="shared" si="325"/>
        <v>1</v>
      </c>
      <c r="N5203">
        <f t="shared" si="326"/>
        <v>0</v>
      </c>
      <c r="O5203" t="str">
        <f t="shared" si="327"/>
        <v>Proposta Ok</v>
      </c>
    </row>
    <row r="5204" spans="12:15" x14ac:dyDescent="0.25">
      <c r="L5204">
        <f t="shared" si="324"/>
        <v>0</v>
      </c>
      <c r="M5204">
        <f t="shared" si="325"/>
        <v>1</v>
      </c>
      <c r="N5204">
        <f t="shared" si="326"/>
        <v>0</v>
      </c>
      <c r="O5204" t="str">
        <f t="shared" si="327"/>
        <v>Proposta Ok</v>
      </c>
    </row>
    <row r="5205" spans="12:15" x14ac:dyDescent="0.25">
      <c r="L5205">
        <f t="shared" si="324"/>
        <v>0</v>
      </c>
      <c r="M5205">
        <f t="shared" si="325"/>
        <v>1</v>
      </c>
      <c r="N5205">
        <f t="shared" si="326"/>
        <v>0</v>
      </c>
      <c r="O5205" t="str">
        <f t="shared" si="327"/>
        <v>Proposta Ok</v>
      </c>
    </row>
    <row r="5206" spans="12:15" x14ac:dyDescent="0.25">
      <c r="L5206">
        <f t="shared" si="324"/>
        <v>0</v>
      </c>
      <c r="M5206">
        <f t="shared" si="325"/>
        <v>1</v>
      </c>
      <c r="N5206">
        <f t="shared" si="326"/>
        <v>0</v>
      </c>
      <c r="O5206" t="str">
        <f t="shared" si="327"/>
        <v>Proposta Ok</v>
      </c>
    </row>
    <row r="5207" spans="12:15" x14ac:dyDescent="0.25">
      <c r="L5207">
        <f t="shared" si="324"/>
        <v>0</v>
      </c>
      <c r="M5207">
        <f t="shared" si="325"/>
        <v>1</v>
      </c>
      <c r="N5207">
        <f t="shared" si="326"/>
        <v>0</v>
      </c>
      <c r="O5207" t="str">
        <f t="shared" si="327"/>
        <v>Proposta Ok</v>
      </c>
    </row>
    <row r="5208" spans="12:15" x14ac:dyDescent="0.25">
      <c r="L5208">
        <f t="shared" si="324"/>
        <v>0</v>
      </c>
      <c r="M5208">
        <f t="shared" si="325"/>
        <v>1</v>
      </c>
      <c r="N5208">
        <f t="shared" si="326"/>
        <v>0</v>
      </c>
      <c r="O5208" t="str">
        <f t="shared" si="327"/>
        <v>Proposta Ok</v>
      </c>
    </row>
    <row r="5209" spans="12:15" x14ac:dyDescent="0.25">
      <c r="L5209">
        <f t="shared" si="324"/>
        <v>0</v>
      </c>
      <c r="M5209">
        <f t="shared" si="325"/>
        <v>1</v>
      </c>
      <c r="N5209">
        <f t="shared" si="326"/>
        <v>0</v>
      </c>
      <c r="O5209" t="str">
        <f t="shared" si="327"/>
        <v>Proposta Ok</v>
      </c>
    </row>
    <row r="5210" spans="12:15" x14ac:dyDescent="0.25">
      <c r="L5210">
        <f t="shared" si="324"/>
        <v>0</v>
      </c>
      <c r="M5210">
        <f t="shared" si="325"/>
        <v>1</v>
      </c>
      <c r="N5210">
        <f t="shared" si="326"/>
        <v>0</v>
      </c>
      <c r="O5210" t="str">
        <f t="shared" si="327"/>
        <v>Proposta Ok</v>
      </c>
    </row>
    <row r="5211" spans="12:15" x14ac:dyDescent="0.25">
      <c r="L5211">
        <f t="shared" ref="L5211:L5274" si="328">IF(OR(I5211="Termo OK (Exceção)",I5211="Termo OK"),1,0)</f>
        <v>0</v>
      </c>
      <c r="M5211">
        <f t="shared" ref="M5211:M5274" si="329">IF(OR(I5211="Termo OK (Exceção)",I5211="Termo OK"),0,1)</f>
        <v>1</v>
      </c>
      <c r="N5211">
        <f t="shared" ref="N5211:N5274" si="330">IF(J5211="SIM",1,0)</f>
        <v>0</v>
      </c>
      <c r="O5211" t="str">
        <f t="shared" ref="O5211:O5274" si="331">IF(SUMIFS(M:M,A:A,A5211)&gt;0,"Proposta não Ok","Proposta Ok")</f>
        <v>Proposta Ok</v>
      </c>
    </row>
    <row r="5212" spans="12:15" x14ac:dyDescent="0.25">
      <c r="L5212">
        <f t="shared" si="328"/>
        <v>0</v>
      </c>
      <c r="M5212">
        <f t="shared" si="329"/>
        <v>1</v>
      </c>
      <c r="N5212">
        <f t="shared" si="330"/>
        <v>0</v>
      </c>
      <c r="O5212" t="str">
        <f t="shared" si="331"/>
        <v>Proposta Ok</v>
      </c>
    </row>
    <row r="5213" spans="12:15" x14ac:dyDescent="0.25">
      <c r="L5213">
        <f t="shared" si="328"/>
        <v>0</v>
      </c>
      <c r="M5213">
        <f t="shared" si="329"/>
        <v>1</v>
      </c>
      <c r="N5213">
        <f t="shared" si="330"/>
        <v>0</v>
      </c>
      <c r="O5213" t="str">
        <f t="shared" si="331"/>
        <v>Proposta Ok</v>
      </c>
    </row>
    <row r="5214" spans="12:15" x14ac:dyDescent="0.25">
      <c r="L5214">
        <f t="shared" si="328"/>
        <v>0</v>
      </c>
      <c r="M5214">
        <f t="shared" si="329"/>
        <v>1</v>
      </c>
      <c r="N5214">
        <f t="shared" si="330"/>
        <v>0</v>
      </c>
      <c r="O5214" t="str">
        <f t="shared" si="331"/>
        <v>Proposta Ok</v>
      </c>
    </row>
    <row r="5215" spans="12:15" x14ac:dyDescent="0.25">
      <c r="L5215">
        <f t="shared" si="328"/>
        <v>0</v>
      </c>
      <c r="M5215">
        <f t="shared" si="329"/>
        <v>1</v>
      </c>
      <c r="N5215">
        <f t="shared" si="330"/>
        <v>0</v>
      </c>
      <c r="O5215" t="str">
        <f t="shared" si="331"/>
        <v>Proposta Ok</v>
      </c>
    </row>
    <row r="5216" spans="12:15" x14ac:dyDescent="0.25">
      <c r="L5216">
        <f t="shared" si="328"/>
        <v>0</v>
      </c>
      <c r="M5216">
        <f t="shared" si="329"/>
        <v>1</v>
      </c>
      <c r="N5216">
        <f t="shared" si="330"/>
        <v>0</v>
      </c>
      <c r="O5216" t="str">
        <f t="shared" si="331"/>
        <v>Proposta Ok</v>
      </c>
    </row>
    <row r="5217" spans="12:15" x14ac:dyDescent="0.25">
      <c r="L5217">
        <f t="shared" si="328"/>
        <v>0</v>
      </c>
      <c r="M5217">
        <f t="shared" si="329"/>
        <v>1</v>
      </c>
      <c r="N5217">
        <f t="shared" si="330"/>
        <v>0</v>
      </c>
      <c r="O5217" t="str">
        <f t="shared" si="331"/>
        <v>Proposta Ok</v>
      </c>
    </row>
    <row r="5218" spans="12:15" x14ac:dyDescent="0.25">
      <c r="L5218">
        <f t="shared" si="328"/>
        <v>0</v>
      </c>
      <c r="M5218">
        <f t="shared" si="329"/>
        <v>1</v>
      </c>
      <c r="N5218">
        <f t="shared" si="330"/>
        <v>0</v>
      </c>
      <c r="O5218" t="str">
        <f t="shared" si="331"/>
        <v>Proposta Ok</v>
      </c>
    </row>
    <row r="5219" spans="12:15" x14ac:dyDescent="0.25">
      <c r="L5219">
        <f t="shared" si="328"/>
        <v>0</v>
      </c>
      <c r="M5219">
        <f t="shared" si="329"/>
        <v>1</v>
      </c>
      <c r="N5219">
        <f t="shared" si="330"/>
        <v>0</v>
      </c>
      <c r="O5219" t="str">
        <f t="shared" si="331"/>
        <v>Proposta Ok</v>
      </c>
    </row>
    <row r="5220" spans="12:15" x14ac:dyDescent="0.25">
      <c r="L5220">
        <f t="shared" si="328"/>
        <v>0</v>
      </c>
      <c r="M5220">
        <f t="shared" si="329"/>
        <v>1</v>
      </c>
      <c r="N5220">
        <f t="shared" si="330"/>
        <v>0</v>
      </c>
      <c r="O5220" t="str">
        <f t="shared" si="331"/>
        <v>Proposta Ok</v>
      </c>
    </row>
    <row r="5221" spans="12:15" x14ac:dyDescent="0.25">
      <c r="L5221">
        <f t="shared" si="328"/>
        <v>0</v>
      </c>
      <c r="M5221">
        <f t="shared" si="329"/>
        <v>1</v>
      </c>
      <c r="N5221">
        <f t="shared" si="330"/>
        <v>0</v>
      </c>
      <c r="O5221" t="str">
        <f t="shared" si="331"/>
        <v>Proposta Ok</v>
      </c>
    </row>
    <row r="5222" spans="12:15" x14ac:dyDescent="0.25">
      <c r="L5222">
        <f t="shared" si="328"/>
        <v>0</v>
      </c>
      <c r="M5222">
        <f t="shared" si="329"/>
        <v>1</v>
      </c>
      <c r="N5222">
        <f t="shared" si="330"/>
        <v>0</v>
      </c>
      <c r="O5222" t="str">
        <f t="shared" si="331"/>
        <v>Proposta Ok</v>
      </c>
    </row>
    <row r="5223" spans="12:15" x14ac:dyDescent="0.25">
      <c r="L5223">
        <f t="shared" si="328"/>
        <v>0</v>
      </c>
      <c r="M5223">
        <f t="shared" si="329"/>
        <v>1</v>
      </c>
      <c r="N5223">
        <f t="shared" si="330"/>
        <v>0</v>
      </c>
      <c r="O5223" t="str">
        <f t="shared" si="331"/>
        <v>Proposta Ok</v>
      </c>
    </row>
    <row r="5224" spans="12:15" x14ac:dyDescent="0.25">
      <c r="L5224">
        <f t="shared" si="328"/>
        <v>0</v>
      </c>
      <c r="M5224">
        <f t="shared" si="329"/>
        <v>1</v>
      </c>
      <c r="N5224">
        <f t="shared" si="330"/>
        <v>0</v>
      </c>
      <c r="O5224" t="str">
        <f t="shared" si="331"/>
        <v>Proposta Ok</v>
      </c>
    </row>
    <row r="5225" spans="12:15" x14ac:dyDescent="0.25">
      <c r="L5225">
        <f t="shared" si="328"/>
        <v>0</v>
      </c>
      <c r="M5225">
        <f t="shared" si="329"/>
        <v>1</v>
      </c>
      <c r="N5225">
        <f t="shared" si="330"/>
        <v>0</v>
      </c>
      <c r="O5225" t="str">
        <f t="shared" si="331"/>
        <v>Proposta Ok</v>
      </c>
    </row>
    <row r="5226" spans="12:15" x14ac:dyDescent="0.25">
      <c r="L5226">
        <f t="shared" si="328"/>
        <v>0</v>
      </c>
      <c r="M5226">
        <f t="shared" si="329"/>
        <v>1</v>
      </c>
      <c r="N5226">
        <f t="shared" si="330"/>
        <v>0</v>
      </c>
      <c r="O5226" t="str">
        <f t="shared" si="331"/>
        <v>Proposta Ok</v>
      </c>
    </row>
    <row r="5227" spans="12:15" x14ac:dyDescent="0.25">
      <c r="L5227">
        <f t="shared" si="328"/>
        <v>0</v>
      </c>
      <c r="M5227">
        <f t="shared" si="329"/>
        <v>1</v>
      </c>
      <c r="N5227">
        <f t="shared" si="330"/>
        <v>0</v>
      </c>
      <c r="O5227" t="str">
        <f t="shared" si="331"/>
        <v>Proposta Ok</v>
      </c>
    </row>
    <row r="5228" spans="12:15" x14ac:dyDescent="0.25">
      <c r="L5228">
        <f t="shared" si="328"/>
        <v>0</v>
      </c>
      <c r="M5228">
        <f t="shared" si="329"/>
        <v>1</v>
      </c>
      <c r="N5228">
        <f t="shared" si="330"/>
        <v>0</v>
      </c>
      <c r="O5228" t="str">
        <f t="shared" si="331"/>
        <v>Proposta Ok</v>
      </c>
    </row>
    <row r="5229" spans="12:15" x14ac:dyDescent="0.25">
      <c r="L5229">
        <f t="shared" si="328"/>
        <v>0</v>
      </c>
      <c r="M5229">
        <f t="shared" si="329"/>
        <v>1</v>
      </c>
      <c r="N5229">
        <f t="shared" si="330"/>
        <v>0</v>
      </c>
      <c r="O5229" t="str">
        <f t="shared" si="331"/>
        <v>Proposta Ok</v>
      </c>
    </row>
    <row r="5230" spans="12:15" x14ac:dyDescent="0.25">
      <c r="L5230">
        <f t="shared" si="328"/>
        <v>0</v>
      </c>
      <c r="M5230">
        <f t="shared" si="329"/>
        <v>1</v>
      </c>
      <c r="N5230">
        <f t="shared" si="330"/>
        <v>0</v>
      </c>
      <c r="O5230" t="str">
        <f t="shared" si="331"/>
        <v>Proposta Ok</v>
      </c>
    </row>
    <row r="5231" spans="12:15" x14ac:dyDescent="0.25">
      <c r="L5231">
        <f t="shared" si="328"/>
        <v>0</v>
      </c>
      <c r="M5231">
        <f t="shared" si="329"/>
        <v>1</v>
      </c>
      <c r="N5231">
        <f t="shared" si="330"/>
        <v>0</v>
      </c>
      <c r="O5231" t="str">
        <f t="shared" si="331"/>
        <v>Proposta Ok</v>
      </c>
    </row>
    <row r="5232" spans="12:15" x14ac:dyDescent="0.25">
      <c r="L5232">
        <f t="shared" si="328"/>
        <v>0</v>
      </c>
      <c r="M5232">
        <f t="shared" si="329"/>
        <v>1</v>
      </c>
      <c r="N5232">
        <f t="shared" si="330"/>
        <v>0</v>
      </c>
      <c r="O5232" t="str">
        <f t="shared" si="331"/>
        <v>Proposta Ok</v>
      </c>
    </row>
    <row r="5233" spans="12:15" x14ac:dyDescent="0.25">
      <c r="L5233">
        <f t="shared" si="328"/>
        <v>0</v>
      </c>
      <c r="M5233">
        <f t="shared" si="329"/>
        <v>1</v>
      </c>
      <c r="N5233">
        <f t="shared" si="330"/>
        <v>0</v>
      </c>
      <c r="O5233" t="str">
        <f t="shared" si="331"/>
        <v>Proposta Ok</v>
      </c>
    </row>
    <row r="5234" spans="12:15" x14ac:dyDescent="0.25">
      <c r="L5234">
        <f t="shared" si="328"/>
        <v>0</v>
      </c>
      <c r="M5234">
        <f t="shared" si="329"/>
        <v>1</v>
      </c>
      <c r="N5234">
        <f t="shared" si="330"/>
        <v>0</v>
      </c>
      <c r="O5234" t="str">
        <f t="shared" si="331"/>
        <v>Proposta Ok</v>
      </c>
    </row>
    <row r="5235" spans="12:15" x14ac:dyDescent="0.25">
      <c r="L5235">
        <f t="shared" si="328"/>
        <v>0</v>
      </c>
      <c r="M5235">
        <f t="shared" si="329"/>
        <v>1</v>
      </c>
      <c r="N5235">
        <f t="shared" si="330"/>
        <v>0</v>
      </c>
      <c r="O5235" t="str">
        <f t="shared" si="331"/>
        <v>Proposta Ok</v>
      </c>
    </row>
    <row r="5236" spans="12:15" x14ac:dyDescent="0.25">
      <c r="L5236">
        <f t="shared" si="328"/>
        <v>0</v>
      </c>
      <c r="M5236">
        <f t="shared" si="329"/>
        <v>1</v>
      </c>
      <c r="N5236">
        <f t="shared" si="330"/>
        <v>0</v>
      </c>
      <c r="O5236" t="str">
        <f t="shared" si="331"/>
        <v>Proposta Ok</v>
      </c>
    </row>
    <row r="5237" spans="12:15" x14ac:dyDescent="0.25">
      <c r="L5237">
        <f t="shared" si="328"/>
        <v>0</v>
      </c>
      <c r="M5237">
        <f t="shared" si="329"/>
        <v>1</v>
      </c>
      <c r="N5237">
        <f t="shared" si="330"/>
        <v>0</v>
      </c>
      <c r="O5237" t="str">
        <f t="shared" si="331"/>
        <v>Proposta Ok</v>
      </c>
    </row>
    <row r="5238" spans="12:15" x14ac:dyDescent="0.25">
      <c r="L5238">
        <f t="shared" si="328"/>
        <v>0</v>
      </c>
      <c r="M5238">
        <f t="shared" si="329"/>
        <v>1</v>
      </c>
      <c r="N5238">
        <f t="shared" si="330"/>
        <v>0</v>
      </c>
      <c r="O5238" t="str">
        <f t="shared" si="331"/>
        <v>Proposta Ok</v>
      </c>
    </row>
    <row r="5239" spans="12:15" x14ac:dyDescent="0.25">
      <c r="L5239">
        <f t="shared" si="328"/>
        <v>0</v>
      </c>
      <c r="M5239">
        <f t="shared" si="329"/>
        <v>1</v>
      </c>
      <c r="N5239">
        <f t="shared" si="330"/>
        <v>0</v>
      </c>
      <c r="O5239" t="str">
        <f t="shared" si="331"/>
        <v>Proposta Ok</v>
      </c>
    </row>
    <row r="5240" spans="12:15" x14ac:dyDescent="0.25">
      <c r="L5240">
        <f t="shared" si="328"/>
        <v>0</v>
      </c>
      <c r="M5240">
        <f t="shared" si="329"/>
        <v>1</v>
      </c>
      <c r="N5240">
        <f t="shared" si="330"/>
        <v>0</v>
      </c>
      <c r="O5240" t="str">
        <f t="shared" si="331"/>
        <v>Proposta Ok</v>
      </c>
    </row>
    <row r="5241" spans="12:15" x14ac:dyDescent="0.25">
      <c r="L5241">
        <f t="shared" si="328"/>
        <v>0</v>
      </c>
      <c r="M5241">
        <f t="shared" si="329"/>
        <v>1</v>
      </c>
      <c r="N5241">
        <f t="shared" si="330"/>
        <v>0</v>
      </c>
      <c r="O5241" t="str">
        <f t="shared" si="331"/>
        <v>Proposta Ok</v>
      </c>
    </row>
    <row r="5242" spans="12:15" x14ac:dyDescent="0.25">
      <c r="L5242">
        <f t="shared" si="328"/>
        <v>0</v>
      </c>
      <c r="M5242">
        <f t="shared" si="329"/>
        <v>1</v>
      </c>
      <c r="N5242">
        <f t="shared" si="330"/>
        <v>0</v>
      </c>
      <c r="O5242" t="str">
        <f t="shared" si="331"/>
        <v>Proposta Ok</v>
      </c>
    </row>
    <row r="5243" spans="12:15" x14ac:dyDescent="0.25">
      <c r="L5243">
        <f t="shared" si="328"/>
        <v>0</v>
      </c>
      <c r="M5243">
        <f t="shared" si="329"/>
        <v>1</v>
      </c>
      <c r="N5243">
        <f t="shared" si="330"/>
        <v>0</v>
      </c>
      <c r="O5243" t="str">
        <f t="shared" si="331"/>
        <v>Proposta Ok</v>
      </c>
    </row>
    <row r="5244" spans="12:15" x14ac:dyDescent="0.25">
      <c r="L5244">
        <f t="shared" si="328"/>
        <v>0</v>
      </c>
      <c r="M5244">
        <f t="shared" si="329"/>
        <v>1</v>
      </c>
      <c r="N5244">
        <f t="shared" si="330"/>
        <v>0</v>
      </c>
      <c r="O5244" t="str">
        <f t="shared" si="331"/>
        <v>Proposta Ok</v>
      </c>
    </row>
    <row r="5245" spans="12:15" x14ac:dyDescent="0.25">
      <c r="L5245">
        <f t="shared" si="328"/>
        <v>0</v>
      </c>
      <c r="M5245">
        <f t="shared" si="329"/>
        <v>1</v>
      </c>
      <c r="N5245">
        <f t="shared" si="330"/>
        <v>0</v>
      </c>
      <c r="O5245" t="str">
        <f t="shared" si="331"/>
        <v>Proposta Ok</v>
      </c>
    </row>
    <row r="5246" spans="12:15" x14ac:dyDescent="0.25">
      <c r="L5246">
        <f t="shared" si="328"/>
        <v>0</v>
      </c>
      <c r="M5246">
        <f t="shared" si="329"/>
        <v>1</v>
      </c>
      <c r="N5246">
        <f t="shared" si="330"/>
        <v>0</v>
      </c>
      <c r="O5246" t="str">
        <f t="shared" si="331"/>
        <v>Proposta Ok</v>
      </c>
    </row>
    <row r="5247" spans="12:15" x14ac:dyDescent="0.25">
      <c r="L5247">
        <f t="shared" si="328"/>
        <v>0</v>
      </c>
      <c r="M5247">
        <f t="shared" si="329"/>
        <v>1</v>
      </c>
      <c r="N5247">
        <f t="shared" si="330"/>
        <v>0</v>
      </c>
      <c r="O5247" t="str">
        <f t="shared" si="331"/>
        <v>Proposta Ok</v>
      </c>
    </row>
    <row r="5248" spans="12:15" x14ac:dyDescent="0.25">
      <c r="L5248">
        <f t="shared" si="328"/>
        <v>0</v>
      </c>
      <c r="M5248">
        <f t="shared" si="329"/>
        <v>1</v>
      </c>
      <c r="N5248">
        <f t="shared" si="330"/>
        <v>0</v>
      </c>
      <c r="O5248" t="str">
        <f t="shared" si="331"/>
        <v>Proposta Ok</v>
      </c>
    </row>
    <row r="5249" spans="12:15" x14ac:dyDescent="0.25">
      <c r="L5249">
        <f t="shared" si="328"/>
        <v>0</v>
      </c>
      <c r="M5249">
        <f t="shared" si="329"/>
        <v>1</v>
      </c>
      <c r="N5249">
        <f t="shared" si="330"/>
        <v>0</v>
      </c>
      <c r="O5249" t="str">
        <f t="shared" si="331"/>
        <v>Proposta Ok</v>
      </c>
    </row>
    <row r="5250" spans="12:15" x14ac:dyDescent="0.25">
      <c r="L5250">
        <f t="shared" si="328"/>
        <v>0</v>
      </c>
      <c r="M5250">
        <f t="shared" si="329"/>
        <v>1</v>
      </c>
      <c r="N5250">
        <f t="shared" si="330"/>
        <v>0</v>
      </c>
      <c r="O5250" t="str">
        <f t="shared" si="331"/>
        <v>Proposta Ok</v>
      </c>
    </row>
    <row r="5251" spans="12:15" x14ac:dyDescent="0.25">
      <c r="L5251">
        <f t="shared" si="328"/>
        <v>0</v>
      </c>
      <c r="M5251">
        <f t="shared" si="329"/>
        <v>1</v>
      </c>
      <c r="N5251">
        <f t="shared" si="330"/>
        <v>0</v>
      </c>
      <c r="O5251" t="str">
        <f t="shared" si="331"/>
        <v>Proposta Ok</v>
      </c>
    </row>
    <row r="5252" spans="12:15" x14ac:dyDescent="0.25">
      <c r="L5252">
        <f t="shared" si="328"/>
        <v>0</v>
      </c>
      <c r="M5252">
        <f t="shared" si="329"/>
        <v>1</v>
      </c>
      <c r="N5252">
        <f t="shared" si="330"/>
        <v>0</v>
      </c>
      <c r="O5252" t="str">
        <f t="shared" si="331"/>
        <v>Proposta Ok</v>
      </c>
    </row>
    <row r="5253" spans="12:15" x14ac:dyDescent="0.25">
      <c r="L5253">
        <f t="shared" si="328"/>
        <v>0</v>
      </c>
      <c r="M5253">
        <f t="shared" si="329"/>
        <v>1</v>
      </c>
      <c r="N5253">
        <f t="shared" si="330"/>
        <v>0</v>
      </c>
      <c r="O5253" t="str">
        <f t="shared" si="331"/>
        <v>Proposta Ok</v>
      </c>
    </row>
    <row r="5254" spans="12:15" x14ac:dyDescent="0.25">
      <c r="L5254">
        <f t="shared" si="328"/>
        <v>0</v>
      </c>
      <c r="M5254">
        <f t="shared" si="329"/>
        <v>1</v>
      </c>
      <c r="N5254">
        <f t="shared" si="330"/>
        <v>0</v>
      </c>
      <c r="O5254" t="str">
        <f t="shared" si="331"/>
        <v>Proposta Ok</v>
      </c>
    </row>
    <row r="5255" spans="12:15" x14ac:dyDescent="0.25">
      <c r="L5255">
        <f t="shared" si="328"/>
        <v>0</v>
      </c>
      <c r="M5255">
        <f t="shared" si="329"/>
        <v>1</v>
      </c>
      <c r="N5255">
        <f t="shared" si="330"/>
        <v>0</v>
      </c>
      <c r="O5255" t="str">
        <f t="shared" si="331"/>
        <v>Proposta Ok</v>
      </c>
    </row>
    <row r="5256" spans="12:15" x14ac:dyDescent="0.25">
      <c r="L5256">
        <f t="shared" si="328"/>
        <v>0</v>
      </c>
      <c r="M5256">
        <f t="shared" si="329"/>
        <v>1</v>
      </c>
      <c r="N5256">
        <f t="shared" si="330"/>
        <v>0</v>
      </c>
      <c r="O5256" t="str">
        <f t="shared" si="331"/>
        <v>Proposta Ok</v>
      </c>
    </row>
    <row r="5257" spans="12:15" x14ac:dyDescent="0.25">
      <c r="L5257">
        <f t="shared" si="328"/>
        <v>0</v>
      </c>
      <c r="M5257">
        <f t="shared" si="329"/>
        <v>1</v>
      </c>
      <c r="N5257">
        <f t="shared" si="330"/>
        <v>0</v>
      </c>
      <c r="O5257" t="str">
        <f t="shared" si="331"/>
        <v>Proposta Ok</v>
      </c>
    </row>
    <row r="5258" spans="12:15" x14ac:dyDescent="0.25">
      <c r="L5258">
        <f t="shared" si="328"/>
        <v>0</v>
      </c>
      <c r="M5258">
        <f t="shared" si="329"/>
        <v>1</v>
      </c>
      <c r="N5258">
        <f t="shared" si="330"/>
        <v>0</v>
      </c>
      <c r="O5258" t="str">
        <f t="shared" si="331"/>
        <v>Proposta Ok</v>
      </c>
    </row>
    <row r="5259" spans="12:15" x14ac:dyDescent="0.25">
      <c r="L5259">
        <f t="shared" si="328"/>
        <v>0</v>
      </c>
      <c r="M5259">
        <f t="shared" si="329"/>
        <v>1</v>
      </c>
      <c r="N5259">
        <f t="shared" si="330"/>
        <v>0</v>
      </c>
      <c r="O5259" t="str">
        <f t="shared" si="331"/>
        <v>Proposta Ok</v>
      </c>
    </row>
    <row r="5260" spans="12:15" x14ac:dyDescent="0.25">
      <c r="L5260">
        <f t="shared" si="328"/>
        <v>0</v>
      </c>
      <c r="M5260">
        <f t="shared" si="329"/>
        <v>1</v>
      </c>
      <c r="N5260">
        <f t="shared" si="330"/>
        <v>0</v>
      </c>
      <c r="O5260" t="str">
        <f t="shared" si="331"/>
        <v>Proposta Ok</v>
      </c>
    </row>
    <row r="5261" spans="12:15" x14ac:dyDescent="0.25">
      <c r="L5261">
        <f t="shared" si="328"/>
        <v>0</v>
      </c>
      <c r="M5261">
        <f t="shared" si="329"/>
        <v>1</v>
      </c>
      <c r="N5261">
        <f t="shared" si="330"/>
        <v>0</v>
      </c>
      <c r="O5261" t="str">
        <f t="shared" si="331"/>
        <v>Proposta Ok</v>
      </c>
    </row>
    <row r="5262" spans="12:15" x14ac:dyDescent="0.25">
      <c r="L5262">
        <f t="shared" si="328"/>
        <v>0</v>
      </c>
      <c r="M5262">
        <f t="shared" si="329"/>
        <v>1</v>
      </c>
      <c r="N5262">
        <f t="shared" si="330"/>
        <v>0</v>
      </c>
      <c r="O5262" t="str">
        <f t="shared" si="331"/>
        <v>Proposta Ok</v>
      </c>
    </row>
    <row r="5263" spans="12:15" x14ac:dyDescent="0.25">
      <c r="L5263">
        <f t="shared" si="328"/>
        <v>0</v>
      </c>
      <c r="M5263">
        <f t="shared" si="329"/>
        <v>1</v>
      </c>
      <c r="N5263">
        <f t="shared" si="330"/>
        <v>0</v>
      </c>
      <c r="O5263" t="str">
        <f t="shared" si="331"/>
        <v>Proposta Ok</v>
      </c>
    </row>
    <row r="5264" spans="12:15" x14ac:dyDescent="0.25">
      <c r="L5264">
        <f t="shared" si="328"/>
        <v>0</v>
      </c>
      <c r="M5264">
        <f t="shared" si="329"/>
        <v>1</v>
      </c>
      <c r="N5264">
        <f t="shared" si="330"/>
        <v>0</v>
      </c>
      <c r="O5264" t="str">
        <f t="shared" si="331"/>
        <v>Proposta Ok</v>
      </c>
    </row>
    <row r="5265" spans="12:15" x14ac:dyDescent="0.25">
      <c r="L5265">
        <f t="shared" si="328"/>
        <v>0</v>
      </c>
      <c r="M5265">
        <f t="shared" si="329"/>
        <v>1</v>
      </c>
      <c r="N5265">
        <f t="shared" si="330"/>
        <v>0</v>
      </c>
      <c r="O5265" t="str">
        <f t="shared" si="331"/>
        <v>Proposta Ok</v>
      </c>
    </row>
    <row r="5266" spans="12:15" x14ac:dyDescent="0.25">
      <c r="L5266">
        <f t="shared" si="328"/>
        <v>0</v>
      </c>
      <c r="M5266">
        <f t="shared" si="329"/>
        <v>1</v>
      </c>
      <c r="N5266">
        <f t="shared" si="330"/>
        <v>0</v>
      </c>
      <c r="O5266" t="str">
        <f t="shared" si="331"/>
        <v>Proposta Ok</v>
      </c>
    </row>
    <row r="5267" spans="12:15" x14ac:dyDescent="0.25">
      <c r="L5267">
        <f t="shared" si="328"/>
        <v>0</v>
      </c>
      <c r="M5267">
        <f t="shared" si="329"/>
        <v>1</v>
      </c>
      <c r="N5267">
        <f t="shared" si="330"/>
        <v>0</v>
      </c>
      <c r="O5267" t="str">
        <f t="shared" si="331"/>
        <v>Proposta Ok</v>
      </c>
    </row>
    <row r="5268" spans="12:15" x14ac:dyDescent="0.25">
      <c r="L5268">
        <f t="shared" si="328"/>
        <v>0</v>
      </c>
      <c r="M5268">
        <f t="shared" si="329"/>
        <v>1</v>
      </c>
      <c r="N5268">
        <f t="shared" si="330"/>
        <v>0</v>
      </c>
      <c r="O5268" t="str">
        <f t="shared" si="331"/>
        <v>Proposta Ok</v>
      </c>
    </row>
    <row r="5269" spans="12:15" x14ac:dyDescent="0.25">
      <c r="L5269">
        <f t="shared" si="328"/>
        <v>0</v>
      </c>
      <c r="M5269">
        <f t="shared" si="329"/>
        <v>1</v>
      </c>
      <c r="N5269">
        <f t="shared" si="330"/>
        <v>0</v>
      </c>
      <c r="O5269" t="str">
        <f t="shared" si="331"/>
        <v>Proposta Ok</v>
      </c>
    </row>
    <row r="5270" spans="12:15" x14ac:dyDescent="0.25">
      <c r="L5270">
        <f t="shared" si="328"/>
        <v>0</v>
      </c>
      <c r="M5270">
        <f t="shared" si="329"/>
        <v>1</v>
      </c>
      <c r="N5270">
        <f t="shared" si="330"/>
        <v>0</v>
      </c>
      <c r="O5270" t="str">
        <f t="shared" si="331"/>
        <v>Proposta Ok</v>
      </c>
    </row>
    <row r="5271" spans="12:15" x14ac:dyDescent="0.25">
      <c r="L5271">
        <f t="shared" si="328"/>
        <v>0</v>
      </c>
      <c r="M5271">
        <f t="shared" si="329"/>
        <v>1</v>
      </c>
      <c r="N5271">
        <f t="shared" si="330"/>
        <v>0</v>
      </c>
      <c r="O5271" t="str">
        <f t="shared" si="331"/>
        <v>Proposta Ok</v>
      </c>
    </row>
    <row r="5272" spans="12:15" x14ac:dyDescent="0.25">
      <c r="L5272">
        <f t="shared" si="328"/>
        <v>0</v>
      </c>
      <c r="M5272">
        <f t="shared" si="329"/>
        <v>1</v>
      </c>
      <c r="N5272">
        <f t="shared" si="330"/>
        <v>0</v>
      </c>
      <c r="O5272" t="str">
        <f t="shared" si="331"/>
        <v>Proposta Ok</v>
      </c>
    </row>
    <row r="5273" spans="12:15" x14ac:dyDescent="0.25">
      <c r="L5273">
        <f t="shared" si="328"/>
        <v>0</v>
      </c>
      <c r="M5273">
        <f t="shared" si="329"/>
        <v>1</v>
      </c>
      <c r="N5273">
        <f t="shared" si="330"/>
        <v>0</v>
      </c>
      <c r="O5273" t="str">
        <f t="shared" si="331"/>
        <v>Proposta Ok</v>
      </c>
    </row>
    <row r="5274" spans="12:15" x14ac:dyDescent="0.25">
      <c r="L5274">
        <f t="shared" si="328"/>
        <v>0</v>
      </c>
      <c r="M5274">
        <f t="shared" si="329"/>
        <v>1</v>
      </c>
      <c r="N5274">
        <f t="shared" si="330"/>
        <v>0</v>
      </c>
      <c r="O5274" t="str">
        <f t="shared" si="331"/>
        <v>Proposta Ok</v>
      </c>
    </row>
    <row r="5275" spans="12:15" x14ac:dyDescent="0.25">
      <c r="L5275">
        <f t="shared" ref="L5275:L5338" si="332">IF(OR(I5275="Termo OK (Exceção)",I5275="Termo OK"),1,0)</f>
        <v>0</v>
      </c>
      <c r="M5275">
        <f t="shared" ref="M5275:M5338" si="333">IF(OR(I5275="Termo OK (Exceção)",I5275="Termo OK"),0,1)</f>
        <v>1</v>
      </c>
      <c r="N5275">
        <f t="shared" ref="N5275:N5338" si="334">IF(J5275="SIM",1,0)</f>
        <v>0</v>
      </c>
      <c r="O5275" t="str">
        <f t="shared" ref="O5275:O5338" si="335">IF(SUMIFS(M:M,A:A,A5275)&gt;0,"Proposta não Ok","Proposta Ok")</f>
        <v>Proposta Ok</v>
      </c>
    </row>
    <row r="5276" spans="12:15" x14ac:dyDescent="0.25">
      <c r="L5276">
        <f t="shared" si="332"/>
        <v>0</v>
      </c>
      <c r="M5276">
        <f t="shared" si="333"/>
        <v>1</v>
      </c>
      <c r="N5276">
        <f t="shared" si="334"/>
        <v>0</v>
      </c>
      <c r="O5276" t="str">
        <f t="shared" si="335"/>
        <v>Proposta Ok</v>
      </c>
    </row>
    <row r="5277" spans="12:15" x14ac:dyDescent="0.25">
      <c r="L5277">
        <f t="shared" si="332"/>
        <v>0</v>
      </c>
      <c r="M5277">
        <f t="shared" si="333"/>
        <v>1</v>
      </c>
      <c r="N5277">
        <f t="shared" si="334"/>
        <v>0</v>
      </c>
      <c r="O5277" t="str">
        <f t="shared" si="335"/>
        <v>Proposta Ok</v>
      </c>
    </row>
    <row r="5278" spans="12:15" x14ac:dyDescent="0.25">
      <c r="L5278">
        <f t="shared" si="332"/>
        <v>0</v>
      </c>
      <c r="M5278">
        <f t="shared" si="333"/>
        <v>1</v>
      </c>
      <c r="N5278">
        <f t="shared" si="334"/>
        <v>0</v>
      </c>
      <c r="O5278" t="str">
        <f t="shared" si="335"/>
        <v>Proposta Ok</v>
      </c>
    </row>
    <row r="5279" spans="12:15" x14ac:dyDescent="0.25">
      <c r="L5279">
        <f t="shared" si="332"/>
        <v>0</v>
      </c>
      <c r="M5279">
        <f t="shared" si="333"/>
        <v>1</v>
      </c>
      <c r="N5279">
        <f t="shared" si="334"/>
        <v>0</v>
      </c>
      <c r="O5279" t="str">
        <f t="shared" si="335"/>
        <v>Proposta Ok</v>
      </c>
    </row>
    <row r="5280" spans="12:15" x14ac:dyDescent="0.25">
      <c r="L5280">
        <f t="shared" si="332"/>
        <v>0</v>
      </c>
      <c r="M5280">
        <f t="shared" si="333"/>
        <v>1</v>
      </c>
      <c r="N5280">
        <f t="shared" si="334"/>
        <v>0</v>
      </c>
      <c r="O5280" t="str">
        <f t="shared" si="335"/>
        <v>Proposta Ok</v>
      </c>
    </row>
    <row r="5281" spans="12:15" x14ac:dyDescent="0.25">
      <c r="L5281">
        <f t="shared" si="332"/>
        <v>0</v>
      </c>
      <c r="M5281">
        <f t="shared" si="333"/>
        <v>1</v>
      </c>
      <c r="N5281">
        <f t="shared" si="334"/>
        <v>0</v>
      </c>
      <c r="O5281" t="str">
        <f t="shared" si="335"/>
        <v>Proposta Ok</v>
      </c>
    </row>
    <row r="5282" spans="12:15" x14ac:dyDescent="0.25">
      <c r="L5282">
        <f t="shared" si="332"/>
        <v>0</v>
      </c>
      <c r="M5282">
        <f t="shared" si="333"/>
        <v>1</v>
      </c>
      <c r="N5282">
        <f t="shared" si="334"/>
        <v>0</v>
      </c>
      <c r="O5282" t="str">
        <f t="shared" si="335"/>
        <v>Proposta Ok</v>
      </c>
    </row>
    <row r="5283" spans="12:15" x14ac:dyDescent="0.25">
      <c r="L5283">
        <f t="shared" si="332"/>
        <v>0</v>
      </c>
      <c r="M5283">
        <f t="shared" si="333"/>
        <v>1</v>
      </c>
      <c r="N5283">
        <f t="shared" si="334"/>
        <v>0</v>
      </c>
      <c r="O5283" t="str">
        <f t="shared" si="335"/>
        <v>Proposta Ok</v>
      </c>
    </row>
    <row r="5284" spans="12:15" x14ac:dyDescent="0.25">
      <c r="L5284">
        <f t="shared" si="332"/>
        <v>0</v>
      </c>
      <c r="M5284">
        <f t="shared" si="333"/>
        <v>1</v>
      </c>
      <c r="N5284">
        <f t="shared" si="334"/>
        <v>0</v>
      </c>
      <c r="O5284" t="str">
        <f t="shared" si="335"/>
        <v>Proposta Ok</v>
      </c>
    </row>
    <row r="5285" spans="12:15" x14ac:dyDescent="0.25">
      <c r="L5285">
        <f t="shared" si="332"/>
        <v>0</v>
      </c>
      <c r="M5285">
        <f t="shared" si="333"/>
        <v>1</v>
      </c>
      <c r="N5285">
        <f t="shared" si="334"/>
        <v>0</v>
      </c>
      <c r="O5285" t="str">
        <f t="shared" si="335"/>
        <v>Proposta Ok</v>
      </c>
    </row>
    <row r="5286" spans="12:15" x14ac:dyDescent="0.25">
      <c r="L5286">
        <f t="shared" si="332"/>
        <v>0</v>
      </c>
      <c r="M5286">
        <f t="shared" si="333"/>
        <v>1</v>
      </c>
      <c r="N5286">
        <f t="shared" si="334"/>
        <v>0</v>
      </c>
      <c r="O5286" t="str">
        <f t="shared" si="335"/>
        <v>Proposta Ok</v>
      </c>
    </row>
    <row r="5287" spans="12:15" x14ac:dyDescent="0.25">
      <c r="L5287">
        <f t="shared" si="332"/>
        <v>0</v>
      </c>
      <c r="M5287">
        <f t="shared" si="333"/>
        <v>1</v>
      </c>
      <c r="N5287">
        <f t="shared" si="334"/>
        <v>0</v>
      </c>
      <c r="O5287" t="str">
        <f t="shared" si="335"/>
        <v>Proposta Ok</v>
      </c>
    </row>
    <row r="5288" spans="12:15" x14ac:dyDescent="0.25">
      <c r="L5288">
        <f t="shared" si="332"/>
        <v>0</v>
      </c>
      <c r="M5288">
        <f t="shared" si="333"/>
        <v>1</v>
      </c>
      <c r="N5288">
        <f t="shared" si="334"/>
        <v>0</v>
      </c>
      <c r="O5288" t="str">
        <f t="shared" si="335"/>
        <v>Proposta Ok</v>
      </c>
    </row>
    <row r="5289" spans="12:15" x14ac:dyDescent="0.25">
      <c r="L5289">
        <f t="shared" si="332"/>
        <v>0</v>
      </c>
      <c r="M5289">
        <f t="shared" si="333"/>
        <v>1</v>
      </c>
      <c r="N5289">
        <f t="shared" si="334"/>
        <v>0</v>
      </c>
      <c r="O5289" t="str">
        <f t="shared" si="335"/>
        <v>Proposta Ok</v>
      </c>
    </row>
    <row r="5290" spans="12:15" x14ac:dyDescent="0.25">
      <c r="L5290">
        <f t="shared" si="332"/>
        <v>0</v>
      </c>
      <c r="M5290">
        <f t="shared" si="333"/>
        <v>1</v>
      </c>
      <c r="N5290">
        <f t="shared" si="334"/>
        <v>0</v>
      </c>
      <c r="O5290" t="str">
        <f t="shared" si="335"/>
        <v>Proposta Ok</v>
      </c>
    </row>
    <row r="5291" spans="12:15" x14ac:dyDescent="0.25">
      <c r="L5291">
        <f t="shared" si="332"/>
        <v>0</v>
      </c>
      <c r="M5291">
        <f t="shared" si="333"/>
        <v>1</v>
      </c>
      <c r="N5291">
        <f t="shared" si="334"/>
        <v>0</v>
      </c>
      <c r="O5291" t="str">
        <f t="shared" si="335"/>
        <v>Proposta Ok</v>
      </c>
    </row>
    <row r="5292" spans="12:15" x14ac:dyDescent="0.25">
      <c r="L5292">
        <f t="shared" si="332"/>
        <v>0</v>
      </c>
      <c r="M5292">
        <f t="shared" si="333"/>
        <v>1</v>
      </c>
      <c r="N5292">
        <f t="shared" si="334"/>
        <v>0</v>
      </c>
      <c r="O5292" t="str">
        <f t="shared" si="335"/>
        <v>Proposta Ok</v>
      </c>
    </row>
    <row r="5293" spans="12:15" x14ac:dyDescent="0.25">
      <c r="L5293">
        <f t="shared" si="332"/>
        <v>0</v>
      </c>
      <c r="M5293">
        <f t="shared" si="333"/>
        <v>1</v>
      </c>
      <c r="N5293">
        <f t="shared" si="334"/>
        <v>0</v>
      </c>
      <c r="O5293" t="str">
        <f t="shared" si="335"/>
        <v>Proposta Ok</v>
      </c>
    </row>
    <row r="5294" spans="12:15" x14ac:dyDescent="0.25">
      <c r="L5294">
        <f t="shared" si="332"/>
        <v>0</v>
      </c>
      <c r="M5294">
        <f t="shared" si="333"/>
        <v>1</v>
      </c>
      <c r="N5294">
        <f t="shared" si="334"/>
        <v>0</v>
      </c>
      <c r="O5294" t="str">
        <f t="shared" si="335"/>
        <v>Proposta Ok</v>
      </c>
    </row>
    <row r="5295" spans="12:15" x14ac:dyDescent="0.25">
      <c r="L5295">
        <f t="shared" si="332"/>
        <v>0</v>
      </c>
      <c r="M5295">
        <f t="shared" si="333"/>
        <v>1</v>
      </c>
      <c r="N5295">
        <f t="shared" si="334"/>
        <v>0</v>
      </c>
      <c r="O5295" t="str">
        <f t="shared" si="335"/>
        <v>Proposta Ok</v>
      </c>
    </row>
    <row r="5296" spans="12:15" x14ac:dyDescent="0.25">
      <c r="L5296">
        <f t="shared" si="332"/>
        <v>0</v>
      </c>
      <c r="M5296">
        <f t="shared" si="333"/>
        <v>1</v>
      </c>
      <c r="N5296">
        <f t="shared" si="334"/>
        <v>0</v>
      </c>
      <c r="O5296" t="str">
        <f t="shared" si="335"/>
        <v>Proposta Ok</v>
      </c>
    </row>
    <row r="5297" spans="12:15" x14ac:dyDescent="0.25">
      <c r="L5297">
        <f t="shared" si="332"/>
        <v>0</v>
      </c>
      <c r="M5297">
        <f t="shared" si="333"/>
        <v>1</v>
      </c>
      <c r="N5297">
        <f t="shared" si="334"/>
        <v>0</v>
      </c>
      <c r="O5297" t="str">
        <f t="shared" si="335"/>
        <v>Proposta Ok</v>
      </c>
    </row>
    <row r="5298" spans="12:15" x14ac:dyDescent="0.25">
      <c r="L5298">
        <f t="shared" si="332"/>
        <v>0</v>
      </c>
      <c r="M5298">
        <f t="shared" si="333"/>
        <v>1</v>
      </c>
      <c r="N5298">
        <f t="shared" si="334"/>
        <v>0</v>
      </c>
      <c r="O5298" t="str">
        <f t="shared" si="335"/>
        <v>Proposta Ok</v>
      </c>
    </row>
    <row r="5299" spans="12:15" x14ac:dyDescent="0.25">
      <c r="L5299">
        <f t="shared" si="332"/>
        <v>0</v>
      </c>
      <c r="M5299">
        <f t="shared" si="333"/>
        <v>1</v>
      </c>
      <c r="N5299">
        <f t="shared" si="334"/>
        <v>0</v>
      </c>
      <c r="O5299" t="str">
        <f t="shared" si="335"/>
        <v>Proposta Ok</v>
      </c>
    </row>
    <row r="5300" spans="12:15" x14ac:dyDescent="0.25">
      <c r="L5300">
        <f t="shared" si="332"/>
        <v>0</v>
      </c>
      <c r="M5300">
        <f t="shared" si="333"/>
        <v>1</v>
      </c>
      <c r="N5300">
        <f t="shared" si="334"/>
        <v>0</v>
      </c>
      <c r="O5300" t="str">
        <f t="shared" si="335"/>
        <v>Proposta Ok</v>
      </c>
    </row>
    <row r="5301" spans="12:15" x14ac:dyDescent="0.25">
      <c r="L5301">
        <f t="shared" si="332"/>
        <v>0</v>
      </c>
      <c r="M5301">
        <f t="shared" si="333"/>
        <v>1</v>
      </c>
      <c r="N5301">
        <f t="shared" si="334"/>
        <v>0</v>
      </c>
      <c r="O5301" t="str">
        <f t="shared" si="335"/>
        <v>Proposta Ok</v>
      </c>
    </row>
    <row r="5302" spans="12:15" x14ac:dyDescent="0.25">
      <c r="L5302">
        <f t="shared" si="332"/>
        <v>0</v>
      </c>
      <c r="M5302">
        <f t="shared" si="333"/>
        <v>1</v>
      </c>
      <c r="N5302">
        <f t="shared" si="334"/>
        <v>0</v>
      </c>
      <c r="O5302" t="str">
        <f t="shared" si="335"/>
        <v>Proposta Ok</v>
      </c>
    </row>
    <row r="5303" spans="12:15" x14ac:dyDescent="0.25">
      <c r="L5303">
        <f t="shared" si="332"/>
        <v>0</v>
      </c>
      <c r="M5303">
        <f t="shared" si="333"/>
        <v>1</v>
      </c>
      <c r="N5303">
        <f t="shared" si="334"/>
        <v>0</v>
      </c>
      <c r="O5303" t="str">
        <f t="shared" si="335"/>
        <v>Proposta Ok</v>
      </c>
    </row>
    <row r="5304" spans="12:15" x14ac:dyDescent="0.25">
      <c r="L5304">
        <f t="shared" si="332"/>
        <v>0</v>
      </c>
      <c r="M5304">
        <f t="shared" si="333"/>
        <v>1</v>
      </c>
      <c r="N5304">
        <f t="shared" si="334"/>
        <v>0</v>
      </c>
      <c r="O5304" t="str">
        <f t="shared" si="335"/>
        <v>Proposta Ok</v>
      </c>
    </row>
    <row r="5305" spans="12:15" x14ac:dyDescent="0.25">
      <c r="L5305">
        <f t="shared" si="332"/>
        <v>0</v>
      </c>
      <c r="M5305">
        <f t="shared" si="333"/>
        <v>1</v>
      </c>
      <c r="N5305">
        <f t="shared" si="334"/>
        <v>0</v>
      </c>
      <c r="O5305" t="str">
        <f t="shared" si="335"/>
        <v>Proposta Ok</v>
      </c>
    </row>
    <row r="5306" spans="12:15" x14ac:dyDescent="0.25">
      <c r="L5306">
        <f t="shared" si="332"/>
        <v>0</v>
      </c>
      <c r="M5306">
        <f t="shared" si="333"/>
        <v>1</v>
      </c>
      <c r="N5306">
        <f t="shared" si="334"/>
        <v>0</v>
      </c>
      <c r="O5306" t="str">
        <f t="shared" si="335"/>
        <v>Proposta Ok</v>
      </c>
    </row>
    <row r="5307" spans="12:15" x14ac:dyDescent="0.25">
      <c r="L5307">
        <f t="shared" si="332"/>
        <v>0</v>
      </c>
      <c r="M5307">
        <f t="shared" si="333"/>
        <v>1</v>
      </c>
      <c r="N5307">
        <f t="shared" si="334"/>
        <v>0</v>
      </c>
      <c r="O5307" t="str">
        <f t="shared" si="335"/>
        <v>Proposta Ok</v>
      </c>
    </row>
    <row r="5308" spans="12:15" x14ac:dyDescent="0.25">
      <c r="L5308">
        <f t="shared" si="332"/>
        <v>0</v>
      </c>
      <c r="M5308">
        <f t="shared" si="333"/>
        <v>1</v>
      </c>
      <c r="N5308">
        <f t="shared" si="334"/>
        <v>0</v>
      </c>
      <c r="O5308" t="str">
        <f t="shared" si="335"/>
        <v>Proposta Ok</v>
      </c>
    </row>
    <row r="5309" spans="12:15" x14ac:dyDescent="0.25">
      <c r="L5309">
        <f t="shared" si="332"/>
        <v>0</v>
      </c>
      <c r="M5309">
        <f t="shared" si="333"/>
        <v>1</v>
      </c>
      <c r="N5309">
        <f t="shared" si="334"/>
        <v>0</v>
      </c>
      <c r="O5309" t="str">
        <f t="shared" si="335"/>
        <v>Proposta Ok</v>
      </c>
    </row>
    <row r="5310" spans="12:15" x14ac:dyDescent="0.25">
      <c r="L5310">
        <f t="shared" si="332"/>
        <v>0</v>
      </c>
      <c r="M5310">
        <f t="shared" si="333"/>
        <v>1</v>
      </c>
      <c r="N5310">
        <f t="shared" si="334"/>
        <v>0</v>
      </c>
      <c r="O5310" t="str">
        <f t="shared" si="335"/>
        <v>Proposta Ok</v>
      </c>
    </row>
    <row r="5311" spans="12:15" x14ac:dyDescent="0.25">
      <c r="L5311">
        <f t="shared" si="332"/>
        <v>0</v>
      </c>
      <c r="M5311">
        <f t="shared" si="333"/>
        <v>1</v>
      </c>
      <c r="N5311">
        <f t="shared" si="334"/>
        <v>0</v>
      </c>
      <c r="O5311" t="str">
        <f t="shared" si="335"/>
        <v>Proposta Ok</v>
      </c>
    </row>
    <row r="5312" spans="12:15" x14ac:dyDescent="0.25">
      <c r="L5312">
        <f t="shared" si="332"/>
        <v>0</v>
      </c>
      <c r="M5312">
        <f t="shared" si="333"/>
        <v>1</v>
      </c>
      <c r="N5312">
        <f t="shared" si="334"/>
        <v>0</v>
      </c>
      <c r="O5312" t="str">
        <f t="shared" si="335"/>
        <v>Proposta Ok</v>
      </c>
    </row>
    <row r="5313" spans="12:15" x14ac:dyDescent="0.25">
      <c r="L5313">
        <f t="shared" si="332"/>
        <v>0</v>
      </c>
      <c r="M5313">
        <f t="shared" si="333"/>
        <v>1</v>
      </c>
      <c r="N5313">
        <f t="shared" si="334"/>
        <v>0</v>
      </c>
      <c r="O5313" t="str">
        <f t="shared" si="335"/>
        <v>Proposta Ok</v>
      </c>
    </row>
    <row r="5314" spans="12:15" x14ac:dyDescent="0.25">
      <c r="L5314">
        <f t="shared" si="332"/>
        <v>0</v>
      </c>
      <c r="M5314">
        <f t="shared" si="333"/>
        <v>1</v>
      </c>
      <c r="N5314">
        <f t="shared" si="334"/>
        <v>0</v>
      </c>
      <c r="O5314" t="str">
        <f t="shared" si="335"/>
        <v>Proposta Ok</v>
      </c>
    </row>
    <row r="5315" spans="12:15" x14ac:dyDescent="0.25">
      <c r="L5315">
        <f t="shared" si="332"/>
        <v>0</v>
      </c>
      <c r="M5315">
        <f t="shared" si="333"/>
        <v>1</v>
      </c>
      <c r="N5315">
        <f t="shared" si="334"/>
        <v>0</v>
      </c>
      <c r="O5315" t="str">
        <f t="shared" si="335"/>
        <v>Proposta Ok</v>
      </c>
    </row>
    <row r="5316" spans="12:15" x14ac:dyDescent="0.25">
      <c r="L5316">
        <f t="shared" si="332"/>
        <v>0</v>
      </c>
      <c r="M5316">
        <f t="shared" si="333"/>
        <v>1</v>
      </c>
      <c r="N5316">
        <f t="shared" si="334"/>
        <v>0</v>
      </c>
      <c r="O5316" t="str">
        <f t="shared" si="335"/>
        <v>Proposta Ok</v>
      </c>
    </row>
    <row r="5317" spans="12:15" x14ac:dyDescent="0.25">
      <c r="L5317">
        <f t="shared" si="332"/>
        <v>0</v>
      </c>
      <c r="M5317">
        <f t="shared" si="333"/>
        <v>1</v>
      </c>
      <c r="N5317">
        <f t="shared" si="334"/>
        <v>0</v>
      </c>
      <c r="O5317" t="str">
        <f t="shared" si="335"/>
        <v>Proposta Ok</v>
      </c>
    </row>
    <row r="5318" spans="12:15" x14ac:dyDescent="0.25">
      <c r="L5318">
        <f t="shared" si="332"/>
        <v>0</v>
      </c>
      <c r="M5318">
        <f t="shared" si="333"/>
        <v>1</v>
      </c>
      <c r="N5318">
        <f t="shared" si="334"/>
        <v>0</v>
      </c>
      <c r="O5318" t="str">
        <f t="shared" si="335"/>
        <v>Proposta Ok</v>
      </c>
    </row>
    <row r="5319" spans="12:15" x14ac:dyDescent="0.25">
      <c r="L5319">
        <f t="shared" si="332"/>
        <v>0</v>
      </c>
      <c r="M5319">
        <f t="shared" si="333"/>
        <v>1</v>
      </c>
      <c r="N5319">
        <f t="shared" si="334"/>
        <v>0</v>
      </c>
      <c r="O5319" t="str">
        <f t="shared" si="335"/>
        <v>Proposta Ok</v>
      </c>
    </row>
    <row r="5320" spans="12:15" x14ac:dyDescent="0.25">
      <c r="L5320">
        <f t="shared" si="332"/>
        <v>0</v>
      </c>
      <c r="M5320">
        <f t="shared" si="333"/>
        <v>1</v>
      </c>
      <c r="N5320">
        <f t="shared" si="334"/>
        <v>0</v>
      </c>
      <c r="O5320" t="str">
        <f t="shared" si="335"/>
        <v>Proposta Ok</v>
      </c>
    </row>
    <row r="5321" spans="12:15" x14ac:dyDescent="0.25">
      <c r="L5321">
        <f t="shared" si="332"/>
        <v>0</v>
      </c>
      <c r="M5321">
        <f t="shared" si="333"/>
        <v>1</v>
      </c>
      <c r="N5321">
        <f t="shared" si="334"/>
        <v>0</v>
      </c>
      <c r="O5321" t="str">
        <f t="shared" si="335"/>
        <v>Proposta Ok</v>
      </c>
    </row>
    <row r="5322" spans="12:15" x14ac:dyDescent="0.25">
      <c r="L5322">
        <f t="shared" si="332"/>
        <v>0</v>
      </c>
      <c r="M5322">
        <f t="shared" si="333"/>
        <v>1</v>
      </c>
      <c r="N5322">
        <f t="shared" si="334"/>
        <v>0</v>
      </c>
      <c r="O5322" t="str">
        <f t="shared" si="335"/>
        <v>Proposta Ok</v>
      </c>
    </row>
    <row r="5323" spans="12:15" x14ac:dyDescent="0.25">
      <c r="L5323">
        <f t="shared" si="332"/>
        <v>0</v>
      </c>
      <c r="M5323">
        <f t="shared" si="333"/>
        <v>1</v>
      </c>
      <c r="N5323">
        <f t="shared" si="334"/>
        <v>0</v>
      </c>
      <c r="O5323" t="str">
        <f t="shared" si="335"/>
        <v>Proposta Ok</v>
      </c>
    </row>
    <row r="5324" spans="12:15" x14ac:dyDescent="0.25">
      <c r="L5324">
        <f t="shared" si="332"/>
        <v>0</v>
      </c>
      <c r="M5324">
        <f t="shared" si="333"/>
        <v>1</v>
      </c>
      <c r="N5324">
        <f t="shared" si="334"/>
        <v>0</v>
      </c>
      <c r="O5324" t="str">
        <f t="shared" si="335"/>
        <v>Proposta Ok</v>
      </c>
    </row>
    <row r="5325" spans="12:15" x14ac:dyDescent="0.25">
      <c r="L5325">
        <f t="shared" si="332"/>
        <v>0</v>
      </c>
      <c r="M5325">
        <f t="shared" si="333"/>
        <v>1</v>
      </c>
      <c r="N5325">
        <f t="shared" si="334"/>
        <v>0</v>
      </c>
      <c r="O5325" t="str">
        <f t="shared" si="335"/>
        <v>Proposta Ok</v>
      </c>
    </row>
    <row r="5326" spans="12:15" x14ac:dyDescent="0.25">
      <c r="L5326">
        <f t="shared" si="332"/>
        <v>0</v>
      </c>
      <c r="M5326">
        <f t="shared" si="333"/>
        <v>1</v>
      </c>
      <c r="N5326">
        <f t="shared" si="334"/>
        <v>0</v>
      </c>
      <c r="O5326" t="str">
        <f t="shared" si="335"/>
        <v>Proposta Ok</v>
      </c>
    </row>
    <row r="5327" spans="12:15" x14ac:dyDescent="0.25">
      <c r="L5327">
        <f t="shared" si="332"/>
        <v>0</v>
      </c>
      <c r="M5327">
        <f t="shared" si="333"/>
        <v>1</v>
      </c>
      <c r="N5327">
        <f t="shared" si="334"/>
        <v>0</v>
      </c>
      <c r="O5327" t="str">
        <f t="shared" si="335"/>
        <v>Proposta Ok</v>
      </c>
    </row>
    <row r="5328" spans="12:15" x14ac:dyDescent="0.25">
      <c r="L5328">
        <f t="shared" si="332"/>
        <v>0</v>
      </c>
      <c r="M5328">
        <f t="shared" si="333"/>
        <v>1</v>
      </c>
      <c r="N5328">
        <f t="shared" si="334"/>
        <v>0</v>
      </c>
      <c r="O5328" t="str">
        <f t="shared" si="335"/>
        <v>Proposta Ok</v>
      </c>
    </row>
    <row r="5329" spans="12:15" x14ac:dyDescent="0.25">
      <c r="L5329">
        <f t="shared" si="332"/>
        <v>0</v>
      </c>
      <c r="M5329">
        <f t="shared" si="333"/>
        <v>1</v>
      </c>
      <c r="N5329">
        <f t="shared" si="334"/>
        <v>0</v>
      </c>
      <c r="O5329" t="str">
        <f t="shared" si="335"/>
        <v>Proposta Ok</v>
      </c>
    </row>
    <row r="5330" spans="12:15" x14ac:dyDescent="0.25">
      <c r="L5330">
        <f t="shared" si="332"/>
        <v>0</v>
      </c>
      <c r="M5330">
        <f t="shared" si="333"/>
        <v>1</v>
      </c>
      <c r="N5330">
        <f t="shared" si="334"/>
        <v>0</v>
      </c>
      <c r="O5330" t="str">
        <f t="shared" si="335"/>
        <v>Proposta Ok</v>
      </c>
    </row>
    <row r="5331" spans="12:15" x14ac:dyDescent="0.25">
      <c r="L5331">
        <f t="shared" si="332"/>
        <v>0</v>
      </c>
      <c r="M5331">
        <f t="shared" si="333"/>
        <v>1</v>
      </c>
      <c r="N5331">
        <f t="shared" si="334"/>
        <v>0</v>
      </c>
      <c r="O5331" t="str">
        <f t="shared" si="335"/>
        <v>Proposta Ok</v>
      </c>
    </row>
    <row r="5332" spans="12:15" x14ac:dyDescent="0.25">
      <c r="L5332">
        <f t="shared" si="332"/>
        <v>0</v>
      </c>
      <c r="M5332">
        <f t="shared" si="333"/>
        <v>1</v>
      </c>
      <c r="N5332">
        <f t="shared" si="334"/>
        <v>0</v>
      </c>
      <c r="O5332" t="str">
        <f t="shared" si="335"/>
        <v>Proposta Ok</v>
      </c>
    </row>
    <row r="5333" spans="12:15" x14ac:dyDescent="0.25">
      <c r="L5333">
        <f t="shared" si="332"/>
        <v>0</v>
      </c>
      <c r="M5333">
        <f t="shared" si="333"/>
        <v>1</v>
      </c>
      <c r="N5333">
        <f t="shared" si="334"/>
        <v>0</v>
      </c>
      <c r="O5333" t="str">
        <f t="shared" si="335"/>
        <v>Proposta Ok</v>
      </c>
    </row>
    <row r="5334" spans="12:15" x14ac:dyDescent="0.25">
      <c r="L5334">
        <f t="shared" si="332"/>
        <v>0</v>
      </c>
      <c r="M5334">
        <f t="shared" si="333"/>
        <v>1</v>
      </c>
      <c r="N5334">
        <f t="shared" si="334"/>
        <v>0</v>
      </c>
      <c r="O5334" t="str">
        <f t="shared" si="335"/>
        <v>Proposta Ok</v>
      </c>
    </row>
    <row r="5335" spans="12:15" x14ac:dyDescent="0.25">
      <c r="L5335">
        <f t="shared" si="332"/>
        <v>0</v>
      </c>
      <c r="M5335">
        <f t="shared" si="333"/>
        <v>1</v>
      </c>
      <c r="N5335">
        <f t="shared" si="334"/>
        <v>0</v>
      </c>
      <c r="O5335" t="str">
        <f t="shared" si="335"/>
        <v>Proposta Ok</v>
      </c>
    </row>
    <row r="5336" spans="12:15" x14ac:dyDescent="0.25">
      <c r="L5336">
        <f t="shared" si="332"/>
        <v>0</v>
      </c>
      <c r="M5336">
        <f t="shared" si="333"/>
        <v>1</v>
      </c>
      <c r="N5336">
        <f t="shared" si="334"/>
        <v>0</v>
      </c>
      <c r="O5336" t="str">
        <f t="shared" si="335"/>
        <v>Proposta Ok</v>
      </c>
    </row>
    <row r="5337" spans="12:15" x14ac:dyDescent="0.25">
      <c r="L5337">
        <f t="shared" si="332"/>
        <v>0</v>
      </c>
      <c r="M5337">
        <f t="shared" si="333"/>
        <v>1</v>
      </c>
      <c r="N5337">
        <f t="shared" si="334"/>
        <v>0</v>
      </c>
      <c r="O5337" t="str">
        <f t="shared" si="335"/>
        <v>Proposta Ok</v>
      </c>
    </row>
    <row r="5338" spans="12:15" x14ac:dyDescent="0.25">
      <c r="L5338">
        <f t="shared" si="332"/>
        <v>0</v>
      </c>
      <c r="M5338">
        <f t="shared" si="333"/>
        <v>1</v>
      </c>
      <c r="N5338">
        <f t="shared" si="334"/>
        <v>0</v>
      </c>
      <c r="O5338" t="str">
        <f t="shared" si="335"/>
        <v>Proposta Ok</v>
      </c>
    </row>
    <row r="5339" spans="12:15" x14ac:dyDescent="0.25">
      <c r="L5339">
        <f t="shared" ref="L5339:L5402" si="336">IF(OR(I5339="Termo OK (Exceção)",I5339="Termo OK"),1,0)</f>
        <v>0</v>
      </c>
      <c r="M5339">
        <f t="shared" ref="M5339:M5402" si="337">IF(OR(I5339="Termo OK (Exceção)",I5339="Termo OK"),0,1)</f>
        <v>1</v>
      </c>
      <c r="N5339">
        <f t="shared" ref="N5339:N5402" si="338">IF(J5339="SIM",1,0)</f>
        <v>0</v>
      </c>
      <c r="O5339" t="str">
        <f t="shared" ref="O5339:O5402" si="339">IF(SUMIFS(M:M,A:A,A5339)&gt;0,"Proposta não Ok","Proposta Ok")</f>
        <v>Proposta Ok</v>
      </c>
    </row>
    <row r="5340" spans="12:15" x14ac:dyDescent="0.25">
      <c r="L5340">
        <f t="shared" si="336"/>
        <v>0</v>
      </c>
      <c r="M5340">
        <f t="shared" si="337"/>
        <v>1</v>
      </c>
      <c r="N5340">
        <f t="shared" si="338"/>
        <v>0</v>
      </c>
      <c r="O5340" t="str">
        <f t="shared" si="339"/>
        <v>Proposta Ok</v>
      </c>
    </row>
    <row r="5341" spans="12:15" x14ac:dyDescent="0.25">
      <c r="L5341">
        <f t="shared" si="336"/>
        <v>0</v>
      </c>
      <c r="M5341">
        <f t="shared" si="337"/>
        <v>1</v>
      </c>
      <c r="N5341">
        <f t="shared" si="338"/>
        <v>0</v>
      </c>
      <c r="O5341" t="str">
        <f t="shared" si="339"/>
        <v>Proposta Ok</v>
      </c>
    </row>
    <row r="5342" spans="12:15" x14ac:dyDescent="0.25">
      <c r="L5342">
        <f t="shared" si="336"/>
        <v>0</v>
      </c>
      <c r="M5342">
        <f t="shared" si="337"/>
        <v>1</v>
      </c>
      <c r="N5342">
        <f t="shared" si="338"/>
        <v>0</v>
      </c>
      <c r="O5342" t="str">
        <f t="shared" si="339"/>
        <v>Proposta Ok</v>
      </c>
    </row>
    <row r="5343" spans="12:15" x14ac:dyDescent="0.25">
      <c r="L5343">
        <f t="shared" si="336"/>
        <v>0</v>
      </c>
      <c r="M5343">
        <f t="shared" si="337"/>
        <v>1</v>
      </c>
      <c r="N5343">
        <f t="shared" si="338"/>
        <v>0</v>
      </c>
      <c r="O5343" t="str">
        <f t="shared" si="339"/>
        <v>Proposta Ok</v>
      </c>
    </row>
    <row r="5344" spans="12:15" x14ac:dyDescent="0.25">
      <c r="L5344">
        <f t="shared" si="336"/>
        <v>0</v>
      </c>
      <c r="M5344">
        <f t="shared" si="337"/>
        <v>1</v>
      </c>
      <c r="N5344">
        <f t="shared" si="338"/>
        <v>0</v>
      </c>
      <c r="O5344" t="str">
        <f t="shared" si="339"/>
        <v>Proposta Ok</v>
      </c>
    </row>
    <row r="5345" spans="12:15" x14ac:dyDescent="0.25">
      <c r="L5345">
        <f t="shared" si="336"/>
        <v>0</v>
      </c>
      <c r="M5345">
        <f t="shared" si="337"/>
        <v>1</v>
      </c>
      <c r="N5345">
        <f t="shared" si="338"/>
        <v>0</v>
      </c>
      <c r="O5345" t="str">
        <f t="shared" si="339"/>
        <v>Proposta Ok</v>
      </c>
    </row>
    <row r="5346" spans="12:15" x14ac:dyDescent="0.25">
      <c r="L5346">
        <f t="shared" si="336"/>
        <v>0</v>
      </c>
      <c r="M5346">
        <f t="shared" si="337"/>
        <v>1</v>
      </c>
      <c r="N5346">
        <f t="shared" si="338"/>
        <v>0</v>
      </c>
      <c r="O5346" t="str">
        <f t="shared" si="339"/>
        <v>Proposta Ok</v>
      </c>
    </row>
    <row r="5347" spans="12:15" x14ac:dyDescent="0.25">
      <c r="L5347">
        <f t="shared" si="336"/>
        <v>0</v>
      </c>
      <c r="M5347">
        <f t="shared" si="337"/>
        <v>1</v>
      </c>
      <c r="N5347">
        <f t="shared" si="338"/>
        <v>0</v>
      </c>
      <c r="O5347" t="str">
        <f t="shared" si="339"/>
        <v>Proposta Ok</v>
      </c>
    </row>
    <row r="5348" spans="12:15" x14ac:dyDescent="0.25">
      <c r="L5348">
        <f t="shared" si="336"/>
        <v>0</v>
      </c>
      <c r="M5348">
        <f t="shared" si="337"/>
        <v>1</v>
      </c>
      <c r="N5348">
        <f t="shared" si="338"/>
        <v>0</v>
      </c>
      <c r="O5348" t="str">
        <f t="shared" si="339"/>
        <v>Proposta Ok</v>
      </c>
    </row>
    <row r="5349" spans="12:15" x14ac:dyDescent="0.25">
      <c r="L5349">
        <f t="shared" si="336"/>
        <v>0</v>
      </c>
      <c r="M5349">
        <f t="shared" si="337"/>
        <v>1</v>
      </c>
      <c r="N5349">
        <f t="shared" si="338"/>
        <v>0</v>
      </c>
      <c r="O5349" t="str">
        <f t="shared" si="339"/>
        <v>Proposta Ok</v>
      </c>
    </row>
    <row r="5350" spans="12:15" x14ac:dyDescent="0.25">
      <c r="L5350">
        <f t="shared" si="336"/>
        <v>0</v>
      </c>
      <c r="M5350">
        <f t="shared" si="337"/>
        <v>1</v>
      </c>
      <c r="N5350">
        <f t="shared" si="338"/>
        <v>0</v>
      </c>
      <c r="O5350" t="str">
        <f t="shared" si="339"/>
        <v>Proposta Ok</v>
      </c>
    </row>
    <row r="5351" spans="12:15" x14ac:dyDescent="0.25">
      <c r="L5351">
        <f t="shared" si="336"/>
        <v>0</v>
      </c>
      <c r="M5351">
        <f t="shared" si="337"/>
        <v>1</v>
      </c>
      <c r="N5351">
        <f t="shared" si="338"/>
        <v>0</v>
      </c>
      <c r="O5351" t="str">
        <f t="shared" si="339"/>
        <v>Proposta Ok</v>
      </c>
    </row>
    <row r="5352" spans="12:15" x14ac:dyDescent="0.25">
      <c r="L5352">
        <f t="shared" si="336"/>
        <v>0</v>
      </c>
      <c r="M5352">
        <f t="shared" si="337"/>
        <v>1</v>
      </c>
      <c r="N5352">
        <f t="shared" si="338"/>
        <v>0</v>
      </c>
      <c r="O5352" t="str">
        <f t="shared" si="339"/>
        <v>Proposta Ok</v>
      </c>
    </row>
    <row r="5353" spans="12:15" x14ac:dyDescent="0.25">
      <c r="L5353">
        <f t="shared" si="336"/>
        <v>0</v>
      </c>
      <c r="M5353">
        <f t="shared" si="337"/>
        <v>1</v>
      </c>
      <c r="N5353">
        <f t="shared" si="338"/>
        <v>0</v>
      </c>
      <c r="O5353" t="str">
        <f t="shared" si="339"/>
        <v>Proposta Ok</v>
      </c>
    </row>
    <row r="5354" spans="12:15" x14ac:dyDescent="0.25">
      <c r="L5354">
        <f t="shared" si="336"/>
        <v>0</v>
      </c>
      <c r="M5354">
        <f t="shared" si="337"/>
        <v>1</v>
      </c>
      <c r="N5354">
        <f t="shared" si="338"/>
        <v>0</v>
      </c>
      <c r="O5354" t="str">
        <f t="shared" si="339"/>
        <v>Proposta Ok</v>
      </c>
    </row>
    <row r="5355" spans="12:15" x14ac:dyDescent="0.25">
      <c r="L5355">
        <f t="shared" si="336"/>
        <v>0</v>
      </c>
      <c r="M5355">
        <f t="shared" si="337"/>
        <v>1</v>
      </c>
      <c r="N5355">
        <f t="shared" si="338"/>
        <v>0</v>
      </c>
      <c r="O5355" t="str">
        <f t="shared" si="339"/>
        <v>Proposta Ok</v>
      </c>
    </row>
    <row r="5356" spans="12:15" x14ac:dyDescent="0.25">
      <c r="L5356">
        <f t="shared" si="336"/>
        <v>0</v>
      </c>
      <c r="M5356">
        <f t="shared" si="337"/>
        <v>1</v>
      </c>
      <c r="N5356">
        <f t="shared" si="338"/>
        <v>0</v>
      </c>
      <c r="O5356" t="str">
        <f t="shared" si="339"/>
        <v>Proposta Ok</v>
      </c>
    </row>
    <row r="5357" spans="12:15" x14ac:dyDescent="0.25">
      <c r="L5357">
        <f t="shared" si="336"/>
        <v>0</v>
      </c>
      <c r="M5357">
        <f t="shared" si="337"/>
        <v>1</v>
      </c>
      <c r="N5357">
        <f t="shared" si="338"/>
        <v>0</v>
      </c>
      <c r="O5357" t="str">
        <f t="shared" si="339"/>
        <v>Proposta Ok</v>
      </c>
    </row>
    <row r="5358" spans="12:15" x14ac:dyDescent="0.25">
      <c r="L5358">
        <f t="shared" si="336"/>
        <v>0</v>
      </c>
      <c r="M5358">
        <f t="shared" si="337"/>
        <v>1</v>
      </c>
      <c r="N5358">
        <f t="shared" si="338"/>
        <v>0</v>
      </c>
      <c r="O5358" t="str">
        <f t="shared" si="339"/>
        <v>Proposta Ok</v>
      </c>
    </row>
    <row r="5359" spans="12:15" x14ac:dyDescent="0.25">
      <c r="L5359">
        <f t="shared" si="336"/>
        <v>0</v>
      </c>
      <c r="M5359">
        <f t="shared" si="337"/>
        <v>1</v>
      </c>
      <c r="N5359">
        <f t="shared" si="338"/>
        <v>0</v>
      </c>
      <c r="O5359" t="str">
        <f t="shared" si="339"/>
        <v>Proposta Ok</v>
      </c>
    </row>
    <row r="5360" spans="12:15" x14ac:dyDescent="0.25">
      <c r="L5360">
        <f t="shared" si="336"/>
        <v>0</v>
      </c>
      <c r="M5360">
        <f t="shared" si="337"/>
        <v>1</v>
      </c>
      <c r="N5360">
        <f t="shared" si="338"/>
        <v>0</v>
      </c>
      <c r="O5360" t="str">
        <f t="shared" si="339"/>
        <v>Proposta Ok</v>
      </c>
    </row>
    <row r="5361" spans="12:15" x14ac:dyDescent="0.25">
      <c r="L5361">
        <f t="shared" si="336"/>
        <v>0</v>
      </c>
      <c r="M5361">
        <f t="shared" si="337"/>
        <v>1</v>
      </c>
      <c r="N5361">
        <f t="shared" si="338"/>
        <v>0</v>
      </c>
      <c r="O5361" t="str">
        <f t="shared" si="339"/>
        <v>Proposta Ok</v>
      </c>
    </row>
    <row r="5362" spans="12:15" x14ac:dyDescent="0.25">
      <c r="L5362">
        <f t="shared" si="336"/>
        <v>0</v>
      </c>
      <c r="M5362">
        <f t="shared" si="337"/>
        <v>1</v>
      </c>
      <c r="N5362">
        <f t="shared" si="338"/>
        <v>0</v>
      </c>
      <c r="O5362" t="str">
        <f t="shared" si="339"/>
        <v>Proposta Ok</v>
      </c>
    </row>
    <row r="5363" spans="12:15" x14ac:dyDescent="0.25">
      <c r="L5363">
        <f t="shared" si="336"/>
        <v>0</v>
      </c>
      <c r="M5363">
        <f t="shared" si="337"/>
        <v>1</v>
      </c>
      <c r="N5363">
        <f t="shared" si="338"/>
        <v>0</v>
      </c>
      <c r="O5363" t="str">
        <f t="shared" si="339"/>
        <v>Proposta Ok</v>
      </c>
    </row>
    <row r="5364" spans="12:15" x14ac:dyDescent="0.25">
      <c r="L5364">
        <f t="shared" si="336"/>
        <v>0</v>
      </c>
      <c r="M5364">
        <f t="shared" si="337"/>
        <v>1</v>
      </c>
      <c r="N5364">
        <f t="shared" si="338"/>
        <v>0</v>
      </c>
      <c r="O5364" t="str">
        <f t="shared" si="339"/>
        <v>Proposta Ok</v>
      </c>
    </row>
    <row r="5365" spans="12:15" x14ac:dyDescent="0.25">
      <c r="L5365">
        <f t="shared" si="336"/>
        <v>0</v>
      </c>
      <c r="M5365">
        <f t="shared" si="337"/>
        <v>1</v>
      </c>
      <c r="N5365">
        <f t="shared" si="338"/>
        <v>0</v>
      </c>
      <c r="O5365" t="str">
        <f t="shared" si="339"/>
        <v>Proposta Ok</v>
      </c>
    </row>
    <row r="5366" spans="12:15" x14ac:dyDescent="0.25">
      <c r="L5366">
        <f t="shared" si="336"/>
        <v>0</v>
      </c>
      <c r="M5366">
        <f t="shared" si="337"/>
        <v>1</v>
      </c>
      <c r="N5366">
        <f t="shared" si="338"/>
        <v>0</v>
      </c>
      <c r="O5366" t="str">
        <f t="shared" si="339"/>
        <v>Proposta Ok</v>
      </c>
    </row>
    <row r="5367" spans="12:15" x14ac:dyDescent="0.25">
      <c r="L5367">
        <f t="shared" si="336"/>
        <v>0</v>
      </c>
      <c r="M5367">
        <f t="shared" si="337"/>
        <v>1</v>
      </c>
      <c r="N5367">
        <f t="shared" si="338"/>
        <v>0</v>
      </c>
      <c r="O5367" t="str">
        <f t="shared" si="339"/>
        <v>Proposta Ok</v>
      </c>
    </row>
    <row r="5368" spans="12:15" x14ac:dyDescent="0.25">
      <c r="L5368">
        <f t="shared" si="336"/>
        <v>0</v>
      </c>
      <c r="M5368">
        <f t="shared" si="337"/>
        <v>1</v>
      </c>
      <c r="N5368">
        <f t="shared" si="338"/>
        <v>0</v>
      </c>
      <c r="O5368" t="str">
        <f t="shared" si="339"/>
        <v>Proposta Ok</v>
      </c>
    </row>
    <row r="5369" spans="12:15" x14ac:dyDescent="0.25">
      <c r="L5369">
        <f t="shared" si="336"/>
        <v>0</v>
      </c>
      <c r="M5369">
        <f t="shared" si="337"/>
        <v>1</v>
      </c>
      <c r="N5369">
        <f t="shared" si="338"/>
        <v>0</v>
      </c>
      <c r="O5369" t="str">
        <f t="shared" si="339"/>
        <v>Proposta Ok</v>
      </c>
    </row>
    <row r="5370" spans="12:15" x14ac:dyDescent="0.25">
      <c r="L5370">
        <f t="shared" si="336"/>
        <v>0</v>
      </c>
      <c r="M5370">
        <f t="shared" si="337"/>
        <v>1</v>
      </c>
      <c r="N5370">
        <f t="shared" si="338"/>
        <v>0</v>
      </c>
      <c r="O5370" t="str">
        <f t="shared" si="339"/>
        <v>Proposta Ok</v>
      </c>
    </row>
    <row r="5371" spans="12:15" x14ac:dyDescent="0.25">
      <c r="L5371">
        <f t="shared" si="336"/>
        <v>0</v>
      </c>
      <c r="M5371">
        <f t="shared" si="337"/>
        <v>1</v>
      </c>
      <c r="N5371">
        <f t="shared" si="338"/>
        <v>0</v>
      </c>
      <c r="O5371" t="str">
        <f t="shared" si="339"/>
        <v>Proposta Ok</v>
      </c>
    </row>
    <row r="5372" spans="12:15" x14ac:dyDescent="0.25">
      <c r="L5372">
        <f t="shared" si="336"/>
        <v>0</v>
      </c>
      <c r="M5372">
        <f t="shared" si="337"/>
        <v>1</v>
      </c>
      <c r="N5372">
        <f t="shared" si="338"/>
        <v>0</v>
      </c>
      <c r="O5372" t="str">
        <f t="shared" si="339"/>
        <v>Proposta Ok</v>
      </c>
    </row>
    <row r="5373" spans="12:15" x14ac:dyDescent="0.25">
      <c r="L5373">
        <f t="shared" si="336"/>
        <v>0</v>
      </c>
      <c r="M5373">
        <f t="shared" si="337"/>
        <v>1</v>
      </c>
      <c r="N5373">
        <f t="shared" si="338"/>
        <v>0</v>
      </c>
      <c r="O5373" t="str">
        <f t="shared" si="339"/>
        <v>Proposta Ok</v>
      </c>
    </row>
    <row r="5374" spans="12:15" x14ac:dyDescent="0.25">
      <c r="L5374">
        <f t="shared" si="336"/>
        <v>0</v>
      </c>
      <c r="M5374">
        <f t="shared" si="337"/>
        <v>1</v>
      </c>
      <c r="N5374">
        <f t="shared" si="338"/>
        <v>0</v>
      </c>
      <c r="O5374" t="str">
        <f t="shared" si="339"/>
        <v>Proposta Ok</v>
      </c>
    </row>
    <row r="5375" spans="12:15" x14ac:dyDescent="0.25">
      <c r="L5375">
        <f t="shared" si="336"/>
        <v>0</v>
      </c>
      <c r="M5375">
        <f t="shared" si="337"/>
        <v>1</v>
      </c>
      <c r="N5375">
        <f t="shared" si="338"/>
        <v>0</v>
      </c>
      <c r="O5375" t="str">
        <f t="shared" si="339"/>
        <v>Proposta Ok</v>
      </c>
    </row>
    <row r="5376" spans="12:15" x14ac:dyDescent="0.25">
      <c r="L5376">
        <f t="shared" si="336"/>
        <v>0</v>
      </c>
      <c r="M5376">
        <f t="shared" si="337"/>
        <v>1</v>
      </c>
      <c r="N5376">
        <f t="shared" si="338"/>
        <v>0</v>
      </c>
      <c r="O5376" t="str">
        <f t="shared" si="339"/>
        <v>Proposta Ok</v>
      </c>
    </row>
    <row r="5377" spans="12:15" x14ac:dyDescent="0.25">
      <c r="L5377">
        <f t="shared" si="336"/>
        <v>0</v>
      </c>
      <c r="M5377">
        <f t="shared" si="337"/>
        <v>1</v>
      </c>
      <c r="N5377">
        <f t="shared" si="338"/>
        <v>0</v>
      </c>
      <c r="O5377" t="str">
        <f t="shared" si="339"/>
        <v>Proposta Ok</v>
      </c>
    </row>
    <row r="5378" spans="12:15" x14ac:dyDescent="0.25">
      <c r="L5378">
        <f t="shared" si="336"/>
        <v>0</v>
      </c>
      <c r="M5378">
        <f t="shared" si="337"/>
        <v>1</v>
      </c>
      <c r="N5378">
        <f t="shared" si="338"/>
        <v>0</v>
      </c>
      <c r="O5378" t="str">
        <f t="shared" si="339"/>
        <v>Proposta Ok</v>
      </c>
    </row>
    <row r="5379" spans="12:15" x14ac:dyDescent="0.25">
      <c r="L5379">
        <f t="shared" si="336"/>
        <v>0</v>
      </c>
      <c r="M5379">
        <f t="shared" si="337"/>
        <v>1</v>
      </c>
      <c r="N5379">
        <f t="shared" si="338"/>
        <v>0</v>
      </c>
      <c r="O5379" t="str">
        <f t="shared" si="339"/>
        <v>Proposta Ok</v>
      </c>
    </row>
    <row r="5380" spans="12:15" x14ac:dyDescent="0.25">
      <c r="L5380">
        <f t="shared" si="336"/>
        <v>0</v>
      </c>
      <c r="M5380">
        <f t="shared" si="337"/>
        <v>1</v>
      </c>
      <c r="N5380">
        <f t="shared" si="338"/>
        <v>0</v>
      </c>
      <c r="O5380" t="str">
        <f t="shared" si="339"/>
        <v>Proposta Ok</v>
      </c>
    </row>
    <row r="5381" spans="12:15" x14ac:dyDescent="0.25">
      <c r="L5381">
        <f t="shared" si="336"/>
        <v>0</v>
      </c>
      <c r="M5381">
        <f t="shared" si="337"/>
        <v>1</v>
      </c>
      <c r="N5381">
        <f t="shared" si="338"/>
        <v>0</v>
      </c>
      <c r="O5381" t="str">
        <f t="shared" si="339"/>
        <v>Proposta Ok</v>
      </c>
    </row>
    <row r="5382" spans="12:15" x14ac:dyDescent="0.25">
      <c r="L5382">
        <f t="shared" si="336"/>
        <v>0</v>
      </c>
      <c r="M5382">
        <f t="shared" si="337"/>
        <v>1</v>
      </c>
      <c r="N5382">
        <f t="shared" si="338"/>
        <v>0</v>
      </c>
      <c r="O5382" t="str">
        <f t="shared" si="339"/>
        <v>Proposta Ok</v>
      </c>
    </row>
    <row r="5383" spans="12:15" x14ac:dyDescent="0.25">
      <c r="L5383">
        <f t="shared" si="336"/>
        <v>0</v>
      </c>
      <c r="M5383">
        <f t="shared" si="337"/>
        <v>1</v>
      </c>
      <c r="N5383">
        <f t="shared" si="338"/>
        <v>0</v>
      </c>
      <c r="O5383" t="str">
        <f t="shared" si="339"/>
        <v>Proposta Ok</v>
      </c>
    </row>
    <row r="5384" spans="12:15" x14ac:dyDescent="0.25">
      <c r="L5384">
        <f t="shared" si="336"/>
        <v>0</v>
      </c>
      <c r="M5384">
        <f t="shared" si="337"/>
        <v>1</v>
      </c>
      <c r="N5384">
        <f t="shared" si="338"/>
        <v>0</v>
      </c>
      <c r="O5384" t="str">
        <f t="shared" si="339"/>
        <v>Proposta Ok</v>
      </c>
    </row>
    <row r="5385" spans="12:15" x14ac:dyDescent="0.25">
      <c r="L5385">
        <f t="shared" si="336"/>
        <v>0</v>
      </c>
      <c r="M5385">
        <f t="shared" si="337"/>
        <v>1</v>
      </c>
      <c r="N5385">
        <f t="shared" si="338"/>
        <v>0</v>
      </c>
      <c r="O5385" t="str">
        <f t="shared" si="339"/>
        <v>Proposta Ok</v>
      </c>
    </row>
    <row r="5386" spans="12:15" x14ac:dyDescent="0.25">
      <c r="L5386">
        <f t="shared" si="336"/>
        <v>0</v>
      </c>
      <c r="M5386">
        <f t="shared" si="337"/>
        <v>1</v>
      </c>
      <c r="N5386">
        <f t="shared" si="338"/>
        <v>0</v>
      </c>
      <c r="O5386" t="str">
        <f t="shared" si="339"/>
        <v>Proposta Ok</v>
      </c>
    </row>
    <row r="5387" spans="12:15" x14ac:dyDescent="0.25">
      <c r="L5387">
        <f t="shared" si="336"/>
        <v>0</v>
      </c>
      <c r="M5387">
        <f t="shared" si="337"/>
        <v>1</v>
      </c>
      <c r="N5387">
        <f t="shared" si="338"/>
        <v>0</v>
      </c>
      <c r="O5387" t="str">
        <f t="shared" si="339"/>
        <v>Proposta Ok</v>
      </c>
    </row>
    <row r="5388" spans="12:15" x14ac:dyDescent="0.25">
      <c r="L5388">
        <f t="shared" si="336"/>
        <v>0</v>
      </c>
      <c r="M5388">
        <f t="shared" si="337"/>
        <v>1</v>
      </c>
      <c r="N5388">
        <f t="shared" si="338"/>
        <v>0</v>
      </c>
      <c r="O5388" t="str">
        <f t="shared" si="339"/>
        <v>Proposta Ok</v>
      </c>
    </row>
    <row r="5389" spans="12:15" x14ac:dyDescent="0.25">
      <c r="L5389">
        <f t="shared" si="336"/>
        <v>0</v>
      </c>
      <c r="M5389">
        <f t="shared" si="337"/>
        <v>1</v>
      </c>
      <c r="N5389">
        <f t="shared" si="338"/>
        <v>0</v>
      </c>
      <c r="O5389" t="str">
        <f t="shared" si="339"/>
        <v>Proposta Ok</v>
      </c>
    </row>
    <row r="5390" spans="12:15" x14ac:dyDescent="0.25">
      <c r="L5390">
        <f t="shared" si="336"/>
        <v>0</v>
      </c>
      <c r="M5390">
        <f t="shared" si="337"/>
        <v>1</v>
      </c>
      <c r="N5390">
        <f t="shared" si="338"/>
        <v>0</v>
      </c>
      <c r="O5390" t="str">
        <f t="shared" si="339"/>
        <v>Proposta Ok</v>
      </c>
    </row>
    <row r="5391" spans="12:15" x14ac:dyDescent="0.25">
      <c r="L5391">
        <f t="shared" si="336"/>
        <v>0</v>
      </c>
      <c r="M5391">
        <f t="shared" si="337"/>
        <v>1</v>
      </c>
      <c r="N5391">
        <f t="shared" si="338"/>
        <v>0</v>
      </c>
      <c r="O5391" t="str">
        <f t="shared" si="339"/>
        <v>Proposta Ok</v>
      </c>
    </row>
    <row r="5392" spans="12:15" x14ac:dyDescent="0.25">
      <c r="L5392">
        <f t="shared" si="336"/>
        <v>0</v>
      </c>
      <c r="M5392">
        <f t="shared" si="337"/>
        <v>1</v>
      </c>
      <c r="N5392">
        <f t="shared" si="338"/>
        <v>0</v>
      </c>
      <c r="O5392" t="str">
        <f t="shared" si="339"/>
        <v>Proposta Ok</v>
      </c>
    </row>
    <row r="5393" spans="12:15" x14ac:dyDescent="0.25">
      <c r="L5393">
        <f t="shared" si="336"/>
        <v>0</v>
      </c>
      <c r="M5393">
        <f t="shared" si="337"/>
        <v>1</v>
      </c>
      <c r="N5393">
        <f t="shared" si="338"/>
        <v>0</v>
      </c>
      <c r="O5393" t="str">
        <f t="shared" si="339"/>
        <v>Proposta Ok</v>
      </c>
    </row>
    <row r="5394" spans="12:15" x14ac:dyDescent="0.25">
      <c r="L5394">
        <f t="shared" si="336"/>
        <v>0</v>
      </c>
      <c r="M5394">
        <f t="shared" si="337"/>
        <v>1</v>
      </c>
      <c r="N5394">
        <f t="shared" si="338"/>
        <v>0</v>
      </c>
      <c r="O5394" t="str">
        <f t="shared" si="339"/>
        <v>Proposta Ok</v>
      </c>
    </row>
    <row r="5395" spans="12:15" x14ac:dyDescent="0.25">
      <c r="L5395">
        <f t="shared" si="336"/>
        <v>0</v>
      </c>
      <c r="M5395">
        <f t="shared" si="337"/>
        <v>1</v>
      </c>
      <c r="N5395">
        <f t="shared" si="338"/>
        <v>0</v>
      </c>
      <c r="O5395" t="str">
        <f t="shared" si="339"/>
        <v>Proposta Ok</v>
      </c>
    </row>
    <row r="5396" spans="12:15" x14ac:dyDescent="0.25">
      <c r="L5396">
        <f t="shared" si="336"/>
        <v>0</v>
      </c>
      <c r="M5396">
        <f t="shared" si="337"/>
        <v>1</v>
      </c>
      <c r="N5396">
        <f t="shared" si="338"/>
        <v>0</v>
      </c>
      <c r="O5396" t="str">
        <f t="shared" si="339"/>
        <v>Proposta Ok</v>
      </c>
    </row>
    <row r="5397" spans="12:15" x14ac:dyDescent="0.25">
      <c r="L5397">
        <f t="shared" si="336"/>
        <v>0</v>
      </c>
      <c r="M5397">
        <f t="shared" si="337"/>
        <v>1</v>
      </c>
      <c r="N5397">
        <f t="shared" si="338"/>
        <v>0</v>
      </c>
      <c r="O5397" t="str">
        <f t="shared" si="339"/>
        <v>Proposta Ok</v>
      </c>
    </row>
    <row r="5398" spans="12:15" x14ac:dyDescent="0.25">
      <c r="L5398">
        <f t="shared" si="336"/>
        <v>0</v>
      </c>
      <c r="M5398">
        <f t="shared" si="337"/>
        <v>1</v>
      </c>
      <c r="N5398">
        <f t="shared" si="338"/>
        <v>0</v>
      </c>
      <c r="O5398" t="str">
        <f t="shared" si="339"/>
        <v>Proposta Ok</v>
      </c>
    </row>
    <row r="5399" spans="12:15" x14ac:dyDescent="0.25">
      <c r="L5399">
        <f t="shared" si="336"/>
        <v>0</v>
      </c>
      <c r="M5399">
        <f t="shared" si="337"/>
        <v>1</v>
      </c>
      <c r="N5399">
        <f t="shared" si="338"/>
        <v>0</v>
      </c>
      <c r="O5399" t="str">
        <f t="shared" si="339"/>
        <v>Proposta Ok</v>
      </c>
    </row>
    <row r="5400" spans="12:15" x14ac:dyDescent="0.25">
      <c r="L5400">
        <f t="shared" si="336"/>
        <v>0</v>
      </c>
      <c r="M5400">
        <f t="shared" si="337"/>
        <v>1</v>
      </c>
      <c r="N5400">
        <f t="shared" si="338"/>
        <v>0</v>
      </c>
      <c r="O5400" t="str">
        <f t="shared" si="339"/>
        <v>Proposta Ok</v>
      </c>
    </row>
    <row r="5401" spans="12:15" x14ac:dyDescent="0.25">
      <c r="L5401">
        <f t="shared" si="336"/>
        <v>0</v>
      </c>
      <c r="M5401">
        <f t="shared" si="337"/>
        <v>1</v>
      </c>
      <c r="N5401">
        <f t="shared" si="338"/>
        <v>0</v>
      </c>
      <c r="O5401" t="str">
        <f t="shared" si="339"/>
        <v>Proposta Ok</v>
      </c>
    </row>
    <row r="5402" spans="12:15" x14ac:dyDescent="0.25">
      <c r="L5402">
        <f t="shared" si="336"/>
        <v>0</v>
      </c>
      <c r="M5402">
        <f t="shared" si="337"/>
        <v>1</v>
      </c>
      <c r="N5402">
        <f t="shared" si="338"/>
        <v>0</v>
      </c>
      <c r="O5402" t="str">
        <f t="shared" si="339"/>
        <v>Proposta Ok</v>
      </c>
    </row>
    <row r="5403" spans="12:15" x14ac:dyDescent="0.25">
      <c r="L5403">
        <f t="shared" ref="L5403:L5466" si="340">IF(OR(I5403="Termo OK (Exceção)",I5403="Termo OK"),1,0)</f>
        <v>0</v>
      </c>
      <c r="M5403">
        <f t="shared" ref="M5403:M5466" si="341">IF(OR(I5403="Termo OK (Exceção)",I5403="Termo OK"),0,1)</f>
        <v>1</v>
      </c>
      <c r="N5403">
        <f t="shared" ref="N5403:N5466" si="342">IF(J5403="SIM",1,0)</f>
        <v>0</v>
      </c>
      <c r="O5403" t="str">
        <f t="shared" ref="O5403:O5466" si="343">IF(SUMIFS(M:M,A:A,A5403)&gt;0,"Proposta não Ok","Proposta Ok")</f>
        <v>Proposta Ok</v>
      </c>
    </row>
    <row r="5404" spans="12:15" x14ac:dyDescent="0.25">
      <c r="L5404">
        <f t="shared" si="340"/>
        <v>0</v>
      </c>
      <c r="M5404">
        <f t="shared" si="341"/>
        <v>1</v>
      </c>
      <c r="N5404">
        <f t="shared" si="342"/>
        <v>0</v>
      </c>
      <c r="O5404" t="str">
        <f t="shared" si="343"/>
        <v>Proposta Ok</v>
      </c>
    </row>
    <row r="5405" spans="12:15" x14ac:dyDescent="0.25">
      <c r="L5405">
        <f t="shared" si="340"/>
        <v>0</v>
      </c>
      <c r="M5405">
        <f t="shared" si="341"/>
        <v>1</v>
      </c>
      <c r="N5405">
        <f t="shared" si="342"/>
        <v>0</v>
      </c>
      <c r="O5405" t="str">
        <f t="shared" si="343"/>
        <v>Proposta Ok</v>
      </c>
    </row>
    <row r="5406" spans="12:15" x14ac:dyDescent="0.25">
      <c r="L5406">
        <f t="shared" si="340"/>
        <v>0</v>
      </c>
      <c r="M5406">
        <f t="shared" si="341"/>
        <v>1</v>
      </c>
      <c r="N5406">
        <f t="shared" si="342"/>
        <v>0</v>
      </c>
      <c r="O5406" t="str">
        <f t="shared" si="343"/>
        <v>Proposta Ok</v>
      </c>
    </row>
    <row r="5407" spans="12:15" x14ac:dyDescent="0.25">
      <c r="L5407">
        <f t="shared" si="340"/>
        <v>0</v>
      </c>
      <c r="M5407">
        <f t="shared" si="341"/>
        <v>1</v>
      </c>
      <c r="N5407">
        <f t="shared" si="342"/>
        <v>0</v>
      </c>
      <c r="O5407" t="str">
        <f t="shared" si="343"/>
        <v>Proposta Ok</v>
      </c>
    </row>
    <row r="5408" spans="12:15" x14ac:dyDescent="0.25">
      <c r="L5408">
        <f t="shared" si="340"/>
        <v>0</v>
      </c>
      <c r="M5408">
        <f t="shared" si="341"/>
        <v>1</v>
      </c>
      <c r="N5408">
        <f t="shared" si="342"/>
        <v>0</v>
      </c>
      <c r="O5408" t="str">
        <f t="shared" si="343"/>
        <v>Proposta Ok</v>
      </c>
    </row>
    <row r="5409" spans="12:15" x14ac:dyDescent="0.25">
      <c r="L5409">
        <f t="shared" si="340"/>
        <v>0</v>
      </c>
      <c r="M5409">
        <f t="shared" si="341"/>
        <v>1</v>
      </c>
      <c r="N5409">
        <f t="shared" si="342"/>
        <v>0</v>
      </c>
      <c r="O5409" t="str">
        <f t="shared" si="343"/>
        <v>Proposta Ok</v>
      </c>
    </row>
    <row r="5410" spans="12:15" x14ac:dyDescent="0.25">
      <c r="L5410">
        <f t="shared" si="340"/>
        <v>0</v>
      </c>
      <c r="M5410">
        <f t="shared" si="341"/>
        <v>1</v>
      </c>
      <c r="N5410">
        <f t="shared" si="342"/>
        <v>0</v>
      </c>
      <c r="O5410" t="str">
        <f t="shared" si="343"/>
        <v>Proposta Ok</v>
      </c>
    </row>
    <row r="5411" spans="12:15" x14ac:dyDescent="0.25">
      <c r="L5411">
        <f t="shared" si="340"/>
        <v>0</v>
      </c>
      <c r="M5411">
        <f t="shared" si="341"/>
        <v>1</v>
      </c>
      <c r="N5411">
        <f t="shared" si="342"/>
        <v>0</v>
      </c>
      <c r="O5411" t="str">
        <f t="shared" si="343"/>
        <v>Proposta Ok</v>
      </c>
    </row>
    <row r="5412" spans="12:15" x14ac:dyDescent="0.25">
      <c r="L5412">
        <f t="shared" si="340"/>
        <v>0</v>
      </c>
      <c r="M5412">
        <f t="shared" si="341"/>
        <v>1</v>
      </c>
      <c r="N5412">
        <f t="shared" si="342"/>
        <v>0</v>
      </c>
      <c r="O5412" t="str">
        <f t="shared" si="343"/>
        <v>Proposta Ok</v>
      </c>
    </row>
    <row r="5413" spans="12:15" x14ac:dyDescent="0.25">
      <c r="L5413">
        <f t="shared" si="340"/>
        <v>0</v>
      </c>
      <c r="M5413">
        <f t="shared" si="341"/>
        <v>1</v>
      </c>
      <c r="N5413">
        <f t="shared" si="342"/>
        <v>0</v>
      </c>
      <c r="O5413" t="str">
        <f t="shared" si="343"/>
        <v>Proposta Ok</v>
      </c>
    </row>
    <row r="5414" spans="12:15" x14ac:dyDescent="0.25">
      <c r="L5414">
        <f t="shared" si="340"/>
        <v>0</v>
      </c>
      <c r="M5414">
        <f t="shared" si="341"/>
        <v>1</v>
      </c>
      <c r="N5414">
        <f t="shared" si="342"/>
        <v>0</v>
      </c>
      <c r="O5414" t="str">
        <f t="shared" si="343"/>
        <v>Proposta Ok</v>
      </c>
    </row>
    <row r="5415" spans="12:15" x14ac:dyDescent="0.25">
      <c r="L5415">
        <f t="shared" si="340"/>
        <v>0</v>
      </c>
      <c r="M5415">
        <f t="shared" si="341"/>
        <v>1</v>
      </c>
      <c r="N5415">
        <f t="shared" si="342"/>
        <v>0</v>
      </c>
      <c r="O5415" t="str">
        <f t="shared" si="343"/>
        <v>Proposta Ok</v>
      </c>
    </row>
    <row r="5416" spans="12:15" x14ac:dyDescent="0.25">
      <c r="L5416">
        <f t="shared" si="340"/>
        <v>0</v>
      </c>
      <c r="M5416">
        <f t="shared" si="341"/>
        <v>1</v>
      </c>
      <c r="N5416">
        <f t="shared" si="342"/>
        <v>0</v>
      </c>
      <c r="O5416" t="str">
        <f t="shared" si="343"/>
        <v>Proposta Ok</v>
      </c>
    </row>
    <row r="5417" spans="12:15" x14ac:dyDescent="0.25">
      <c r="L5417">
        <f t="shared" si="340"/>
        <v>0</v>
      </c>
      <c r="M5417">
        <f t="shared" si="341"/>
        <v>1</v>
      </c>
      <c r="N5417">
        <f t="shared" si="342"/>
        <v>0</v>
      </c>
      <c r="O5417" t="str">
        <f t="shared" si="343"/>
        <v>Proposta Ok</v>
      </c>
    </row>
    <row r="5418" spans="12:15" x14ac:dyDescent="0.25">
      <c r="L5418">
        <f t="shared" si="340"/>
        <v>0</v>
      </c>
      <c r="M5418">
        <f t="shared" si="341"/>
        <v>1</v>
      </c>
      <c r="N5418">
        <f t="shared" si="342"/>
        <v>0</v>
      </c>
      <c r="O5418" t="str">
        <f t="shared" si="343"/>
        <v>Proposta Ok</v>
      </c>
    </row>
    <row r="5419" spans="12:15" x14ac:dyDescent="0.25">
      <c r="L5419">
        <f t="shared" si="340"/>
        <v>0</v>
      </c>
      <c r="M5419">
        <f t="shared" si="341"/>
        <v>1</v>
      </c>
      <c r="N5419">
        <f t="shared" si="342"/>
        <v>0</v>
      </c>
      <c r="O5419" t="str">
        <f t="shared" si="343"/>
        <v>Proposta Ok</v>
      </c>
    </row>
    <row r="5420" spans="12:15" x14ac:dyDescent="0.25">
      <c r="L5420">
        <f t="shared" si="340"/>
        <v>0</v>
      </c>
      <c r="M5420">
        <f t="shared" si="341"/>
        <v>1</v>
      </c>
      <c r="N5420">
        <f t="shared" si="342"/>
        <v>0</v>
      </c>
      <c r="O5420" t="str">
        <f t="shared" si="343"/>
        <v>Proposta Ok</v>
      </c>
    </row>
    <row r="5421" spans="12:15" x14ac:dyDescent="0.25">
      <c r="L5421">
        <f t="shared" si="340"/>
        <v>0</v>
      </c>
      <c r="M5421">
        <f t="shared" si="341"/>
        <v>1</v>
      </c>
      <c r="N5421">
        <f t="shared" si="342"/>
        <v>0</v>
      </c>
      <c r="O5421" t="str">
        <f t="shared" si="343"/>
        <v>Proposta Ok</v>
      </c>
    </row>
    <row r="5422" spans="12:15" x14ac:dyDescent="0.25">
      <c r="L5422">
        <f t="shared" si="340"/>
        <v>0</v>
      </c>
      <c r="M5422">
        <f t="shared" si="341"/>
        <v>1</v>
      </c>
      <c r="N5422">
        <f t="shared" si="342"/>
        <v>0</v>
      </c>
      <c r="O5422" t="str">
        <f t="shared" si="343"/>
        <v>Proposta Ok</v>
      </c>
    </row>
    <row r="5423" spans="12:15" x14ac:dyDescent="0.25">
      <c r="L5423">
        <f t="shared" si="340"/>
        <v>0</v>
      </c>
      <c r="M5423">
        <f t="shared" si="341"/>
        <v>1</v>
      </c>
      <c r="N5423">
        <f t="shared" si="342"/>
        <v>0</v>
      </c>
      <c r="O5423" t="str">
        <f t="shared" si="343"/>
        <v>Proposta Ok</v>
      </c>
    </row>
    <row r="5424" spans="12:15" x14ac:dyDescent="0.25">
      <c r="L5424">
        <f t="shared" si="340"/>
        <v>0</v>
      </c>
      <c r="M5424">
        <f t="shared" si="341"/>
        <v>1</v>
      </c>
      <c r="N5424">
        <f t="shared" si="342"/>
        <v>0</v>
      </c>
      <c r="O5424" t="str">
        <f t="shared" si="343"/>
        <v>Proposta Ok</v>
      </c>
    </row>
    <row r="5425" spans="12:15" x14ac:dyDescent="0.25">
      <c r="L5425">
        <f t="shared" si="340"/>
        <v>0</v>
      </c>
      <c r="M5425">
        <f t="shared" si="341"/>
        <v>1</v>
      </c>
      <c r="N5425">
        <f t="shared" si="342"/>
        <v>0</v>
      </c>
      <c r="O5425" t="str">
        <f t="shared" si="343"/>
        <v>Proposta Ok</v>
      </c>
    </row>
    <row r="5426" spans="12:15" x14ac:dyDescent="0.25">
      <c r="L5426">
        <f t="shared" si="340"/>
        <v>0</v>
      </c>
      <c r="M5426">
        <f t="shared" si="341"/>
        <v>1</v>
      </c>
      <c r="N5426">
        <f t="shared" si="342"/>
        <v>0</v>
      </c>
      <c r="O5426" t="str">
        <f t="shared" si="343"/>
        <v>Proposta Ok</v>
      </c>
    </row>
    <row r="5427" spans="12:15" x14ac:dyDescent="0.25">
      <c r="L5427">
        <f t="shared" si="340"/>
        <v>0</v>
      </c>
      <c r="M5427">
        <f t="shared" si="341"/>
        <v>1</v>
      </c>
      <c r="N5427">
        <f t="shared" si="342"/>
        <v>0</v>
      </c>
      <c r="O5427" t="str">
        <f t="shared" si="343"/>
        <v>Proposta Ok</v>
      </c>
    </row>
    <row r="5428" spans="12:15" x14ac:dyDescent="0.25">
      <c r="L5428">
        <f t="shared" si="340"/>
        <v>0</v>
      </c>
      <c r="M5428">
        <f t="shared" si="341"/>
        <v>1</v>
      </c>
      <c r="N5428">
        <f t="shared" si="342"/>
        <v>0</v>
      </c>
      <c r="O5428" t="str">
        <f t="shared" si="343"/>
        <v>Proposta Ok</v>
      </c>
    </row>
    <row r="5429" spans="12:15" x14ac:dyDescent="0.25">
      <c r="L5429">
        <f t="shared" si="340"/>
        <v>0</v>
      </c>
      <c r="M5429">
        <f t="shared" si="341"/>
        <v>1</v>
      </c>
      <c r="N5429">
        <f t="shared" si="342"/>
        <v>0</v>
      </c>
      <c r="O5429" t="str">
        <f t="shared" si="343"/>
        <v>Proposta Ok</v>
      </c>
    </row>
    <row r="5430" spans="12:15" x14ac:dyDescent="0.25">
      <c r="L5430">
        <f t="shared" si="340"/>
        <v>0</v>
      </c>
      <c r="M5430">
        <f t="shared" si="341"/>
        <v>1</v>
      </c>
      <c r="N5430">
        <f t="shared" si="342"/>
        <v>0</v>
      </c>
      <c r="O5430" t="str">
        <f t="shared" si="343"/>
        <v>Proposta Ok</v>
      </c>
    </row>
    <row r="5431" spans="12:15" x14ac:dyDescent="0.25">
      <c r="L5431">
        <f t="shared" si="340"/>
        <v>0</v>
      </c>
      <c r="M5431">
        <f t="shared" si="341"/>
        <v>1</v>
      </c>
      <c r="N5431">
        <f t="shared" si="342"/>
        <v>0</v>
      </c>
      <c r="O5431" t="str">
        <f t="shared" si="343"/>
        <v>Proposta Ok</v>
      </c>
    </row>
    <row r="5432" spans="12:15" x14ac:dyDescent="0.25">
      <c r="L5432">
        <f t="shared" si="340"/>
        <v>0</v>
      </c>
      <c r="M5432">
        <f t="shared" si="341"/>
        <v>1</v>
      </c>
      <c r="N5432">
        <f t="shared" si="342"/>
        <v>0</v>
      </c>
      <c r="O5432" t="str">
        <f t="shared" si="343"/>
        <v>Proposta Ok</v>
      </c>
    </row>
    <row r="5433" spans="12:15" x14ac:dyDescent="0.25">
      <c r="L5433">
        <f t="shared" si="340"/>
        <v>0</v>
      </c>
      <c r="M5433">
        <f t="shared" si="341"/>
        <v>1</v>
      </c>
      <c r="N5433">
        <f t="shared" si="342"/>
        <v>0</v>
      </c>
      <c r="O5433" t="str">
        <f t="shared" si="343"/>
        <v>Proposta Ok</v>
      </c>
    </row>
    <row r="5434" spans="12:15" x14ac:dyDescent="0.25">
      <c r="L5434">
        <f t="shared" si="340"/>
        <v>0</v>
      </c>
      <c r="M5434">
        <f t="shared" si="341"/>
        <v>1</v>
      </c>
      <c r="N5434">
        <f t="shared" si="342"/>
        <v>0</v>
      </c>
      <c r="O5434" t="str">
        <f t="shared" si="343"/>
        <v>Proposta Ok</v>
      </c>
    </row>
    <row r="5435" spans="12:15" x14ac:dyDescent="0.25">
      <c r="L5435">
        <f t="shared" si="340"/>
        <v>0</v>
      </c>
      <c r="M5435">
        <f t="shared" si="341"/>
        <v>1</v>
      </c>
      <c r="N5435">
        <f t="shared" si="342"/>
        <v>0</v>
      </c>
      <c r="O5435" t="str">
        <f t="shared" si="343"/>
        <v>Proposta Ok</v>
      </c>
    </row>
    <row r="5436" spans="12:15" x14ac:dyDescent="0.25">
      <c r="L5436">
        <f t="shared" si="340"/>
        <v>0</v>
      </c>
      <c r="M5436">
        <f t="shared" si="341"/>
        <v>1</v>
      </c>
      <c r="N5436">
        <f t="shared" si="342"/>
        <v>0</v>
      </c>
      <c r="O5436" t="str">
        <f t="shared" si="343"/>
        <v>Proposta Ok</v>
      </c>
    </row>
    <row r="5437" spans="12:15" x14ac:dyDescent="0.25">
      <c r="L5437">
        <f t="shared" si="340"/>
        <v>0</v>
      </c>
      <c r="M5437">
        <f t="shared" si="341"/>
        <v>1</v>
      </c>
      <c r="N5437">
        <f t="shared" si="342"/>
        <v>0</v>
      </c>
      <c r="O5437" t="str">
        <f t="shared" si="343"/>
        <v>Proposta Ok</v>
      </c>
    </row>
    <row r="5438" spans="12:15" x14ac:dyDescent="0.25">
      <c r="L5438">
        <f t="shared" si="340"/>
        <v>0</v>
      </c>
      <c r="M5438">
        <f t="shared" si="341"/>
        <v>1</v>
      </c>
      <c r="N5438">
        <f t="shared" si="342"/>
        <v>0</v>
      </c>
      <c r="O5438" t="str">
        <f t="shared" si="343"/>
        <v>Proposta Ok</v>
      </c>
    </row>
    <row r="5439" spans="12:15" x14ac:dyDescent="0.25">
      <c r="L5439">
        <f t="shared" si="340"/>
        <v>0</v>
      </c>
      <c r="M5439">
        <f t="shared" si="341"/>
        <v>1</v>
      </c>
      <c r="N5439">
        <f t="shared" si="342"/>
        <v>0</v>
      </c>
      <c r="O5439" t="str">
        <f t="shared" si="343"/>
        <v>Proposta Ok</v>
      </c>
    </row>
    <row r="5440" spans="12:15" x14ac:dyDescent="0.25">
      <c r="L5440">
        <f t="shared" si="340"/>
        <v>0</v>
      </c>
      <c r="M5440">
        <f t="shared" si="341"/>
        <v>1</v>
      </c>
      <c r="N5440">
        <f t="shared" si="342"/>
        <v>0</v>
      </c>
      <c r="O5440" t="str">
        <f t="shared" si="343"/>
        <v>Proposta Ok</v>
      </c>
    </row>
    <row r="5441" spans="12:15" x14ac:dyDescent="0.25">
      <c r="L5441">
        <f t="shared" si="340"/>
        <v>0</v>
      </c>
      <c r="M5441">
        <f t="shared" si="341"/>
        <v>1</v>
      </c>
      <c r="N5441">
        <f t="shared" si="342"/>
        <v>0</v>
      </c>
      <c r="O5441" t="str">
        <f t="shared" si="343"/>
        <v>Proposta Ok</v>
      </c>
    </row>
    <row r="5442" spans="12:15" x14ac:dyDescent="0.25">
      <c r="L5442">
        <f t="shared" si="340"/>
        <v>0</v>
      </c>
      <c r="M5442">
        <f t="shared" si="341"/>
        <v>1</v>
      </c>
      <c r="N5442">
        <f t="shared" si="342"/>
        <v>0</v>
      </c>
      <c r="O5442" t="str">
        <f t="shared" si="343"/>
        <v>Proposta Ok</v>
      </c>
    </row>
    <row r="5443" spans="12:15" x14ac:dyDescent="0.25">
      <c r="L5443">
        <f t="shared" si="340"/>
        <v>0</v>
      </c>
      <c r="M5443">
        <f t="shared" si="341"/>
        <v>1</v>
      </c>
      <c r="N5443">
        <f t="shared" si="342"/>
        <v>0</v>
      </c>
      <c r="O5443" t="str">
        <f t="shared" si="343"/>
        <v>Proposta Ok</v>
      </c>
    </row>
    <row r="5444" spans="12:15" x14ac:dyDescent="0.25">
      <c r="L5444">
        <f t="shared" si="340"/>
        <v>0</v>
      </c>
      <c r="M5444">
        <f t="shared" si="341"/>
        <v>1</v>
      </c>
      <c r="N5444">
        <f t="shared" si="342"/>
        <v>0</v>
      </c>
      <c r="O5444" t="str">
        <f t="shared" si="343"/>
        <v>Proposta Ok</v>
      </c>
    </row>
    <row r="5445" spans="12:15" x14ac:dyDescent="0.25">
      <c r="L5445">
        <f t="shared" si="340"/>
        <v>0</v>
      </c>
      <c r="M5445">
        <f t="shared" si="341"/>
        <v>1</v>
      </c>
      <c r="N5445">
        <f t="shared" si="342"/>
        <v>0</v>
      </c>
      <c r="O5445" t="str">
        <f t="shared" si="343"/>
        <v>Proposta Ok</v>
      </c>
    </row>
    <row r="5446" spans="12:15" x14ac:dyDescent="0.25">
      <c r="L5446">
        <f t="shared" si="340"/>
        <v>0</v>
      </c>
      <c r="M5446">
        <f t="shared" si="341"/>
        <v>1</v>
      </c>
      <c r="N5446">
        <f t="shared" si="342"/>
        <v>0</v>
      </c>
      <c r="O5446" t="str">
        <f t="shared" si="343"/>
        <v>Proposta Ok</v>
      </c>
    </row>
    <row r="5447" spans="12:15" x14ac:dyDescent="0.25">
      <c r="L5447">
        <f t="shared" si="340"/>
        <v>0</v>
      </c>
      <c r="M5447">
        <f t="shared" si="341"/>
        <v>1</v>
      </c>
      <c r="N5447">
        <f t="shared" si="342"/>
        <v>0</v>
      </c>
      <c r="O5447" t="str">
        <f t="shared" si="343"/>
        <v>Proposta Ok</v>
      </c>
    </row>
    <row r="5448" spans="12:15" x14ac:dyDescent="0.25">
      <c r="L5448">
        <f t="shared" si="340"/>
        <v>0</v>
      </c>
      <c r="M5448">
        <f t="shared" si="341"/>
        <v>1</v>
      </c>
      <c r="N5448">
        <f t="shared" si="342"/>
        <v>0</v>
      </c>
      <c r="O5448" t="str">
        <f t="shared" si="343"/>
        <v>Proposta Ok</v>
      </c>
    </row>
    <row r="5449" spans="12:15" x14ac:dyDescent="0.25">
      <c r="L5449">
        <f t="shared" si="340"/>
        <v>0</v>
      </c>
      <c r="M5449">
        <f t="shared" si="341"/>
        <v>1</v>
      </c>
      <c r="N5449">
        <f t="shared" si="342"/>
        <v>0</v>
      </c>
      <c r="O5449" t="str">
        <f t="shared" si="343"/>
        <v>Proposta Ok</v>
      </c>
    </row>
    <row r="5450" spans="12:15" x14ac:dyDescent="0.25">
      <c r="L5450">
        <f t="shared" si="340"/>
        <v>0</v>
      </c>
      <c r="M5450">
        <f t="shared" si="341"/>
        <v>1</v>
      </c>
      <c r="N5450">
        <f t="shared" si="342"/>
        <v>0</v>
      </c>
      <c r="O5450" t="str">
        <f t="shared" si="343"/>
        <v>Proposta Ok</v>
      </c>
    </row>
    <row r="5451" spans="12:15" x14ac:dyDescent="0.25">
      <c r="L5451">
        <f t="shared" si="340"/>
        <v>0</v>
      </c>
      <c r="M5451">
        <f t="shared" si="341"/>
        <v>1</v>
      </c>
      <c r="N5451">
        <f t="shared" si="342"/>
        <v>0</v>
      </c>
      <c r="O5451" t="str">
        <f t="shared" si="343"/>
        <v>Proposta Ok</v>
      </c>
    </row>
    <row r="5452" spans="12:15" x14ac:dyDescent="0.25">
      <c r="L5452">
        <f t="shared" si="340"/>
        <v>0</v>
      </c>
      <c r="M5452">
        <f t="shared" si="341"/>
        <v>1</v>
      </c>
      <c r="N5452">
        <f t="shared" si="342"/>
        <v>0</v>
      </c>
      <c r="O5452" t="str">
        <f t="shared" si="343"/>
        <v>Proposta Ok</v>
      </c>
    </row>
    <row r="5453" spans="12:15" x14ac:dyDescent="0.25">
      <c r="L5453">
        <f t="shared" si="340"/>
        <v>0</v>
      </c>
      <c r="M5453">
        <f t="shared" si="341"/>
        <v>1</v>
      </c>
      <c r="N5453">
        <f t="shared" si="342"/>
        <v>0</v>
      </c>
      <c r="O5453" t="str">
        <f t="shared" si="343"/>
        <v>Proposta Ok</v>
      </c>
    </row>
    <row r="5454" spans="12:15" x14ac:dyDescent="0.25">
      <c r="L5454">
        <f t="shared" si="340"/>
        <v>0</v>
      </c>
      <c r="M5454">
        <f t="shared" si="341"/>
        <v>1</v>
      </c>
      <c r="N5454">
        <f t="shared" si="342"/>
        <v>0</v>
      </c>
      <c r="O5454" t="str">
        <f t="shared" si="343"/>
        <v>Proposta Ok</v>
      </c>
    </row>
    <row r="5455" spans="12:15" x14ac:dyDescent="0.25">
      <c r="L5455">
        <f t="shared" si="340"/>
        <v>0</v>
      </c>
      <c r="M5455">
        <f t="shared" si="341"/>
        <v>1</v>
      </c>
      <c r="N5455">
        <f t="shared" si="342"/>
        <v>0</v>
      </c>
      <c r="O5455" t="str">
        <f t="shared" si="343"/>
        <v>Proposta Ok</v>
      </c>
    </row>
    <row r="5456" spans="12:15" x14ac:dyDescent="0.25">
      <c r="L5456">
        <f t="shared" si="340"/>
        <v>0</v>
      </c>
      <c r="M5456">
        <f t="shared" si="341"/>
        <v>1</v>
      </c>
      <c r="N5456">
        <f t="shared" si="342"/>
        <v>0</v>
      </c>
      <c r="O5456" t="str">
        <f t="shared" si="343"/>
        <v>Proposta Ok</v>
      </c>
    </row>
    <row r="5457" spans="12:15" x14ac:dyDescent="0.25">
      <c r="L5457">
        <f t="shared" si="340"/>
        <v>0</v>
      </c>
      <c r="M5457">
        <f t="shared" si="341"/>
        <v>1</v>
      </c>
      <c r="N5457">
        <f t="shared" si="342"/>
        <v>0</v>
      </c>
      <c r="O5457" t="str">
        <f t="shared" si="343"/>
        <v>Proposta Ok</v>
      </c>
    </row>
    <row r="5458" spans="12:15" x14ac:dyDescent="0.25">
      <c r="L5458">
        <f t="shared" si="340"/>
        <v>0</v>
      </c>
      <c r="M5458">
        <f t="shared" si="341"/>
        <v>1</v>
      </c>
      <c r="N5458">
        <f t="shared" si="342"/>
        <v>0</v>
      </c>
      <c r="O5458" t="str">
        <f t="shared" si="343"/>
        <v>Proposta Ok</v>
      </c>
    </row>
    <row r="5459" spans="12:15" x14ac:dyDescent="0.25">
      <c r="L5459">
        <f t="shared" si="340"/>
        <v>0</v>
      </c>
      <c r="M5459">
        <f t="shared" si="341"/>
        <v>1</v>
      </c>
      <c r="N5459">
        <f t="shared" si="342"/>
        <v>0</v>
      </c>
      <c r="O5459" t="str">
        <f t="shared" si="343"/>
        <v>Proposta Ok</v>
      </c>
    </row>
    <row r="5460" spans="12:15" x14ac:dyDescent="0.25">
      <c r="L5460">
        <f t="shared" si="340"/>
        <v>0</v>
      </c>
      <c r="M5460">
        <f t="shared" si="341"/>
        <v>1</v>
      </c>
      <c r="N5460">
        <f t="shared" si="342"/>
        <v>0</v>
      </c>
      <c r="O5460" t="str">
        <f t="shared" si="343"/>
        <v>Proposta Ok</v>
      </c>
    </row>
    <row r="5461" spans="12:15" x14ac:dyDescent="0.25">
      <c r="L5461">
        <f t="shared" si="340"/>
        <v>0</v>
      </c>
      <c r="M5461">
        <f t="shared" si="341"/>
        <v>1</v>
      </c>
      <c r="N5461">
        <f t="shared" si="342"/>
        <v>0</v>
      </c>
      <c r="O5461" t="str">
        <f t="shared" si="343"/>
        <v>Proposta Ok</v>
      </c>
    </row>
    <row r="5462" spans="12:15" x14ac:dyDescent="0.25">
      <c r="L5462">
        <f t="shared" si="340"/>
        <v>0</v>
      </c>
      <c r="M5462">
        <f t="shared" si="341"/>
        <v>1</v>
      </c>
      <c r="N5462">
        <f t="shared" si="342"/>
        <v>0</v>
      </c>
      <c r="O5462" t="str">
        <f t="shared" si="343"/>
        <v>Proposta Ok</v>
      </c>
    </row>
    <row r="5463" spans="12:15" x14ac:dyDescent="0.25">
      <c r="L5463">
        <f t="shared" si="340"/>
        <v>0</v>
      </c>
      <c r="M5463">
        <f t="shared" si="341"/>
        <v>1</v>
      </c>
      <c r="N5463">
        <f t="shared" si="342"/>
        <v>0</v>
      </c>
      <c r="O5463" t="str">
        <f t="shared" si="343"/>
        <v>Proposta Ok</v>
      </c>
    </row>
    <row r="5464" spans="12:15" x14ac:dyDescent="0.25">
      <c r="L5464">
        <f t="shared" si="340"/>
        <v>0</v>
      </c>
      <c r="M5464">
        <f t="shared" si="341"/>
        <v>1</v>
      </c>
      <c r="N5464">
        <f t="shared" si="342"/>
        <v>0</v>
      </c>
      <c r="O5464" t="str">
        <f t="shared" si="343"/>
        <v>Proposta Ok</v>
      </c>
    </row>
    <row r="5465" spans="12:15" x14ac:dyDescent="0.25">
      <c r="L5465">
        <f t="shared" si="340"/>
        <v>0</v>
      </c>
      <c r="M5465">
        <f t="shared" si="341"/>
        <v>1</v>
      </c>
      <c r="N5465">
        <f t="shared" si="342"/>
        <v>0</v>
      </c>
      <c r="O5465" t="str">
        <f t="shared" si="343"/>
        <v>Proposta Ok</v>
      </c>
    </row>
    <row r="5466" spans="12:15" x14ac:dyDescent="0.25">
      <c r="L5466">
        <f t="shared" si="340"/>
        <v>0</v>
      </c>
      <c r="M5466">
        <f t="shared" si="341"/>
        <v>1</v>
      </c>
      <c r="N5466">
        <f t="shared" si="342"/>
        <v>0</v>
      </c>
      <c r="O5466" t="str">
        <f t="shared" si="343"/>
        <v>Proposta Ok</v>
      </c>
    </row>
    <row r="5467" spans="12:15" x14ac:dyDescent="0.25">
      <c r="L5467">
        <f t="shared" ref="L5467:L5530" si="344">IF(OR(I5467="Termo OK (Exceção)",I5467="Termo OK"),1,0)</f>
        <v>0</v>
      </c>
      <c r="M5467">
        <f t="shared" ref="M5467:M5530" si="345">IF(OR(I5467="Termo OK (Exceção)",I5467="Termo OK"),0,1)</f>
        <v>1</v>
      </c>
      <c r="N5467">
        <f t="shared" ref="N5467:N5530" si="346">IF(J5467="SIM",1,0)</f>
        <v>0</v>
      </c>
      <c r="O5467" t="str">
        <f t="shared" ref="O5467:O5530" si="347">IF(SUMIFS(M:M,A:A,A5467)&gt;0,"Proposta não Ok","Proposta Ok")</f>
        <v>Proposta Ok</v>
      </c>
    </row>
    <row r="5468" spans="12:15" x14ac:dyDescent="0.25">
      <c r="L5468">
        <f t="shared" si="344"/>
        <v>0</v>
      </c>
      <c r="M5468">
        <f t="shared" si="345"/>
        <v>1</v>
      </c>
      <c r="N5468">
        <f t="shared" si="346"/>
        <v>0</v>
      </c>
      <c r="O5468" t="str">
        <f t="shared" si="347"/>
        <v>Proposta Ok</v>
      </c>
    </row>
    <row r="5469" spans="12:15" x14ac:dyDescent="0.25">
      <c r="L5469">
        <f t="shared" si="344"/>
        <v>0</v>
      </c>
      <c r="M5469">
        <f t="shared" si="345"/>
        <v>1</v>
      </c>
      <c r="N5469">
        <f t="shared" si="346"/>
        <v>0</v>
      </c>
      <c r="O5469" t="str">
        <f t="shared" si="347"/>
        <v>Proposta Ok</v>
      </c>
    </row>
    <row r="5470" spans="12:15" x14ac:dyDescent="0.25">
      <c r="L5470">
        <f t="shared" si="344"/>
        <v>0</v>
      </c>
      <c r="M5470">
        <f t="shared" si="345"/>
        <v>1</v>
      </c>
      <c r="N5470">
        <f t="shared" si="346"/>
        <v>0</v>
      </c>
      <c r="O5470" t="str">
        <f t="shared" si="347"/>
        <v>Proposta Ok</v>
      </c>
    </row>
    <row r="5471" spans="12:15" x14ac:dyDescent="0.25">
      <c r="L5471">
        <f t="shared" si="344"/>
        <v>0</v>
      </c>
      <c r="M5471">
        <f t="shared" si="345"/>
        <v>1</v>
      </c>
      <c r="N5471">
        <f t="shared" si="346"/>
        <v>0</v>
      </c>
      <c r="O5471" t="str">
        <f t="shared" si="347"/>
        <v>Proposta Ok</v>
      </c>
    </row>
    <row r="5472" spans="12:15" x14ac:dyDescent="0.25">
      <c r="L5472">
        <f t="shared" si="344"/>
        <v>0</v>
      </c>
      <c r="M5472">
        <f t="shared" si="345"/>
        <v>1</v>
      </c>
      <c r="N5472">
        <f t="shared" si="346"/>
        <v>0</v>
      </c>
      <c r="O5472" t="str">
        <f t="shared" si="347"/>
        <v>Proposta Ok</v>
      </c>
    </row>
    <row r="5473" spans="12:15" x14ac:dyDescent="0.25">
      <c r="L5473">
        <f t="shared" si="344"/>
        <v>0</v>
      </c>
      <c r="M5473">
        <f t="shared" si="345"/>
        <v>1</v>
      </c>
      <c r="N5473">
        <f t="shared" si="346"/>
        <v>0</v>
      </c>
      <c r="O5473" t="str">
        <f t="shared" si="347"/>
        <v>Proposta Ok</v>
      </c>
    </row>
    <row r="5474" spans="12:15" x14ac:dyDescent="0.25">
      <c r="L5474">
        <f t="shared" si="344"/>
        <v>0</v>
      </c>
      <c r="M5474">
        <f t="shared" si="345"/>
        <v>1</v>
      </c>
      <c r="N5474">
        <f t="shared" si="346"/>
        <v>0</v>
      </c>
      <c r="O5474" t="str">
        <f t="shared" si="347"/>
        <v>Proposta Ok</v>
      </c>
    </row>
    <row r="5475" spans="12:15" x14ac:dyDescent="0.25">
      <c r="L5475">
        <f t="shared" si="344"/>
        <v>0</v>
      </c>
      <c r="M5475">
        <f t="shared" si="345"/>
        <v>1</v>
      </c>
      <c r="N5475">
        <f t="shared" si="346"/>
        <v>0</v>
      </c>
      <c r="O5475" t="str">
        <f t="shared" si="347"/>
        <v>Proposta Ok</v>
      </c>
    </row>
    <row r="5476" spans="12:15" x14ac:dyDescent="0.25">
      <c r="L5476">
        <f t="shared" si="344"/>
        <v>0</v>
      </c>
      <c r="M5476">
        <f t="shared" si="345"/>
        <v>1</v>
      </c>
      <c r="N5476">
        <f t="shared" si="346"/>
        <v>0</v>
      </c>
      <c r="O5476" t="str">
        <f t="shared" si="347"/>
        <v>Proposta Ok</v>
      </c>
    </row>
    <row r="5477" spans="12:15" x14ac:dyDescent="0.25">
      <c r="L5477">
        <f t="shared" si="344"/>
        <v>0</v>
      </c>
      <c r="M5477">
        <f t="shared" si="345"/>
        <v>1</v>
      </c>
      <c r="N5477">
        <f t="shared" si="346"/>
        <v>0</v>
      </c>
      <c r="O5477" t="str">
        <f t="shared" si="347"/>
        <v>Proposta Ok</v>
      </c>
    </row>
    <row r="5478" spans="12:15" x14ac:dyDescent="0.25">
      <c r="L5478">
        <f t="shared" si="344"/>
        <v>0</v>
      </c>
      <c r="M5478">
        <f t="shared" si="345"/>
        <v>1</v>
      </c>
      <c r="N5478">
        <f t="shared" si="346"/>
        <v>0</v>
      </c>
      <c r="O5478" t="str">
        <f t="shared" si="347"/>
        <v>Proposta Ok</v>
      </c>
    </row>
    <row r="5479" spans="12:15" x14ac:dyDescent="0.25">
      <c r="L5479">
        <f t="shared" si="344"/>
        <v>0</v>
      </c>
      <c r="M5479">
        <f t="shared" si="345"/>
        <v>1</v>
      </c>
      <c r="N5479">
        <f t="shared" si="346"/>
        <v>0</v>
      </c>
      <c r="O5479" t="str">
        <f t="shared" si="347"/>
        <v>Proposta Ok</v>
      </c>
    </row>
    <row r="5480" spans="12:15" x14ac:dyDescent="0.25">
      <c r="L5480">
        <f t="shared" si="344"/>
        <v>0</v>
      </c>
      <c r="M5480">
        <f t="shared" si="345"/>
        <v>1</v>
      </c>
      <c r="N5480">
        <f t="shared" si="346"/>
        <v>0</v>
      </c>
      <c r="O5480" t="str">
        <f t="shared" si="347"/>
        <v>Proposta Ok</v>
      </c>
    </row>
    <row r="5481" spans="12:15" x14ac:dyDescent="0.25">
      <c r="L5481">
        <f t="shared" si="344"/>
        <v>0</v>
      </c>
      <c r="M5481">
        <f t="shared" si="345"/>
        <v>1</v>
      </c>
      <c r="N5481">
        <f t="shared" si="346"/>
        <v>0</v>
      </c>
      <c r="O5481" t="str">
        <f t="shared" si="347"/>
        <v>Proposta Ok</v>
      </c>
    </row>
    <row r="5482" spans="12:15" x14ac:dyDescent="0.25">
      <c r="L5482">
        <f t="shared" si="344"/>
        <v>0</v>
      </c>
      <c r="M5482">
        <f t="shared" si="345"/>
        <v>1</v>
      </c>
      <c r="N5482">
        <f t="shared" si="346"/>
        <v>0</v>
      </c>
      <c r="O5482" t="str">
        <f t="shared" si="347"/>
        <v>Proposta Ok</v>
      </c>
    </row>
    <row r="5483" spans="12:15" x14ac:dyDescent="0.25">
      <c r="L5483">
        <f t="shared" si="344"/>
        <v>0</v>
      </c>
      <c r="M5483">
        <f t="shared" si="345"/>
        <v>1</v>
      </c>
      <c r="N5483">
        <f t="shared" si="346"/>
        <v>0</v>
      </c>
      <c r="O5483" t="str">
        <f t="shared" si="347"/>
        <v>Proposta Ok</v>
      </c>
    </row>
    <row r="5484" spans="12:15" x14ac:dyDescent="0.25">
      <c r="L5484">
        <f t="shared" si="344"/>
        <v>0</v>
      </c>
      <c r="M5484">
        <f t="shared" si="345"/>
        <v>1</v>
      </c>
      <c r="N5484">
        <f t="shared" si="346"/>
        <v>0</v>
      </c>
      <c r="O5484" t="str">
        <f t="shared" si="347"/>
        <v>Proposta Ok</v>
      </c>
    </row>
    <row r="5485" spans="12:15" x14ac:dyDescent="0.25">
      <c r="L5485">
        <f t="shared" si="344"/>
        <v>0</v>
      </c>
      <c r="M5485">
        <f t="shared" si="345"/>
        <v>1</v>
      </c>
      <c r="N5485">
        <f t="shared" si="346"/>
        <v>0</v>
      </c>
      <c r="O5485" t="str">
        <f t="shared" si="347"/>
        <v>Proposta Ok</v>
      </c>
    </row>
    <row r="5486" spans="12:15" x14ac:dyDescent="0.25">
      <c r="L5486">
        <f t="shared" si="344"/>
        <v>0</v>
      </c>
      <c r="M5486">
        <f t="shared" si="345"/>
        <v>1</v>
      </c>
      <c r="N5486">
        <f t="shared" si="346"/>
        <v>0</v>
      </c>
      <c r="O5486" t="str">
        <f t="shared" si="347"/>
        <v>Proposta Ok</v>
      </c>
    </row>
    <row r="5487" spans="12:15" x14ac:dyDescent="0.25">
      <c r="L5487">
        <f t="shared" si="344"/>
        <v>0</v>
      </c>
      <c r="M5487">
        <f t="shared" si="345"/>
        <v>1</v>
      </c>
      <c r="N5487">
        <f t="shared" si="346"/>
        <v>0</v>
      </c>
      <c r="O5487" t="str">
        <f t="shared" si="347"/>
        <v>Proposta Ok</v>
      </c>
    </row>
    <row r="5488" spans="12:15" x14ac:dyDescent="0.25">
      <c r="L5488">
        <f t="shared" si="344"/>
        <v>0</v>
      </c>
      <c r="M5488">
        <f t="shared" si="345"/>
        <v>1</v>
      </c>
      <c r="N5488">
        <f t="shared" si="346"/>
        <v>0</v>
      </c>
      <c r="O5488" t="str">
        <f t="shared" si="347"/>
        <v>Proposta Ok</v>
      </c>
    </row>
    <row r="5489" spans="12:15" x14ac:dyDescent="0.25">
      <c r="L5489">
        <f t="shared" si="344"/>
        <v>0</v>
      </c>
      <c r="M5489">
        <f t="shared" si="345"/>
        <v>1</v>
      </c>
      <c r="N5489">
        <f t="shared" si="346"/>
        <v>0</v>
      </c>
      <c r="O5489" t="str">
        <f t="shared" si="347"/>
        <v>Proposta Ok</v>
      </c>
    </row>
    <row r="5490" spans="12:15" x14ac:dyDescent="0.25">
      <c r="L5490">
        <f t="shared" si="344"/>
        <v>0</v>
      </c>
      <c r="M5490">
        <f t="shared" si="345"/>
        <v>1</v>
      </c>
      <c r="N5490">
        <f t="shared" si="346"/>
        <v>0</v>
      </c>
      <c r="O5490" t="str">
        <f t="shared" si="347"/>
        <v>Proposta Ok</v>
      </c>
    </row>
    <row r="5491" spans="12:15" x14ac:dyDescent="0.25">
      <c r="L5491">
        <f t="shared" si="344"/>
        <v>0</v>
      </c>
      <c r="M5491">
        <f t="shared" si="345"/>
        <v>1</v>
      </c>
      <c r="N5491">
        <f t="shared" si="346"/>
        <v>0</v>
      </c>
      <c r="O5491" t="str">
        <f t="shared" si="347"/>
        <v>Proposta Ok</v>
      </c>
    </row>
    <row r="5492" spans="12:15" x14ac:dyDescent="0.25">
      <c r="L5492">
        <f t="shared" si="344"/>
        <v>0</v>
      </c>
      <c r="M5492">
        <f t="shared" si="345"/>
        <v>1</v>
      </c>
      <c r="N5492">
        <f t="shared" si="346"/>
        <v>0</v>
      </c>
      <c r="O5492" t="str">
        <f t="shared" si="347"/>
        <v>Proposta Ok</v>
      </c>
    </row>
    <row r="5493" spans="12:15" x14ac:dyDescent="0.25">
      <c r="L5493">
        <f t="shared" si="344"/>
        <v>0</v>
      </c>
      <c r="M5493">
        <f t="shared" si="345"/>
        <v>1</v>
      </c>
      <c r="N5493">
        <f t="shared" si="346"/>
        <v>0</v>
      </c>
      <c r="O5493" t="str">
        <f t="shared" si="347"/>
        <v>Proposta Ok</v>
      </c>
    </row>
    <row r="5494" spans="12:15" x14ac:dyDescent="0.25">
      <c r="L5494">
        <f t="shared" si="344"/>
        <v>0</v>
      </c>
      <c r="M5494">
        <f t="shared" si="345"/>
        <v>1</v>
      </c>
      <c r="N5494">
        <f t="shared" si="346"/>
        <v>0</v>
      </c>
      <c r="O5494" t="str">
        <f t="shared" si="347"/>
        <v>Proposta Ok</v>
      </c>
    </row>
    <row r="5495" spans="12:15" x14ac:dyDescent="0.25">
      <c r="L5495">
        <f t="shared" si="344"/>
        <v>0</v>
      </c>
      <c r="M5495">
        <f t="shared" si="345"/>
        <v>1</v>
      </c>
      <c r="N5495">
        <f t="shared" si="346"/>
        <v>0</v>
      </c>
      <c r="O5495" t="str">
        <f t="shared" si="347"/>
        <v>Proposta Ok</v>
      </c>
    </row>
    <row r="5496" spans="12:15" x14ac:dyDescent="0.25">
      <c r="L5496">
        <f t="shared" si="344"/>
        <v>0</v>
      </c>
      <c r="M5496">
        <f t="shared" si="345"/>
        <v>1</v>
      </c>
      <c r="N5496">
        <f t="shared" si="346"/>
        <v>0</v>
      </c>
      <c r="O5496" t="str">
        <f t="shared" si="347"/>
        <v>Proposta Ok</v>
      </c>
    </row>
    <row r="5497" spans="12:15" x14ac:dyDescent="0.25">
      <c r="L5497">
        <f t="shared" si="344"/>
        <v>0</v>
      </c>
      <c r="M5497">
        <f t="shared" si="345"/>
        <v>1</v>
      </c>
      <c r="N5497">
        <f t="shared" si="346"/>
        <v>0</v>
      </c>
      <c r="O5497" t="str">
        <f t="shared" si="347"/>
        <v>Proposta Ok</v>
      </c>
    </row>
    <row r="5498" spans="12:15" x14ac:dyDescent="0.25">
      <c r="L5498">
        <f t="shared" si="344"/>
        <v>0</v>
      </c>
      <c r="M5498">
        <f t="shared" si="345"/>
        <v>1</v>
      </c>
      <c r="N5498">
        <f t="shared" si="346"/>
        <v>0</v>
      </c>
      <c r="O5498" t="str">
        <f t="shared" si="347"/>
        <v>Proposta Ok</v>
      </c>
    </row>
    <row r="5499" spans="12:15" x14ac:dyDescent="0.25">
      <c r="L5499">
        <f t="shared" si="344"/>
        <v>0</v>
      </c>
      <c r="M5499">
        <f t="shared" si="345"/>
        <v>1</v>
      </c>
      <c r="N5499">
        <f t="shared" si="346"/>
        <v>0</v>
      </c>
      <c r="O5499" t="str">
        <f t="shared" si="347"/>
        <v>Proposta Ok</v>
      </c>
    </row>
    <row r="5500" spans="12:15" x14ac:dyDescent="0.25">
      <c r="L5500">
        <f t="shared" si="344"/>
        <v>0</v>
      </c>
      <c r="M5500">
        <f t="shared" si="345"/>
        <v>1</v>
      </c>
      <c r="N5500">
        <f t="shared" si="346"/>
        <v>0</v>
      </c>
      <c r="O5500" t="str">
        <f t="shared" si="347"/>
        <v>Proposta Ok</v>
      </c>
    </row>
    <row r="5501" spans="12:15" x14ac:dyDescent="0.25">
      <c r="L5501">
        <f t="shared" si="344"/>
        <v>0</v>
      </c>
      <c r="M5501">
        <f t="shared" si="345"/>
        <v>1</v>
      </c>
      <c r="N5501">
        <f t="shared" si="346"/>
        <v>0</v>
      </c>
      <c r="O5501" t="str">
        <f t="shared" si="347"/>
        <v>Proposta Ok</v>
      </c>
    </row>
    <row r="5502" spans="12:15" x14ac:dyDescent="0.25">
      <c r="L5502">
        <f t="shared" si="344"/>
        <v>0</v>
      </c>
      <c r="M5502">
        <f t="shared" si="345"/>
        <v>1</v>
      </c>
      <c r="N5502">
        <f t="shared" si="346"/>
        <v>0</v>
      </c>
      <c r="O5502" t="str">
        <f t="shared" si="347"/>
        <v>Proposta Ok</v>
      </c>
    </row>
    <row r="5503" spans="12:15" x14ac:dyDescent="0.25">
      <c r="L5503">
        <f t="shared" si="344"/>
        <v>0</v>
      </c>
      <c r="M5503">
        <f t="shared" si="345"/>
        <v>1</v>
      </c>
      <c r="N5503">
        <f t="shared" si="346"/>
        <v>0</v>
      </c>
      <c r="O5503" t="str">
        <f t="shared" si="347"/>
        <v>Proposta Ok</v>
      </c>
    </row>
    <row r="5504" spans="12:15" x14ac:dyDescent="0.25">
      <c r="L5504">
        <f t="shared" si="344"/>
        <v>0</v>
      </c>
      <c r="M5504">
        <f t="shared" si="345"/>
        <v>1</v>
      </c>
      <c r="N5504">
        <f t="shared" si="346"/>
        <v>0</v>
      </c>
      <c r="O5504" t="str">
        <f t="shared" si="347"/>
        <v>Proposta Ok</v>
      </c>
    </row>
    <row r="5505" spans="12:15" x14ac:dyDescent="0.25">
      <c r="L5505">
        <f t="shared" si="344"/>
        <v>0</v>
      </c>
      <c r="M5505">
        <f t="shared" si="345"/>
        <v>1</v>
      </c>
      <c r="N5505">
        <f t="shared" si="346"/>
        <v>0</v>
      </c>
      <c r="O5505" t="str">
        <f t="shared" si="347"/>
        <v>Proposta Ok</v>
      </c>
    </row>
    <row r="5506" spans="12:15" x14ac:dyDescent="0.25">
      <c r="L5506">
        <f t="shared" si="344"/>
        <v>0</v>
      </c>
      <c r="M5506">
        <f t="shared" si="345"/>
        <v>1</v>
      </c>
      <c r="N5506">
        <f t="shared" si="346"/>
        <v>0</v>
      </c>
      <c r="O5506" t="str">
        <f t="shared" si="347"/>
        <v>Proposta Ok</v>
      </c>
    </row>
    <row r="5507" spans="12:15" x14ac:dyDescent="0.25">
      <c r="L5507">
        <f t="shared" si="344"/>
        <v>0</v>
      </c>
      <c r="M5507">
        <f t="shared" si="345"/>
        <v>1</v>
      </c>
      <c r="N5507">
        <f t="shared" si="346"/>
        <v>0</v>
      </c>
      <c r="O5507" t="str">
        <f t="shared" si="347"/>
        <v>Proposta Ok</v>
      </c>
    </row>
    <row r="5508" spans="12:15" x14ac:dyDescent="0.25">
      <c r="L5508">
        <f t="shared" si="344"/>
        <v>0</v>
      </c>
      <c r="M5508">
        <f t="shared" si="345"/>
        <v>1</v>
      </c>
      <c r="N5508">
        <f t="shared" si="346"/>
        <v>0</v>
      </c>
      <c r="O5508" t="str">
        <f t="shared" si="347"/>
        <v>Proposta Ok</v>
      </c>
    </row>
    <row r="5509" spans="12:15" x14ac:dyDescent="0.25">
      <c r="L5509">
        <f t="shared" si="344"/>
        <v>0</v>
      </c>
      <c r="M5509">
        <f t="shared" si="345"/>
        <v>1</v>
      </c>
      <c r="N5509">
        <f t="shared" si="346"/>
        <v>0</v>
      </c>
      <c r="O5509" t="str">
        <f t="shared" si="347"/>
        <v>Proposta Ok</v>
      </c>
    </row>
    <row r="5510" spans="12:15" x14ac:dyDescent="0.25">
      <c r="L5510">
        <f t="shared" si="344"/>
        <v>0</v>
      </c>
      <c r="M5510">
        <f t="shared" si="345"/>
        <v>1</v>
      </c>
      <c r="N5510">
        <f t="shared" si="346"/>
        <v>0</v>
      </c>
      <c r="O5510" t="str">
        <f t="shared" si="347"/>
        <v>Proposta Ok</v>
      </c>
    </row>
    <row r="5511" spans="12:15" x14ac:dyDescent="0.25">
      <c r="L5511">
        <f t="shared" si="344"/>
        <v>0</v>
      </c>
      <c r="M5511">
        <f t="shared" si="345"/>
        <v>1</v>
      </c>
      <c r="N5511">
        <f t="shared" si="346"/>
        <v>0</v>
      </c>
      <c r="O5511" t="str">
        <f t="shared" si="347"/>
        <v>Proposta Ok</v>
      </c>
    </row>
    <row r="5512" spans="12:15" x14ac:dyDescent="0.25">
      <c r="L5512">
        <f t="shared" si="344"/>
        <v>0</v>
      </c>
      <c r="M5512">
        <f t="shared" si="345"/>
        <v>1</v>
      </c>
      <c r="N5512">
        <f t="shared" si="346"/>
        <v>0</v>
      </c>
      <c r="O5512" t="str">
        <f t="shared" si="347"/>
        <v>Proposta Ok</v>
      </c>
    </row>
    <row r="5513" spans="12:15" x14ac:dyDescent="0.25">
      <c r="L5513">
        <f t="shared" si="344"/>
        <v>0</v>
      </c>
      <c r="M5513">
        <f t="shared" si="345"/>
        <v>1</v>
      </c>
      <c r="N5513">
        <f t="shared" si="346"/>
        <v>0</v>
      </c>
      <c r="O5513" t="str">
        <f t="shared" si="347"/>
        <v>Proposta Ok</v>
      </c>
    </row>
    <row r="5514" spans="12:15" x14ac:dyDescent="0.25">
      <c r="L5514">
        <f t="shared" si="344"/>
        <v>0</v>
      </c>
      <c r="M5514">
        <f t="shared" si="345"/>
        <v>1</v>
      </c>
      <c r="N5514">
        <f t="shared" si="346"/>
        <v>0</v>
      </c>
      <c r="O5514" t="str">
        <f t="shared" si="347"/>
        <v>Proposta Ok</v>
      </c>
    </row>
    <row r="5515" spans="12:15" x14ac:dyDescent="0.25">
      <c r="L5515">
        <f t="shared" si="344"/>
        <v>0</v>
      </c>
      <c r="M5515">
        <f t="shared" si="345"/>
        <v>1</v>
      </c>
      <c r="N5515">
        <f t="shared" si="346"/>
        <v>0</v>
      </c>
      <c r="O5515" t="str">
        <f t="shared" si="347"/>
        <v>Proposta Ok</v>
      </c>
    </row>
    <row r="5516" spans="12:15" x14ac:dyDescent="0.25">
      <c r="L5516">
        <f t="shared" si="344"/>
        <v>0</v>
      </c>
      <c r="M5516">
        <f t="shared" si="345"/>
        <v>1</v>
      </c>
      <c r="N5516">
        <f t="shared" si="346"/>
        <v>0</v>
      </c>
      <c r="O5516" t="str">
        <f t="shared" si="347"/>
        <v>Proposta Ok</v>
      </c>
    </row>
    <row r="5517" spans="12:15" x14ac:dyDescent="0.25">
      <c r="L5517">
        <f t="shared" si="344"/>
        <v>0</v>
      </c>
      <c r="M5517">
        <f t="shared" si="345"/>
        <v>1</v>
      </c>
      <c r="N5517">
        <f t="shared" si="346"/>
        <v>0</v>
      </c>
      <c r="O5517" t="str">
        <f t="shared" si="347"/>
        <v>Proposta Ok</v>
      </c>
    </row>
    <row r="5518" spans="12:15" x14ac:dyDescent="0.25">
      <c r="L5518">
        <f t="shared" si="344"/>
        <v>0</v>
      </c>
      <c r="M5518">
        <f t="shared" si="345"/>
        <v>1</v>
      </c>
      <c r="N5518">
        <f t="shared" si="346"/>
        <v>0</v>
      </c>
      <c r="O5518" t="str">
        <f t="shared" si="347"/>
        <v>Proposta Ok</v>
      </c>
    </row>
    <row r="5519" spans="12:15" x14ac:dyDescent="0.25">
      <c r="L5519">
        <f t="shared" si="344"/>
        <v>0</v>
      </c>
      <c r="M5519">
        <f t="shared" si="345"/>
        <v>1</v>
      </c>
      <c r="N5519">
        <f t="shared" si="346"/>
        <v>0</v>
      </c>
      <c r="O5519" t="str">
        <f t="shared" si="347"/>
        <v>Proposta Ok</v>
      </c>
    </row>
    <row r="5520" spans="12:15" x14ac:dyDescent="0.25">
      <c r="L5520">
        <f t="shared" si="344"/>
        <v>0</v>
      </c>
      <c r="M5520">
        <f t="shared" si="345"/>
        <v>1</v>
      </c>
      <c r="N5520">
        <f t="shared" si="346"/>
        <v>0</v>
      </c>
      <c r="O5520" t="str">
        <f t="shared" si="347"/>
        <v>Proposta Ok</v>
      </c>
    </row>
    <row r="5521" spans="12:15" x14ac:dyDescent="0.25">
      <c r="L5521">
        <f t="shared" si="344"/>
        <v>0</v>
      </c>
      <c r="M5521">
        <f t="shared" si="345"/>
        <v>1</v>
      </c>
      <c r="N5521">
        <f t="shared" si="346"/>
        <v>0</v>
      </c>
      <c r="O5521" t="str">
        <f t="shared" si="347"/>
        <v>Proposta Ok</v>
      </c>
    </row>
    <row r="5522" spans="12:15" x14ac:dyDescent="0.25">
      <c r="L5522">
        <f t="shared" si="344"/>
        <v>0</v>
      </c>
      <c r="M5522">
        <f t="shared" si="345"/>
        <v>1</v>
      </c>
      <c r="N5522">
        <f t="shared" si="346"/>
        <v>0</v>
      </c>
      <c r="O5522" t="str">
        <f t="shared" si="347"/>
        <v>Proposta Ok</v>
      </c>
    </row>
    <row r="5523" spans="12:15" x14ac:dyDescent="0.25">
      <c r="L5523">
        <f t="shared" si="344"/>
        <v>0</v>
      </c>
      <c r="M5523">
        <f t="shared" si="345"/>
        <v>1</v>
      </c>
      <c r="N5523">
        <f t="shared" si="346"/>
        <v>0</v>
      </c>
      <c r="O5523" t="str">
        <f t="shared" si="347"/>
        <v>Proposta Ok</v>
      </c>
    </row>
    <row r="5524" spans="12:15" x14ac:dyDescent="0.25">
      <c r="L5524">
        <f t="shared" si="344"/>
        <v>0</v>
      </c>
      <c r="M5524">
        <f t="shared" si="345"/>
        <v>1</v>
      </c>
      <c r="N5524">
        <f t="shared" si="346"/>
        <v>0</v>
      </c>
      <c r="O5524" t="str">
        <f t="shared" si="347"/>
        <v>Proposta Ok</v>
      </c>
    </row>
    <row r="5525" spans="12:15" x14ac:dyDescent="0.25">
      <c r="L5525">
        <f t="shared" si="344"/>
        <v>0</v>
      </c>
      <c r="M5525">
        <f t="shared" si="345"/>
        <v>1</v>
      </c>
      <c r="N5525">
        <f t="shared" si="346"/>
        <v>0</v>
      </c>
      <c r="O5525" t="str">
        <f t="shared" si="347"/>
        <v>Proposta Ok</v>
      </c>
    </row>
    <row r="5526" spans="12:15" x14ac:dyDescent="0.25">
      <c r="L5526">
        <f t="shared" si="344"/>
        <v>0</v>
      </c>
      <c r="M5526">
        <f t="shared" si="345"/>
        <v>1</v>
      </c>
      <c r="N5526">
        <f t="shared" si="346"/>
        <v>0</v>
      </c>
      <c r="O5526" t="str">
        <f t="shared" si="347"/>
        <v>Proposta Ok</v>
      </c>
    </row>
    <row r="5527" spans="12:15" x14ac:dyDescent="0.25">
      <c r="L5527">
        <f t="shared" si="344"/>
        <v>0</v>
      </c>
      <c r="M5527">
        <f t="shared" si="345"/>
        <v>1</v>
      </c>
      <c r="N5527">
        <f t="shared" si="346"/>
        <v>0</v>
      </c>
      <c r="O5527" t="str">
        <f t="shared" si="347"/>
        <v>Proposta Ok</v>
      </c>
    </row>
    <row r="5528" spans="12:15" x14ac:dyDescent="0.25">
      <c r="L5528">
        <f t="shared" si="344"/>
        <v>0</v>
      </c>
      <c r="M5528">
        <f t="shared" si="345"/>
        <v>1</v>
      </c>
      <c r="N5528">
        <f t="shared" si="346"/>
        <v>0</v>
      </c>
      <c r="O5528" t="str">
        <f t="shared" si="347"/>
        <v>Proposta Ok</v>
      </c>
    </row>
    <row r="5529" spans="12:15" x14ac:dyDescent="0.25">
      <c r="L5529">
        <f t="shared" si="344"/>
        <v>0</v>
      </c>
      <c r="M5529">
        <f t="shared" si="345"/>
        <v>1</v>
      </c>
      <c r="N5529">
        <f t="shared" si="346"/>
        <v>0</v>
      </c>
      <c r="O5529" t="str">
        <f t="shared" si="347"/>
        <v>Proposta Ok</v>
      </c>
    </row>
    <row r="5530" spans="12:15" x14ac:dyDescent="0.25">
      <c r="L5530">
        <f t="shared" si="344"/>
        <v>0</v>
      </c>
      <c r="M5530">
        <f t="shared" si="345"/>
        <v>1</v>
      </c>
      <c r="N5530">
        <f t="shared" si="346"/>
        <v>0</v>
      </c>
      <c r="O5530" t="str">
        <f t="shared" si="347"/>
        <v>Proposta Ok</v>
      </c>
    </row>
    <row r="5531" spans="12:15" x14ac:dyDescent="0.25">
      <c r="L5531">
        <f t="shared" ref="L5531:L5594" si="348">IF(OR(I5531="Termo OK (Exceção)",I5531="Termo OK"),1,0)</f>
        <v>0</v>
      </c>
      <c r="M5531">
        <f t="shared" ref="M5531:M5594" si="349">IF(OR(I5531="Termo OK (Exceção)",I5531="Termo OK"),0,1)</f>
        <v>1</v>
      </c>
      <c r="N5531">
        <f t="shared" ref="N5531:N5594" si="350">IF(J5531="SIM",1,0)</f>
        <v>0</v>
      </c>
      <c r="O5531" t="str">
        <f t="shared" ref="O5531:O5594" si="351">IF(SUMIFS(M:M,A:A,A5531)&gt;0,"Proposta não Ok","Proposta Ok")</f>
        <v>Proposta Ok</v>
      </c>
    </row>
    <row r="5532" spans="12:15" x14ac:dyDescent="0.25">
      <c r="L5532">
        <f t="shared" si="348"/>
        <v>0</v>
      </c>
      <c r="M5532">
        <f t="shared" si="349"/>
        <v>1</v>
      </c>
      <c r="N5532">
        <f t="shared" si="350"/>
        <v>0</v>
      </c>
      <c r="O5532" t="str">
        <f t="shared" si="351"/>
        <v>Proposta Ok</v>
      </c>
    </row>
    <row r="5533" spans="12:15" x14ac:dyDescent="0.25">
      <c r="L5533">
        <f t="shared" si="348"/>
        <v>0</v>
      </c>
      <c r="M5533">
        <f t="shared" si="349"/>
        <v>1</v>
      </c>
      <c r="N5533">
        <f t="shared" si="350"/>
        <v>0</v>
      </c>
      <c r="O5533" t="str">
        <f t="shared" si="351"/>
        <v>Proposta Ok</v>
      </c>
    </row>
    <row r="5534" spans="12:15" x14ac:dyDescent="0.25">
      <c r="L5534">
        <f t="shared" si="348"/>
        <v>0</v>
      </c>
      <c r="M5534">
        <f t="shared" si="349"/>
        <v>1</v>
      </c>
      <c r="N5534">
        <f t="shared" si="350"/>
        <v>0</v>
      </c>
      <c r="O5534" t="str">
        <f t="shared" si="351"/>
        <v>Proposta Ok</v>
      </c>
    </row>
    <row r="5535" spans="12:15" x14ac:dyDescent="0.25">
      <c r="L5535">
        <f t="shared" si="348"/>
        <v>0</v>
      </c>
      <c r="M5535">
        <f t="shared" si="349"/>
        <v>1</v>
      </c>
      <c r="N5535">
        <f t="shared" si="350"/>
        <v>0</v>
      </c>
      <c r="O5535" t="str">
        <f t="shared" si="351"/>
        <v>Proposta Ok</v>
      </c>
    </row>
    <row r="5536" spans="12:15" x14ac:dyDescent="0.25">
      <c r="L5536">
        <f t="shared" si="348"/>
        <v>0</v>
      </c>
      <c r="M5536">
        <f t="shared" si="349"/>
        <v>1</v>
      </c>
      <c r="N5536">
        <f t="shared" si="350"/>
        <v>0</v>
      </c>
      <c r="O5536" t="str">
        <f t="shared" si="351"/>
        <v>Proposta Ok</v>
      </c>
    </row>
    <row r="5537" spans="12:15" x14ac:dyDescent="0.25">
      <c r="L5537">
        <f t="shared" si="348"/>
        <v>0</v>
      </c>
      <c r="M5537">
        <f t="shared" si="349"/>
        <v>1</v>
      </c>
      <c r="N5537">
        <f t="shared" si="350"/>
        <v>0</v>
      </c>
      <c r="O5537" t="str">
        <f t="shared" si="351"/>
        <v>Proposta Ok</v>
      </c>
    </row>
    <row r="5538" spans="12:15" x14ac:dyDescent="0.25">
      <c r="L5538">
        <f t="shared" si="348"/>
        <v>0</v>
      </c>
      <c r="M5538">
        <f t="shared" si="349"/>
        <v>1</v>
      </c>
      <c r="N5538">
        <f t="shared" si="350"/>
        <v>0</v>
      </c>
      <c r="O5538" t="str">
        <f t="shared" si="351"/>
        <v>Proposta Ok</v>
      </c>
    </row>
    <row r="5539" spans="12:15" x14ac:dyDescent="0.25">
      <c r="L5539">
        <f t="shared" si="348"/>
        <v>0</v>
      </c>
      <c r="M5539">
        <f t="shared" si="349"/>
        <v>1</v>
      </c>
      <c r="N5539">
        <f t="shared" si="350"/>
        <v>0</v>
      </c>
      <c r="O5539" t="str">
        <f t="shared" si="351"/>
        <v>Proposta Ok</v>
      </c>
    </row>
    <row r="5540" spans="12:15" x14ac:dyDescent="0.25">
      <c r="L5540">
        <f t="shared" si="348"/>
        <v>0</v>
      </c>
      <c r="M5540">
        <f t="shared" si="349"/>
        <v>1</v>
      </c>
      <c r="N5540">
        <f t="shared" si="350"/>
        <v>0</v>
      </c>
      <c r="O5540" t="str">
        <f t="shared" si="351"/>
        <v>Proposta Ok</v>
      </c>
    </row>
    <row r="5541" spans="12:15" x14ac:dyDescent="0.25">
      <c r="L5541">
        <f t="shared" si="348"/>
        <v>0</v>
      </c>
      <c r="M5541">
        <f t="shared" si="349"/>
        <v>1</v>
      </c>
      <c r="N5541">
        <f t="shared" si="350"/>
        <v>0</v>
      </c>
      <c r="O5541" t="str">
        <f t="shared" si="351"/>
        <v>Proposta Ok</v>
      </c>
    </row>
    <row r="5542" spans="12:15" x14ac:dyDescent="0.25">
      <c r="L5542">
        <f t="shared" si="348"/>
        <v>0</v>
      </c>
      <c r="M5542">
        <f t="shared" si="349"/>
        <v>1</v>
      </c>
      <c r="N5542">
        <f t="shared" si="350"/>
        <v>0</v>
      </c>
      <c r="O5542" t="str">
        <f t="shared" si="351"/>
        <v>Proposta Ok</v>
      </c>
    </row>
    <row r="5543" spans="12:15" x14ac:dyDescent="0.25">
      <c r="L5543">
        <f t="shared" si="348"/>
        <v>0</v>
      </c>
      <c r="M5543">
        <f t="shared" si="349"/>
        <v>1</v>
      </c>
      <c r="N5543">
        <f t="shared" si="350"/>
        <v>0</v>
      </c>
      <c r="O5543" t="str">
        <f t="shared" si="351"/>
        <v>Proposta Ok</v>
      </c>
    </row>
    <row r="5544" spans="12:15" x14ac:dyDescent="0.25">
      <c r="L5544">
        <f t="shared" si="348"/>
        <v>0</v>
      </c>
      <c r="M5544">
        <f t="shared" si="349"/>
        <v>1</v>
      </c>
      <c r="N5544">
        <f t="shared" si="350"/>
        <v>0</v>
      </c>
      <c r="O5544" t="str">
        <f t="shared" si="351"/>
        <v>Proposta Ok</v>
      </c>
    </row>
    <row r="5545" spans="12:15" x14ac:dyDescent="0.25">
      <c r="L5545">
        <f t="shared" si="348"/>
        <v>0</v>
      </c>
      <c r="M5545">
        <f t="shared" si="349"/>
        <v>1</v>
      </c>
      <c r="N5545">
        <f t="shared" si="350"/>
        <v>0</v>
      </c>
      <c r="O5545" t="str">
        <f t="shared" si="351"/>
        <v>Proposta Ok</v>
      </c>
    </row>
    <row r="5546" spans="12:15" x14ac:dyDescent="0.25">
      <c r="L5546">
        <f t="shared" si="348"/>
        <v>0</v>
      </c>
      <c r="M5546">
        <f t="shared" si="349"/>
        <v>1</v>
      </c>
      <c r="N5546">
        <f t="shared" si="350"/>
        <v>0</v>
      </c>
      <c r="O5546" t="str">
        <f t="shared" si="351"/>
        <v>Proposta Ok</v>
      </c>
    </row>
    <row r="5547" spans="12:15" x14ac:dyDescent="0.25">
      <c r="L5547">
        <f t="shared" si="348"/>
        <v>0</v>
      </c>
      <c r="M5547">
        <f t="shared" si="349"/>
        <v>1</v>
      </c>
      <c r="N5547">
        <f t="shared" si="350"/>
        <v>0</v>
      </c>
      <c r="O5547" t="str">
        <f t="shared" si="351"/>
        <v>Proposta Ok</v>
      </c>
    </row>
    <row r="5548" spans="12:15" x14ac:dyDescent="0.25">
      <c r="L5548">
        <f t="shared" si="348"/>
        <v>0</v>
      </c>
      <c r="M5548">
        <f t="shared" si="349"/>
        <v>1</v>
      </c>
      <c r="N5548">
        <f t="shared" si="350"/>
        <v>0</v>
      </c>
      <c r="O5548" t="str">
        <f t="shared" si="351"/>
        <v>Proposta Ok</v>
      </c>
    </row>
    <row r="5549" spans="12:15" x14ac:dyDescent="0.25">
      <c r="L5549">
        <f t="shared" si="348"/>
        <v>0</v>
      </c>
      <c r="M5549">
        <f t="shared" si="349"/>
        <v>1</v>
      </c>
      <c r="N5549">
        <f t="shared" si="350"/>
        <v>0</v>
      </c>
      <c r="O5549" t="str">
        <f t="shared" si="351"/>
        <v>Proposta Ok</v>
      </c>
    </row>
    <row r="5550" spans="12:15" x14ac:dyDescent="0.25">
      <c r="L5550">
        <f t="shared" si="348"/>
        <v>0</v>
      </c>
      <c r="M5550">
        <f t="shared" si="349"/>
        <v>1</v>
      </c>
      <c r="N5550">
        <f t="shared" si="350"/>
        <v>0</v>
      </c>
      <c r="O5550" t="str">
        <f t="shared" si="351"/>
        <v>Proposta Ok</v>
      </c>
    </row>
    <row r="5551" spans="12:15" x14ac:dyDescent="0.25">
      <c r="L5551">
        <f t="shared" si="348"/>
        <v>0</v>
      </c>
      <c r="M5551">
        <f t="shared" si="349"/>
        <v>1</v>
      </c>
      <c r="N5551">
        <f t="shared" si="350"/>
        <v>0</v>
      </c>
      <c r="O5551" t="str">
        <f t="shared" si="351"/>
        <v>Proposta Ok</v>
      </c>
    </row>
    <row r="5552" spans="12:15" x14ac:dyDescent="0.25">
      <c r="L5552">
        <f t="shared" si="348"/>
        <v>0</v>
      </c>
      <c r="M5552">
        <f t="shared" si="349"/>
        <v>1</v>
      </c>
      <c r="N5552">
        <f t="shared" si="350"/>
        <v>0</v>
      </c>
      <c r="O5552" t="str">
        <f t="shared" si="351"/>
        <v>Proposta Ok</v>
      </c>
    </row>
    <row r="5553" spans="12:15" x14ac:dyDescent="0.25">
      <c r="L5553">
        <f t="shared" si="348"/>
        <v>0</v>
      </c>
      <c r="M5553">
        <f t="shared" si="349"/>
        <v>1</v>
      </c>
      <c r="N5553">
        <f t="shared" si="350"/>
        <v>0</v>
      </c>
      <c r="O5553" t="str">
        <f t="shared" si="351"/>
        <v>Proposta Ok</v>
      </c>
    </row>
    <row r="5554" spans="12:15" x14ac:dyDescent="0.25">
      <c r="L5554">
        <f t="shared" si="348"/>
        <v>0</v>
      </c>
      <c r="M5554">
        <f t="shared" si="349"/>
        <v>1</v>
      </c>
      <c r="N5554">
        <f t="shared" si="350"/>
        <v>0</v>
      </c>
      <c r="O5554" t="str">
        <f t="shared" si="351"/>
        <v>Proposta Ok</v>
      </c>
    </row>
    <row r="5555" spans="12:15" x14ac:dyDescent="0.25">
      <c r="L5555">
        <f t="shared" si="348"/>
        <v>0</v>
      </c>
      <c r="M5555">
        <f t="shared" si="349"/>
        <v>1</v>
      </c>
      <c r="N5555">
        <f t="shared" si="350"/>
        <v>0</v>
      </c>
      <c r="O5555" t="str">
        <f t="shared" si="351"/>
        <v>Proposta Ok</v>
      </c>
    </row>
    <row r="5556" spans="12:15" x14ac:dyDescent="0.25">
      <c r="L5556">
        <f t="shared" si="348"/>
        <v>0</v>
      </c>
      <c r="M5556">
        <f t="shared" si="349"/>
        <v>1</v>
      </c>
      <c r="N5556">
        <f t="shared" si="350"/>
        <v>0</v>
      </c>
      <c r="O5556" t="str">
        <f t="shared" si="351"/>
        <v>Proposta Ok</v>
      </c>
    </row>
    <row r="5557" spans="12:15" x14ac:dyDescent="0.25">
      <c r="L5557">
        <f t="shared" si="348"/>
        <v>0</v>
      </c>
      <c r="M5557">
        <f t="shared" si="349"/>
        <v>1</v>
      </c>
      <c r="N5557">
        <f t="shared" si="350"/>
        <v>0</v>
      </c>
      <c r="O5557" t="str">
        <f t="shared" si="351"/>
        <v>Proposta Ok</v>
      </c>
    </row>
    <row r="5558" spans="12:15" x14ac:dyDescent="0.25">
      <c r="L5558">
        <f t="shared" si="348"/>
        <v>0</v>
      </c>
      <c r="M5558">
        <f t="shared" si="349"/>
        <v>1</v>
      </c>
      <c r="N5558">
        <f t="shared" si="350"/>
        <v>0</v>
      </c>
      <c r="O5558" t="str">
        <f t="shared" si="351"/>
        <v>Proposta Ok</v>
      </c>
    </row>
    <row r="5559" spans="12:15" x14ac:dyDescent="0.25">
      <c r="L5559">
        <f t="shared" si="348"/>
        <v>0</v>
      </c>
      <c r="M5559">
        <f t="shared" si="349"/>
        <v>1</v>
      </c>
      <c r="N5559">
        <f t="shared" si="350"/>
        <v>0</v>
      </c>
      <c r="O5559" t="str">
        <f t="shared" si="351"/>
        <v>Proposta Ok</v>
      </c>
    </row>
    <row r="5560" spans="12:15" x14ac:dyDescent="0.25">
      <c r="L5560">
        <f t="shared" si="348"/>
        <v>0</v>
      </c>
      <c r="M5560">
        <f t="shared" si="349"/>
        <v>1</v>
      </c>
      <c r="N5560">
        <f t="shared" si="350"/>
        <v>0</v>
      </c>
      <c r="O5560" t="str">
        <f t="shared" si="351"/>
        <v>Proposta Ok</v>
      </c>
    </row>
    <row r="5561" spans="12:15" x14ac:dyDescent="0.25">
      <c r="L5561">
        <f t="shared" si="348"/>
        <v>0</v>
      </c>
      <c r="M5561">
        <f t="shared" si="349"/>
        <v>1</v>
      </c>
      <c r="N5561">
        <f t="shared" si="350"/>
        <v>0</v>
      </c>
      <c r="O5561" t="str">
        <f t="shared" si="351"/>
        <v>Proposta Ok</v>
      </c>
    </row>
    <row r="5562" spans="12:15" x14ac:dyDescent="0.25">
      <c r="L5562">
        <f t="shared" si="348"/>
        <v>0</v>
      </c>
      <c r="M5562">
        <f t="shared" si="349"/>
        <v>1</v>
      </c>
      <c r="N5562">
        <f t="shared" si="350"/>
        <v>0</v>
      </c>
      <c r="O5562" t="str">
        <f t="shared" si="351"/>
        <v>Proposta Ok</v>
      </c>
    </row>
    <row r="5563" spans="12:15" x14ac:dyDescent="0.25">
      <c r="L5563">
        <f t="shared" si="348"/>
        <v>0</v>
      </c>
      <c r="M5563">
        <f t="shared" si="349"/>
        <v>1</v>
      </c>
      <c r="N5563">
        <f t="shared" si="350"/>
        <v>0</v>
      </c>
      <c r="O5563" t="str">
        <f t="shared" si="351"/>
        <v>Proposta Ok</v>
      </c>
    </row>
    <row r="5564" spans="12:15" x14ac:dyDescent="0.25">
      <c r="L5564">
        <f t="shared" si="348"/>
        <v>0</v>
      </c>
      <c r="M5564">
        <f t="shared" si="349"/>
        <v>1</v>
      </c>
      <c r="N5564">
        <f t="shared" si="350"/>
        <v>0</v>
      </c>
      <c r="O5564" t="str">
        <f t="shared" si="351"/>
        <v>Proposta Ok</v>
      </c>
    </row>
    <row r="5565" spans="12:15" x14ac:dyDescent="0.25">
      <c r="L5565">
        <f t="shared" si="348"/>
        <v>0</v>
      </c>
      <c r="M5565">
        <f t="shared" si="349"/>
        <v>1</v>
      </c>
      <c r="N5565">
        <f t="shared" si="350"/>
        <v>0</v>
      </c>
      <c r="O5565" t="str">
        <f t="shared" si="351"/>
        <v>Proposta Ok</v>
      </c>
    </row>
    <row r="5566" spans="12:15" x14ac:dyDescent="0.25">
      <c r="L5566">
        <f t="shared" si="348"/>
        <v>0</v>
      </c>
      <c r="M5566">
        <f t="shared" si="349"/>
        <v>1</v>
      </c>
      <c r="N5566">
        <f t="shared" si="350"/>
        <v>0</v>
      </c>
      <c r="O5566" t="str">
        <f t="shared" si="351"/>
        <v>Proposta Ok</v>
      </c>
    </row>
    <row r="5567" spans="12:15" x14ac:dyDescent="0.25">
      <c r="L5567">
        <f t="shared" si="348"/>
        <v>0</v>
      </c>
      <c r="M5567">
        <f t="shared" si="349"/>
        <v>1</v>
      </c>
      <c r="N5567">
        <f t="shared" si="350"/>
        <v>0</v>
      </c>
      <c r="O5567" t="str">
        <f t="shared" si="351"/>
        <v>Proposta Ok</v>
      </c>
    </row>
    <row r="5568" spans="12:15" x14ac:dyDescent="0.25">
      <c r="L5568">
        <f t="shared" si="348"/>
        <v>0</v>
      </c>
      <c r="M5568">
        <f t="shared" si="349"/>
        <v>1</v>
      </c>
      <c r="N5568">
        <f t="shared" si="350"/>
        <v>0</v>
      </c>
      <c r="O5568" t="str">
        <f t="shared" si="351"/>
        <v>Proposta Ok</v>
      </c>
    </row>
    <row r="5569" spans="12:15" x14ac:dyDescent="0.25">
      <c r="L5569">
        <f t="shared" si="348"/>
        <v>0</v>
      </c>
      <c r="M5569">
        <f t="shared" si="349"/>
        <v>1</v>
      </c>
      <c r="N5569">
        <f t="shared" si="350"/>
        <v>0</v>
      </c>
      <c r="O5569" t="str">
        <f t="shared" si="351"/>
        <v>Proposta Ok</v>
      </c>
    </row>
    <row r="5570" spans="12:15" x14ac:dyDescent="0.25">
      <c r="L5570">
        <f t="shared" si="348"/>
        <v>0</v>
      </c>
      <c r="M5570">
        <f t="shared" si="349"/>
        <v>1</v>
      </c>
      <c r="N5570">
        <f t="shared" si="350"/>
        <v>0</v>
      </c>
      <c r="O5570" t="str">
        <f t="shared" si="351"/>
        <v>Proposta Ok</v>
      </c>
    </row>
    <row r="5571" spans="12:15" x14ac:dyDescent="0.25">
      <c r="L5571">
        <f t="shared" si="348"/>
        <v>0</v>
      </c>
      <c r="M5571">
        <f t="shared" si="349"/>
        <v>1</v>
      </c>
      <c r="N5571">
        <f t="shared" si="350"/>
        <v>0</v>
      </c>
      <c r="O5571" t="str">
        <f t="shared" si="351"/>
        <v>Proposta Ok</v>
      </c>
    </row>
    <row r="5572" spans="12:15" x14ac:dyDescent="0.25">
      <c r="L5572">
        <f t="shared" si="348"/>
        <v>0</v>
      </c>
      <c r="M5572">
        <f t="shared" si="349"/>
        <v>1</v>
      </c>
      <c r="N5572">
        <f t="shared" si="350"/>
        <v>0</v>
      </c>
      <c r="O5572" t="str">
        <f t="shared" si="351"/>
        <v>Proposta Ok</v>
      </c>
    </row>
    <row r="5573" spans="12:15" x14ac:dyDescent="0.25">
      <c r="L5573">
        <f t="shared" si="348"/>
        <v>0</v>
      </c>
      <c r="M5573">
        <f t="shared" si="349"/>
        <v>1</v>
      </c>
      <c r="N5573">
        <f t="shared" si="350"/>
        <v>0</v>
      </c>
      <c r="O5573" t="str">
        <f t="shared" si="351"/>
        <v>Proposta Ok</v>
      </c>
    </row>
    <row r="5574" spans="12:15" x14ac:dyDescent="0.25">
      <c r="L5574">
        <f t="shared" si="348"/>
        <v>0</v>
      </c>
      <c r="M5574">
        <f t="shared" si="349"/>
        <v>1</v>
      </c>
      <c r="N5574">
        <f t="shared" si="350"/>
        <v>0</v>
      </c>
      <c r="O5574" t="str">
        <f t="shared" si="351"/>
        <v>Proposta Ok</v>
      </c>
    </row>
    <row r="5575" spans="12:15" x14ac:dyDescent="0.25">
      <c r="L5575">
        <f t="shared" si="348"/>
        <v>0</v>
      </c>
      <c r="M5575">
        <f t="shared" si="349"/>
        <v>1</v>
      </c>
      <c r="N5575">
        <f t="shared" si="350"/>
        <v>0</v>
      </c>
      <c r="O5575" t="str">
        <f t="shared" si="351"/>
        <v>Proposta Ok</v>
      </c>
    </row>
    <row r="5576" spans="12:15" x14ac:dyDescent="0.25">
      <c r="L5576">
        <f t="shared" si="348"/>
        <v>0</v>
      </c>
      <c r="M5576">
        <f t="shared" si="349"/>
        <v>1</v>
      </c>
      <c r="N5576">
        <f t="shared" si="350"/>
        <v>0</v>
      </c>
      <c r="O5576" t="str">
        <f t="shared" si="351"/>
        <v>Proposta Ok</v>
      </c>
    </row>
    <row r="5577" spans="12:15" x14ac:dyDescent="0.25">
      <c r="L5577">
        <f t="shared" si="348"/>
        <v>0</v>
      </c>
      <c r="M5577">
        <f t="shared" si="349"/>
        <v>1</v>
      </c>
      <c r="N5577">
        <f t="shared" si="350"/>
        <v>0</v>
      </c>
      <c r="O5577" t="str">
        <f t="shared" si="351"/>
        <v>Proposta Ok</v>
      </c>
    </row>
    <row r="5578" spans="12:15" x14ac:dyDescent="0.25">
      <c r="L5578">
        <f t="shared" si="348"/>
        <v>0</v>
      </c>
      <c r="M5578">
        <f t="shared" si="349"/>
        <v>1</v>
      </c>
      <c r="N5578">
        <f t="shared" si="350"/>
        <v>0</v>
      </c>
      <c r="O5578" t="str">
        <f t="shared" si="351"/>
        <v>Proposta Ok</v>
      </c>
    </row>
    <row r="5579" spans="12:15" x14ac:dyDescent="0.25">
      <c r="L5579">
        <f t="shared" si="348"/>
        <v>0</v>
      </c>
      <c r="M5579">
        <f t="shared" si="349"/>
        <v>1</v>
      </c>
      <c r="N5579">
        <f t="shared" si="350"/>
        <v>0</v>
      </c>
      <c r="O5579" t="str">
        <f t="shared" si="351"/>
        <v>Proposta Ok</v>
      </c>
    </row>
    <row r="5580" spans="12:15" x14ac:dyDescent="0.25">
      <c r="L5580">
        <f t="shared" si="348"/>
        <v>0</v>
      </c>
      <c r="M5580">
        <f t="shared" si="349"/>
        <v>1</v>
      </c>
      <c r="N5580">
        <f t="shared" si="350"/>
        <v>0</v>
      </c>
      <c r="O5580" t="str">
        <f t="shared" si="351"/>
        <v>Proposta Ok</v>
      </c>
    </row>
    <row r="5581" spans="12:15" x14ac:dyDescent="0.25">
      <c r="L5581">
        <f t="shared" si="348"/>
        <v>0</v>
      </c>
      <c r="M5581">
        <f t="shared" si="349"/>
        <v>1</v>
      </c>
      <c r="N5581">
        <f t="shared" si="350"/>
        <v>0</v>
      </c>
      <c r="O5581" t="str">
        <f t="shared" si="351"/>
        <v>Proposta Ok</v>
      </c>
    </row>
    <row r="5582" spans="12:15" x14ac:dyDescent="0.25">
      <c r="L5582">
        <f t="shared" si="348"/>
        <v>0</v>
      </c>
      <c r="M5582">
        <f t="shared" si="349"/>
        <v>1</v>
      </c>
      <c r="N5582">
        <f t="shared" si="350"/>
        <v>0</v>
      </c>
      <c r="O5582" t="str">
        <f t="shared" si="351"/>
        <v>Proposta Ok</v>
      </c>
    </row>
    <row r="5583" spans="12:15" x14ac:dyDescent="0.25">
      <c r="L5583">
        <f t="shared" si="348"/>
        <v>0</v>
      </c>
      <c r="M5583">
        <f t="shared" si="349"/>
        <v>1</v>
      </c>
      <c r="N5583">
        <f t="shared" si="350"/>
        <v>0</v>
      </c>
      <c r="O5583" t="str">
        <f t="shared" si="351"/>
        <v>Proposta Ok</v>
      </c>
    </row>
    <row r="5584" spans="12:15" x14ac:dyDescent="0.25">
      <c r="L5584">
        <f t="shared" si="348"/>
        <v>0</v>
      </c>
      <c r="M5584">
        <f t="shared" si="349"/>
        <v>1</v>
      </c>
      <c r="N5584">
        <f t="shared" si="350"/>
        <v>0</v>
      </c>
      <c r="O5584" t="str">
        <f t="shared" si="351"/>
        <v>Proposta Ok</v>
      </c>
    </row>
    <row r="5585" spans="12:15" x14ac:dyDescent="0.25">
      <c r="L5585">
        <f t="shared" si="348"/>
        <v>0</v>
      </c>
      <c r="M5585">
        <f t="shared" si="349"/>
        <v>1</v>
      </c>
      <c r="N5585">
        <f t="shared" si="350"/>
        <v>0</v>
      </c>
      <c r="O5585" t="str">
        <f t="shared" si="351"/>
        <v>Proposta Ok</v>
      </c>
    </row>
    <row r="5586" spans="12:15" x14ac:dyDescent="0.25">
      <c r="L5586">
        <f t="shared" si="348"/>
        <v>0</v>
      </c>
      <c r="M5586">
        <f t="shared" si="349"/>
        <v>1</v>
      </c>
      <c r="N5586">
        <f t="shared" si="350"/>
        <v>0</v>
      </c>
      <c r="O5586" t="str">
        <f t="shared" si="351"/>
        <v>Proposta Ok</v>
      </c>
    </row>
    <row r="5587" spans="12:15" x14ac:dyDescent="0.25">
      <c r="L5587">
        <f t="shared" si="348"/>
        <v>0</v>
      </c>
      <c r="M5587">
        <f t="shared" si="349"/>
        <v>1</v>
      </c>
      <c r="N5587">
        <f t="shared" si="350"/>
        <v>0</v>
      </c>
      <c r="O5587" t="str">
        <f t="shared" si="351"/>
        <v>Proposta Ok</v>
      </c>
    </row>
    <row r="5588" spans="12:15" x14ac:dyDescent="0.25">
      <c r="L5588">
        <f t="shared" si="348"/>
        <v>0</v>
      </c>
      <c r="M5588">
        <f t="shared" si="349"/>
        <v>1</v>
      </c>
      <c r="N5588">
        <f t="shared" si="350"/>
        <v>0</v>
      </c>
      <c r="O5588" t="str">
        <f t="shared" si="351"/>
        <v>Proposta Ok</v>
      </c>
    </row>
    <row r="5589" spans="12:15" x14ac:dyDescent="0.25">
      <c r="L5589">
        <f t="shared" si="348"/>
        <v>0</v>
      </c>
      <c r="M5589">
        <f t="shared" si="349"/>
        <v>1</v>
      </c>
      <c r="N5589">
        <f t="shared" si="350"/>
        <v>0</v>
      </c>
      <c r="O5589" t="str">
        <f t="shared" si="351"/>
        <v>Proposta Ok</v>
      </c>
    </row>
    <row r="5590" spans="12:15" x14ac:dyDescent="0.25">
      <c r="L5590">
        <f t="shared" si="348"/>
        <v>0</v>
      </c>
      <c r="M5590">
        <f t="shared" si="349"/>
        <v>1</v>
      </c>
      <c r="N5590">
        <f t="shared" si="350"/>
        <v>0</v>
      </c>
      <c r="O5590" t="str">
        <f t="shared" si="351"/>
        <v>Proposta Ok</v>
      </c>
    </row>
    <row r="5591" spans="12:15" x14ac:dyDescent="0.25">
      <c r="L5591">
        <f t="shared" si="348"/>
        <v>0</v>
      </c>
      <c r="M5591">
        <f t="shared" si="349"/>
        <v>1</v>
      </c>
      <c r="N5591">
        <f t="shared" si="350"/>
        <v>0</v>
      </c>
      <c r="O5591" t="str">
        <f t="shared" si="351"/>
        <v>Proposta Ok</v>
      </c>
    </row>
    <row r="5592" spans="12:15" x14ac:dyDescent="0.25">
      <c r="L5592">
        <f t="shared" si="348"/>
        <v>0</v>
      </c>
      <c r="M5592">
        <f t="shared" si="349"/>
        <v>1</v>
      </c>
      <c r="N5592">
        <f t="shared" si="350"/>
        <v>0</v>
      </c>
      <c r="O5592" t="str">
        <f t="shared" si="351"/>
        <v>Proposta Ok</v>
      </c>
    </row>
    <row r="5593" spans="12:15" x14ac:dyDescent="0.25">
      <c r="L5593">
        <f t="shared" si="348"/>
        <v>0</v>
      </c>
      <c r="M5593">
        <f t="shared" si="349"/>
        <v>1</v>
      </c>
      <c r="N5593">
        <f t="shared" si="350"/>
        <v>0</v>
      </c>
      <c r="O5593" t="str">
        <f t="shared" si="351"/>
        <v>Proposta Ok</v>
      </c>
    </row>
    <row r="5594" spans="12:15" x14ac:dyDescent="0.25">
      <c r="L5594">
        <f t="shared" si="348"/>
        <v>0</v>
      </c>
      <c r="M5594">
        <f t="shared" si="349"/>
        <v>1</v>
      </c>
      <c r="N5594">
        <f t="shared" si="350"/>
        <v>0</v>
      </c>
      <c r="O5594" t="str">
        <f t="shared" si="351"/>
        <v>Proposta Ok</v>
      </c>
    </row>
    <row r="5595" spans="12:15" x14ac:dyDescent="0.25">
      <c r="L5595">
        <f t="shared" ref="L5595:L5658" si="352">IF(OR(I5595="Termo OK (Exceção)",I5595="Termo OK"),1,0)</f>
        <v>0</v>
      </c>
      <c r="M5595">
        <f t="shared" ref="M5595:M5658" si="353">IF(OR(I5595="Termo OK (Exceção)",I5595="Termo OK"),0,1)</f>
        <v>1</v>
      </c>
      <c r="N5595">
        <f t="shared" ref="N5595:N5658" si="354">IF(J5595="SIM",1,0)</f>
        <v>0</v>
      </c>
      <c r="O5595" t="str">
        <f t="shared" ref="O5595:O5658" si="355">IF(SUMIFS(M:M,A:A,A5595)&gt;0,"Proposta não Ok","Proposta Ok")</f>
        <v>Proposta Ok</v>
      </c>
    </row>
    <row r="5596" spans="12:15" x14ac:dyDescent="0.25">
      <c r="L5596">
        <f t="shared" si="352"/>
        <v>0</v>
      </c>
      <c r="M5596">
        <f t="shared" si="353"/>
        <v>1</v>
      </c>
      <c r="N5596">
        <f t="shared" si="354"/>
        <v>0</v>
      </c>
      <c r="O5596" t="str">
        <f t="shared" si="355"/>
        <v>Proposta Ok</v>
      </c>
    </row>
    <row r="5597" spans="12:15" x14ac:dyDescent="0.25">
      <c r="L5597">
        <f t="shared" si="352"/>
        <v>0</v>
      </c>
      <c r="M5597">
        <f t="shared" si="353"/>
        <v>1</v>
      </c>
      <c r="N5597">
        <f t="shared" si="354"/>
        <v>0</v>
      </c>
      <c r="O5597" t="str">
        <f t="shared" si="355"/>
        <v>Proposta Ok</v>
      </c>
    </row>
    <row r="5598" spans="12:15" x14ac:dyDescent="0.25">
      <c r="L5598">
        <f t="shared" si="352"/>
        <v>0</v>
      </c>
      <c r="M5598">
        <f t="shared" si="353"/>
        <v>1</v>
      </c>
      <c r="N5598">
        <f t="shared" si="354"/>
        <v>0</v>
      </c>
      <c r="O5598" t="str">
        <f t="shared" si="355"/>
        <v>Proposta Ok</v>
      </c>
    </row>
    <row r="5599" spans="12:15" x14ac:dyDescent="0.25">
      <c r="L5599">
        <f t="shared" si="352"/>
        <v>0</v>
      </c>
      <c r="M5599">
        <f t="shared" si="353"/>
        <v>1</v>
      </c>
      <c r="N5599">
        <f t="shared" si="354"/>
        <v>0</v>
      </c>
      <c r="O5599" t="str">
        <f t="shared" si="355"/>
        <v>Proposta Ok</v>
      </c>
    </row>
    <row r="5600" spans="12:15" x14ac:dyDescent="0.25">
      <c r="L5600">
        <f t="shared" si="352"/>
        <v>0</v>
      </c>
      <c r="M5600">
        <f t="shared" si="353"/>
        <v>1</v>
      </c>
      <c r="N5600">
        <f t="shared" si="354"/>
        <v>0</v>
      </c>
      <c r="O5600" t="str">
        <f t="shared" si="355"/>
        <v>Proposta Ok</v>
      </c>
    </row>
    <row r="5601" spans="12:15" x14ac:dyDescent="0.25">
      <c r="L5601">
        <f t="shared" si="352"/>
        <v>0</v>
      </c>
      <c r="M5601">
        <f t="shared" si="353"/>
        <v>1</v>
      </c>
      <c r="N5601">
        <f t="shared" si="354"/>
        <v>0</v>
      </c>
      <c r="O5601" t="str">
        <f t="shared" si="355"/>
        <v>Proposta Ok</v>
      </c>
    </row>
    <row r="5602" spans="12:15" x14ac:dyDescent="0.25">
      <c r="L5602">
        <f t="shared" si="352"/>
        <v>0</v>
      </c>
      <c r="M5602">
        <f t="shared" si="353"/>
        <v>1</v>
      </c>
      <c r="N5602">
        <f t="shared" si="354"/>
        <v>0</v>
      </c>
      <c r="O5602" t="str">
        <f t="shared" si="355"/>
        <v>Proposta Ok</v>
      </c>
    </row>
    <row r="5603" spans="12:15" x14ac:dyDescent="0.25">
      <c r="L5603">
        <f t="shared" si="352"/>
        <v>0</v>
      </c>
      <c r="M5603">
        <f t="shared" si="353"/>
        <v>1</v>
      </c>
      <c r="N5603">
        <f t="shared" si="354"/>
        <v>0</v>
      </c>
      <c r="O5603" t="str">
        <f t="shared" si="355"/>
        <v>Proposta Ok</v>
      </c>
    </row>
    <row r="5604" spans="12:15" x14ac:dyDescent="0.25">
      <c r="L5604">
        <f t="shared" si="352"/>
        <v>0</v>
      </c>
      <c r="M5604">
        <f t="shared" si="353"/>
        <v>1</v>
      </c>
      <c r="N5604">
        <f t="shared" si="354"/>
        <v>0</v>
      </c>
      <c r="O5604" t="str">
        <f t="shared" si="355"/>
        <v>Proposta Ok</v>
      </c>
    </row>
    <row r="5605" spans="12:15" x14ac:dyDescent="0.25">
      <c r="L5605">
        <f t="shared" si="352"/>
        <v>0</v>
      </c>
      <c r="M5605">
        <f t="shared" si="353"/>
        <v>1</v>
      </c>
      <c r="N5605">
        <f t="shared" si="354"/>
        <v>0</v>
      </c>
      <c r="O5605" t="str">
        <f t="shared" si="355"/>
        <v>Proposta Ok</v>
      </c>
    </row>
    <row r="5606" spans="12:15" x14ac:dyDescent="0.25">
      <c r="L5606">
        <f t="shared" si="352"/>
        <v>0</v>
      </c>
      <c r="M5606">
        <f t="shared" si="353"/>
        <v>1</v>
      </c>
      <c r="N5606">
        <f t="shared" si="354"/>
        <v>0</v>
      </c>
      <c r="O5606" t="str">
        <f t="shared" si="355"/>
        <v>Proposta Ok</v>
      </c>
    </row>
    <row r="5607" spans="12:15" x14ac:dyDescent="0.25">
      <c r="L5607">
        <f t="shared" si="352"/>
        <v>0</v>
      </c>
      <c r="M5607">
        <f t="shared" si="353"/>
        <v>1</v>
      </c>
      <c r="N5607">
        <f t="shared" si="354"/>
        <v>0</v>
      </c>
      <c r="O5607" t="str">
        <f t="shared" si="355"/>
        <v>Proposta Ok</v>
      </c>
    </row>
    <row r="5608" spans="12:15" x14ac:dyDescent="0.25">
      <c r="L5608">
        <f t="shared" si="352"/>
        <v>0</v>
      </c>
      <c r="M5608">
        <f t="shared" si="353"/>
        <v>1</v>
      </c>
      <c r="N5608">
        <f t="shared" si="354"/>
        <v>0</v>
      </c>
      <c r="O5608" t="str">
        <f t="shared" si="355"/>
        <v>Proposta Ok</v>
      </c>
    </row>
    <row r="5609" spans="12:15" x14ac:dyDescent="0.25">
      <c r="L5609">
        <f t="shared" si="352"/>
        <v>0</v>
      </c>
      <c r="M5609">
        <f t="shared" si="353"/>
        <v>1</v>
      </c>
      <c r="N5609">
        <f t="shared" si="354"/>
        <v>0</v>
      </c>
      <c r="O5609" t="str">
        <f t="shared" si="355"/>
        <v>Proposta Ok</v>
      </c>
    </row>
    <row r="5610" spans="12:15" x14ac:dyDescent="0.25">
      <c r="L5610">
        <f t="shared" si="352"/>
        <v>0</v>
      </c>
      <c r="M5610">
        <f t="shared" si="353"/>
        <v>1</v>
      </c>
      <c r="N5610">
        <f t="shared" si="354"/>
        <v>0</v>
      </c>
      <c r="O5610" t="str">
        <f t="shared" si="355"/>
        <v>Proposta Ok</v>
      </c>
    </row>
    <row r="5611" spans="12:15" x14ac:dyDescent="0.25">
      <c r="L5611">
        <f t="shared" si="352"/>
        <v>0</v>
      </c>
      <c r="M5611">
        <f t="shared" si="353"/>
        <v>1</v>
      </c>
      <c r="N5611">
        <f t="shared" si="354"/>
        <v>0</v>
      </c>
      <c r="O5611" t="str">
        <f t="shared" si="355"/>
        <v>Proposta Ok</v>
      </c>
    </row>
    <row r="5612" spans="12:15" x14ac:dyDescent="0.25">
      <c r="L5612">
        <f t="shared" si="352"/>
        <v>0</v>
      </c>
      <c r="M5612">
        <f t="shared" si="353"/>
        <v>1</v>
      </c>
      <c r="N5612">
        <f t="shared" si="354"/>
        <v>0</v>
      </c>
      <c r="O5612" t="str">
        <f t="shared" si="355"/>
        <v>Proposta Ok</v>
      </c>
    </row>
    <row r="5613" spans="12:15" x14ac:dyDescent="0.25">
      <c r="L5613">
        <f t="shared" si="352"/>
        <v>0</v>
      </c>
      <c r="M5613">
        <f t="shared" si="353"/>
        <v>1</v>
      </c>
      <c r="N5613">
        <f t="shared" si="354"/>
        <v>0</v>
      </c>
      <c r="O5613" t="str">
        <f t="shared" si="355"/>
        <v>Proposta Ok</v>
      </c>
    </row>
    <row r="5614" spans="12:15" x14ac:dyDescent="0.25">
      <c r="L5614">
        <f t="shared" si="352"/>
        <v>0</v>
      </c>
      <c r="M5614">
        <f t="shared" si="353"/>
        <v>1</v>
      </c>
      <c r="N5614">
        <f t="shared" si="354"/>
        <v>0</v>
      </c>
      <c r="O5614" t="str">
        <f t="shared" si="355"/>
        <v>Proposta Ok</v>
      </c>
    </row>
    <row r="5615" spans="12:15" x14ac:dyDescent="0.25">
      <c r="L5615">
        <f t="shared" si="352"/>
        <v>0</v>
      </c>
      <c r="M5615">
        <f t="shared" si="353"/>
        <v>1</v>
      </c>
      <c r="N5615">
        <f t="shared" si="354"/>
        <v>0</v>
      </c>
      <c r="O5615" t="str">
        <f t="shared" si="355"/>
        <v>Proposta Ok</v>
      </c>
    </row>
    <row r="5616" spans="12:15" x14ac:dyDescent="0.25">
      <c r="L5616">
        <f t="shared" si="352"/>
        <v>0</v>
      </c>
      <c r="M5616">
        <f t="shared" si="353"/>
        <v>1</v>
      </c>
      <c r="N5616">
        <f t="shared" si="354"/>
        <v>0</v>
      </c>
      <c r="O5616" t="str">
        <f t="shared" si="355"/>
        <v>Proposta Ok</v>
      </c>
    </row>
    <row r="5617" spans="12:15" x14ac:dyDescent="0.25">
      <c r="L5617">
        <f t="shared" si="352"/>
        <v>0</v>
      </c>
      <c r="M5617">
        <f t="shared" si="353"/>
        <v>1</v>
      </c>
      <c r="N5617">
        <f t="shared" si="354"/>
        <v>0</v>
      </c>
      <c r="O5617" t="str">
        <f t="shared" si="355"/>
        <v>Proposta Ok</v>
      </c>
    </row>
    <row r="5618" spans="12:15" x14ac:dyDescent="0.25">
      <c r="L5618">
        <f t="shared" si="352"/>
        <v>0</v>
      </c>
      <c r="M5618">
        <f t="shared" si="353"/>
        <v>1</v>
      </c>
      <c r="N5618">
        <f t="shared" si="354"/>
        <v>0</v>
      </c>
      <c r="O5618" t="str">
        <f t="shared" si="355"/>
        <v>Proposta Ok</v>
      </c>
    </row>
    <row r="5619" spans="12:15" x14ac:dyDescent="0.25">
      <c r="L5619">
        <f t="shared" si="352"/>
        <v>0</v>
      </c>
      <c r="M5619">
        <f t="shared" si="353"/>
        <v>1</v>
      </c>
      <c r="N5619">
        <f t="shared" si="354"/>
        <v>0</v>
      </c>
      <c r="O5619" t="str">
        <f t="shared" si="355"/>
        <v>Proposta Ok</v>
      </c>
    </row>
    <row r="5620" spans="12:15" x14ac:dyDescent="0.25">
      <c r="L5620">
        <f t="shared" si="352"/>
        <v>0</v>
      </c>
      <c r="M5620">
        <f t="shared" si="353"/>
        <v>1</v>
      </c>
      <c r="N5620">
        <f t="shared" si="354"/>
        <v>0</v>
      </c>
      <c r="O5620" t="str">
        <f t="shared" si="355"/>
        <v>Proposta Ok</v>
      </c>
    </row>
    <row r="5621" spans="12:15" x14ac:dyDescent="0.25">
      <c r="L5621">
        <f t="shared" si="352"/>
        <v>0</v>
      </c>
      <c r="M5621">
        <f t="shared" si="353"/>
        <v>1</v>
      </c>
      <c r="N5621">
        <f t="shared" si="354"/>
        <v>0</v>
      </c>
      <c r="O5621" t="str">
        <f t="shared" si="355"/>
        <v>Proposta Ok</v>
      </c>
    </row>
    <row r="5622" spans="12:15" x14ac:dyDescent="0.25">
      <c r="L5622">
        <f t="shared" si="352"/>
        <v>0</v>
      </c>
      <c r="M5622">
        <f t="shared" si="353"/>
        <v>1</v>
      </c>
      <c r="N5622">
        <f t="shared" si="354"/>
        <v>0</v>
      </c>
      <c r="O5622" t="str">
        <f t="shared" si="355"/>
        <v>Proposta Ok</v>
      </c>
    </row>
    <row r="5623" spans="12:15" x14ac:dyDescent="0.25">
      <c r="L5623">
        <f t="shared" si="352"/>
        <v>0</v>
      </c>
      <c r="M5623">
        <f t="shared" si="353"/>
        <v>1</v>
      </c>
      <c r="N5623">
        <f t="shared" si="354"/>
        <v>0</v>
      </c>
      <c r="O5623" t="str">
        <f t="shared" si="355"/>
        <v>Proposta Ok</v>
      </c>
    </row>
    <row r="5624" spans="12:15" x14ac:dyDescent="0.25">
      <c r="L5624">
        <f t="shared" si="352"/>
        <v>0</v>
      </c>
      <c r="M5624">
        <f t="shared" si="353"/>
        <v>1</v>
      </c>
      <c r="N5624">
        <f t="shared" si="354"/>
        <v>0</v>
      </c>
      <c r="O5624" t="str">
        <f t="shared" si="355"/>
        <v>Proposta Ok</v>
      </c>
    </row>
    <row r="5625" spans="12:15" x14ac:dyDescent="0.25">
      <c r="L5625">
        <f t="shared" si="352"/>
        <v>0</v>
      </c>
      <c r="M5625">
        <f t="shared" si="353"/>
        <v>1</v>
      </c>
      <c r="N5625">
        <f t="shared" si="354"/>
        <v>0</v>
      </c>
      <c r="O5625" t="str">
        <f t="shared" si="355"/>
        <v>Proposta Ok</v>
      </c>
    </row>
    <row r="5626" spans="12:15" x14ac:dyDescent="0.25">
      <c r="L5626">
        <f t="shared" si="352"/>
        <v>0</v>
      </c>
      <c r="M5626">
        <f t="shared" si="353"/>
        <v>1</v>
      </c>
      <c r="N5626">
        <f t="shared" si="354"/>
        <v>0</v>
      </c>
      <c r="O5626" t="str">
        <f t="shared" si="355"/>
        <v>Proposta Ok</v>
      </c>
    </row>
    <row r="5627" spans="12:15" x14ac:dyDescent="0.25">
      <c r="L5627">
        <f t="shared" si="352"/>
        <v>0</v>
      </c>
      <c r="M5627">
        <f t="shared" si="353"/>
        <v>1</v>
      </c>
      <c r="N5627">
        <f t="shared" si="354"/>
        <v>0</v>
      </c>
      <c r="O5627" t="str">
        <f t="shared" si="355"/>
        <v>Proposta Ok</v>
      </c>
    </row>
    <row r="5628" spans="12:15" x14ac:dyDescent="0.25">
      <c r="L5628">
        <f t="shared" si="352"/>
        <v>0</v>
      </c>
      <c r="M5628">
        <f t="shared" si="353"/>
        <v>1</v>
      </c>
      <c r="N5628">
        <f t="shared" si="354"/>
        <v>0</v>
      </c>
      <c r="O5628" t="str">
        <f t="shared" si="355"/>
        <v>Proposta Ok</v>
      </c>
    </row>
    <row r="5629" spans="12:15" x14ac:dyDescent="0.25">
      <c r="L5629">
        <f t="shared" si="352"/>
        <v>0</v>
      </c>
      <c r="M5629">
        <f t="shared" si="353"/>
        <v>1</v>
      </c>
      <c r="N5629">
        <f t="shared" si="354"/>
        <v>0</v>
      </c>
      <c r="O5629" t="str">
        <f t="shared" si="355"/>
        <v>Proposta Ok</v>
      </c>
    </row>
    <row r="5630" spans="12:15" x14ac:dyDescent="0.25">
      <c r="L5630">
        <f t="shared" si="352"/>
        <v>0</v>
      </c>
      <c r="M5630">
        <f t="shared" si="353"/>
        <v>1</v>
      </c>
      <c r="N5630">
        <f t="shared" si="354"/>
        <v>0</v>
      </c>
      <c r="O5630" t="str">
        <f t="shared" si="355"/>
        <v>Proposta Ok</v>
      </c>
    </row>
    <row r="5631" spans="12:15" x14ac:dyDescent="0.25">
      <c r="L5631">
        <f t="shared" si="352"/>
        <v>0</v>
      </c>
      <c r="M5631">
        <f t="shared" si="353"/>
        <v>1</v>
      </c>
      <c r="N5631">
        <f t="shared" si="354"/>
        <v>0</v>
      </c>
      <c r="O5631" t="str">
        <f t="shared" si="355"/>
        <v>Proposta Ok</v>
      </c>
    </row>
    <row r="5632" spans="12:15" x14ac:dyDescent="0.25">
      <c r="L5632">
        <f t="shared" si="352"/>
        <v>0</v>
      </c>
      <c r="M5632">
        <f t="shared" si="353"/>
        <v>1</v>
      </c>
      <c r="N5632">
        <f t="shared" si="354"/>
        <v>0</v>
      </c>
      <c r="O5632" t="str">
        <f t="shared" si="355"/>
        <v>Proposta Ok</v>
      </c>
    </row>
    <row r="5633" spans="12:15" x14ac:dyDescent="0.25">
      <c r="L5633">
        <f t="shared" si="352"/>
        <v>0</v>
      </c>
      <c r="M5633">
        <f t="shared" si="353"/>
        <v>1</v>
      </c>
      <c r="N5633">
        <f t="shared" si="354"/>
        <v>0</v>
      </c>
      <c r="O5633" t="str">
        <f t="shared" si="355"/>
        <v>Proposta Ok</v>
      </c>
    </row>
    <row r="5634" spans="12:15" x14ac:dyDescent="0.25">
      <c r="L5634">
        <f t="shared" si="352"/>
        <v>0</v>
      </c>
      <c r="M5634">
        <f t="shared" si="353"/>
        <v>1</v>
      </c>
      <c r="N5634">
        <f t="shared" si="354"/>
        <v>0</v>
      </c>
      <c r="O5634" t="str">
        <f t="shared" si="355"/>
        <v>Proposta Ok</v>
      </c>
    </row>
    <row r="5635" spans="12:15" x14ac:dyDescent="0.25">
      <c r="L5635">
        <f t="shared" si="352"/>
        <v>0</v>
      </c>
      <c r="M5635">
        <f t="shared" si="353"/>
        <v>1</v>
      </c>
      <c r="N5635">
        <f t="shared" si="354"/>
        <v>0</v>
      </c>
      <c r="O5635" t="str">
        <f t="shared" si="355"/>
        <v>Proposta Ok</v>
      </c>
    </row>
    <row r="5636" spans="12:15" x14ac:dyDescent="0.25">
      <c r="L5636">
        <f t="shared" si="352"/>
        <v>0</v>
      </c>
      <c r="M5636">
        <f t="shared" si="353"/>
        <v>1</v>
      </c>
      <c r="N5636">
        <f t="shared" si="354"/>
        <v>0</v>
      </c>
      <c r="O5636" t="str">
        <f t="shared" si="355"/>
        <v>Proposta Ok</v>
      </c>
    </row>
    <row r="5637" spans="12:15" x14ac:dyDescent="0.25">
      <c r="L5637">
        <f t="shared" si="352"/>
        <v>0</v>
      </c>
      <c r="M5637">
        <f t="shared" si="353"/>
        <v>1</v>
      </c>
      <c r="N5637">
        <f t="shared" si="354"/>
        <v>0</v>
      </c>
      <c r="O5637" t="str">
        <f t="shared" si="355"/>
        <v>Proposta Ok</v>
      </c>
    </row>
    <row r="5638" spans="12:15" x14ac:dyDescent="0.25">
      <c r="L5638">
        <f t="shared" si="352"/>
        <v>0</v>
      </c>
      <c r="M5638">
        <f t="shared" si="353"/>
        <v>1</v>
      </c>
      <c r="N5638">
        <f t="shared" si="354"/>
        <v>0</v>
      </c>
      <c r="O5638" t="str">
        <f t="shared" si="355"/>
        <v>Proposta Ok</v>
      </c>
    </row>
    <row r="5639" spans="12:15" x14ac:dyDescent="0.25">
      <c r="L5639">
        <f t="shared" si="352"/>
        <v>0</v>
      </c>
      <c r="M5639">
        <f t="shared" si="353"/>
        <v>1</v>
      </c>
      <c r="N5639">
        <f t="shared" si="354"/>
        <v>0</v>
      </c>
      <c r="O5639" t="str">
        <f t="shared" si="355"/>
        <v>Proposta Ok</v>
      </c>
    </row>
    <row r="5640" spans="12:15" x14ac:dyDescent="0.25">
      <c r="L5640">
        <f t="shared" si="352"/>
        <v>0</v>
      </c>
      <c r="M5640">
        <f t="shared" si="353"/>
        <v>1</v>
      </c>
      <c r="N5640">
        <f t="shared" si="354"/>
        <v>0</v>
      </c>
      <c r="O5640" t="str">
        <f t="shared" si="355"/>
        <v>Proposta Ok</v>
      </c>
    </row>
    <row r="5641" spans="12:15" x14ac:dyDescent="0.25">
      <c r="L5641">
        <f t="shared" si="352"/>
        <v>0</v>
      </c>
      <c r="M5641">
        <f t="shared" si="353"/>
        <v>1</v>
      </c>
      <c r="N5641">
        <f t="shared" si="354"/>
        <v>0</v>
      </c>
      <c r="O5641" t="str">
        <f t="shared" si="355"/>
        <v>Proposta Ok</v>
      </c>
    </row>
    <row r="5642" spans="12:15" x14ac:dyDescent="0.25">
      <c r="L5642">
        <f t="shared" si="352"/>
        <v>0</v>
      </c>
      <c r="M5642">
        <f t="shared" si="353"/>
        <v>1</v>
      </c>
      <c r="N5642">
        <f t="shared" si="354"/>
        <v>0</v>
      </c>
      <c r="O5642" t="str">
        <f t="shared" si="355"/>
        <v>Proposta Ok</v>
      </c>
    </row>
    <row r="5643" spans="12:15" x14ac:dyDescent="0.25">
      <c r="L5643">
        <f t="shared" si="352"/>
        <v>0</v>
      </c>
      <c r="M5643">
        <f t="shared" si="353"/>
        <v>1</v>
      </c>
      <c r="N5643">
        <f t="shared" si="354"/>
        <v>0</v>
      </c>
      <c r="O5643" t="str">
        <f t="shared" si="355"/>
        <v>Proposta Ok</v>
      </c>
    </row>
    <row r="5644" spans="12:15" x14ac:dyDescent="0.25">
      <c r="L5644">
        <f t="shared" si="352"/>
        <v>0</v>
      </c>
      <c r="M5644">
        <f t="shared" si="353"/>
        <v>1</v>
      </c>
      <c r="N5644">
        <f t="shared" si="354"/>
        <v>0</v>
      </c>
      <c r="O5644" t="str">
        <f t="shared" si="355"/>
        <v>Proposta Ok</v>
      </c>
    </row>
    <row r="5645" spans="12:15" x14ac:dyDescent="0.25">
      <c r="L5645">
        <f t="shared" si="352"/>
        <v>0</v>
      </c>
      <c r="M5645">
        <f t="shared" si="353"/>
        <v>1</v>
      </c>
      <c r="N5645">
        <f t="shared" si="354"/>
        <v>0</v>
      </c>
      <c r="O5645" t="str">
        <f t="shared" si="355"/>
        <v>Proposta Ok</v>
      </c>
    </row>
    <row r="5646" spans="12:15" x14ac:dyDescent="0.25">
      <c r="L5646">
        <f t="shared" si="352"/>
        <v>0</v>
      </c>
      <c r="M5646">
        <f t="shared" si="353"/>
        <v>1</v>
      </c>
      <c r="N5646">
        <f t="shared" si="354"/>
        <v>0</v>
      </c>
      <c r="O5646" t="str">
        <f t="shared" si="355"/>
        <v>Proposta Ok</v>
      </c>
    </row>
    <row r="5647" spans="12:15" x14ac:dyDescent="0.25">
      <c r="L5647">
        <f t="shared" si="352"/>
        <v>0</v>
      </c>
      <c r="M5647">
        <f t="shared" si="353"/>
        <v>1</v>
      </c>
      <c r="N5647">
        <f t="shared" si="354"/>
        <v>0</v>
      </c>
      <c r="O5647" t="str">
        <f t="shared" si="355"/>
        <v>Proposta Ok</v>
      </c>
    </row>
    <row r="5648" spans="12:15" x14ac:dyDescent="0.25">
      <c r="L5648">
        <f t="shared" si="352"/>
        <v>0</v>
      </c>
      <c r="M5648">
        <f t="shared" si="353"/>
        <v>1</v>
      </c>
      <c r="N5648">
        <f t="shared" si="354"/>
        <v>0</v>
      </c>
      <c r="O5648" t="str">
        <f t="shared" si="355"/>
        <v>Proposta Ok</v>
      </c>
    </row>
    <row r="5649" spans="12:15" x14ac:dyDescent="0.25">
      <c r="L5649">
        <f t="shared" si="352"/>
        <v>0</v>
      </c>
      <c r="M5649">
        <f t="shared" si="353"/>
        <v>1</v>
      </c>
      <c r="N5649">
        <f t="shared" si="354"/>
        <v>0</v>
      </c>
      <c r="O5649" t="str">
        <f t="shared" si="355"/>
        <v>Proposta Ok</v>
      </c>
    </row>
    <row r="5650" spans="12:15" x14ac:dyDescent="0.25">
      <c r="L5650">
        <f t="shared" si="352"/>
        <v>0</v>
      </c>
      <c r="M5650">
        <f t="shared" si="353"/>
        <v>1</v>
      </c>
      <c r="N5650">
        <f t="shared" si="354"/>
        <v>0</v>
      </c>
      <c r="O5650" t="str">
        <f t="shared" si="355"/>
        <v>Proposta Ok</v>
      </c>
    </row>
    <row r="5651" spans="12:15" x14ac:dyDescent="0.25">
      <c r="L5651">
        <f t="shared" si="352"/>
        <v>0</v>
      </c>
      <c r="M5651">
        <f t="shared" si="353"/>
        <v>1</v>
      </c>
      <c r="N5651">
        <f t="shared" si="354"/>
        <v>0</v>
      </c>
      <c r="O5651" t="str">
        <f t="shared" si="355"/>
        <v>Proposta Ok</v>
      </c>
    </row>
    <row r="5652" spans="12:15" x14ac:dyDescent="0.25">
      <c r="L5652">
        <f t="shared" si="352"/>
        <v>0</v>
      </c>
      <c r="M5652">
        <f t="shared" si="353"/>
        <v>1</v>
      </c>
      <c r="N5652">
        <f t="shared" si="354"/>
        <v>0</v>
      </c>
      <c r="O5652" t="str">
        <f t="shared" si="355"/>
        <v>Proposta Ok</v>
      </c>
    </row>
    <row r="5653" spans="12:15" x14ac:dyDescent="0.25">
      <c r="L5653">
        <f t="shared" si="352"/>
        <v>0</v>
      </c>
      <c r="M5653">
        <f t="shared" si="353"/>
        <v>1</v>
      </c>
      <c r="N5653">
        <f t="shared" si="354"/>
        <v>0</v>
      </c>
      <c r="O5653" t="str">
        <f t="shared" si="355"/>
        <v>Proposta Ok</v>
      </c>
    </row>
    <row r="5654" spans="12:15" x14ac:dyDescent="0.25">
      <c r="L5654">
        <f t="shared" si="352"/>
        <v>0</v>
      </c>
      <c r="M5654">
        <f t="shared" si="353"/>
        <v>1</v>
      </c>
      <c r="N5654">
        <f t="shared" si="354"/>
        <v>0</v>
      </c>
      <c r="O5654" t="str">
        <f t="shared" si="355"/>
        <v>Proposta Ok</v>
      </c>
    </row>
    <row r="5655" spans="12:15" x14ac:dyDescent="0.25">
      <c r="L5655">
        <f t="shared" si="352"/>
        <v>0</v>
      </c>
      <c r="M5655">
        <f t="shared" si="353"/>
        <v>1</v>
      </c>
      <c r="N5655">
        <f t="shared" si="354"/>
        <v>0</v>
      </c>
      <c r="O5655" t="str">
        <f t="shared" si="355"/>
        <v>Proposta Ok</v>
      </c>
    </row>
    <row r="5656" spans="12:15" x14ac:dyDescent="0.25">
      <c r="L5656">
        <f t="shared" si="352"/>
        <v>0</v>
      </c>
      <c r="M5656">
        <f t="shared" si="353"/>
        <v>1</v>
      </c>
      <c r="N5656">
        <f t="shared" si="354"/>
        <v>0</v>
      </c>
      <c r="O5656" t="str">
        <f t="shared" si="355"/>
        <v>Proposta Ok</v>
      </c>
    </row>
    <row r="5657" spans="12:15" x14ac:dyDescent="0.25">
      <c r="L5657">
        <f t="shared" si="352"/>
        <v>0</v>
      </c>
      <c r="M5657">
        <f t="shared" si="353"/>
        <v>1</v>
      </c>
      <c r="N5657">
        <f t="shared" si="354"/>
        <v>0</v>
      </c>
      <c r="O5657" t="str">
        <f t="shared" si="355"/>
        <v>Proposta Ok</v>
      </c>
    </row>
    <row r="5658" spans="12:15" x14ac:dyDescent="0.25">
      <c r="L5658">
        <f t="shared" si="352"/>
        <v>0</v>
      </c>
      <c r="M5658">
        <f t="shared" si="353"/>
        <v>1</v>
      </c>
      <c r="N5658">
        <f t="shared" si="354"/>
        <v>0</v>
      </c>
      <c r="O5658" t="str">
        <f t="shared" si="355"/>
        <v>Proposta Ok</v>
      </c>
    </row>
    <row r="5659" spans="12:15" x14ac:dyDescent="0.25">
      <c r="L5659">
        <f t="shared" ref="L5659:L5722" si="356">IF(OR(I5659="Termo OK (Exceção)",I5659="Termo OK"),1,0)</f>
        <v>0</v>
      </c>
      <c r="M5659">
        <f t="shared" ref="M5659:M5722" si="357">IF(OR(I5659="Termo OK (Exceção)",I5659="Termo OK"),0,1)</f>
        <v>1</v>
      </c>
      <c r="N5659">
        <f t="shared" ref="N5659:N5722" si="358">IF(J5659="SIM",1,0)</f>
        <v>0</v>
      </c>
      <c r="O5659" t="str">
        <f t="shared" ref="O5659:O5722" si="359">IF(SUMIFS(M:M,A:A,A5659)&gt;0,"Proposta não Ok","Proposta Ok")</f>
        <v>Proposta Ok</v>
      </c>
    </row>
    <row r="5660" spans="12:15" x14ac:dyDescent="0.25">
      <c r="L5660">
        <f t="shared" si="356"/>
        <v>0</v>
      </c>
      <c r="M5660">
        <f t="shared" si="357"/>
        <v>1</v>
      </c>
      <c r="N5660">
        <f t="shared" si="358"/>
        <v>0</v>
      </c>
      <c r="O5660" t="str">
        <f t="shared" si="359"/>
        <v>Proposta Ok</v>
      </c>
    </row>
    <row r="5661" spans="12:15" x14ac:dyDescent="0.25">
      <c r="L5661">
        <f t="shared" si="356"/>
        <v>0</v>
      </c>
      <c r="M5661">
        <f t="shared" si="357"/>
        <v>1</v>
      </c>
      <c r="N5661">
        <f t="shared" si="358"/>
        <v>0</v>
      </c>
      <c r="O5661" t="str">
        <f t="shared" si="359"/>
        <v>Proposta Ok</v>
      </c>
    </row>
    <row r="5662" spans="12:15" x14ac:dyDescent="0.25">
      <c r="L5662">
        <f t="shared" si="356"/>
        <v>0</v>
      </c>
      <c r="M5662">
        <f t="shared" si="357"/>
        <v>1</v>
      </c>
      <c r="N5662">
        <f t="shared" si="358"/>
        <v>0</v>
      </c>
      <c r="O5662" t="str">
        <f t="shared" si="359"/>
        <v>Proposta Ok</v>
      </c>
    </row>
    <row r="5663" spans="12:15" x14ac:dyDescent="0.25">
      <c r="L5663">
        <f t="shared" si="356"/>
        <v>0</v>
      </c>
      <c r="M5663">
        <f t="shared" si="357"/>
        <v>1</v>
      </c>
      <c r="N5663">
        <f t="shared" si="358"/>
        <v>0</v>
      </c>
      <c r="O5663" t="str">
        <f t="shared" si="359"/>
        <v>Proposta Ok</v>
      </c>
    </row>
    <row r="5664" spans="12:15" x14ac:dyDescent="0.25">
      <c r="L5664">
        <f t="shared" si="356"/>
        <v>0</v>
      </c>
      <c r="M5664">
        <f t="shared" si="357"/>
        <v>1</v>
      </c>
      <c r="N5664">
        <f t="shared" si="358"/>
        <v>0</v>
      </c>
      <c r="O5664" t="str">
        <f t="shared" si="359"/>
        <v>Proposta Ok</v>
      </c>
    </row>
    <row r="5665" spans="12:15" x14ac:dyDescent="0.25">
      <c r="L5665">
        <f t="shared" si="356"/>
        <v>0</v>
      </c>
      <c r="M5665">
        <f t="shared" si="357"/>
        <v>1</v>
      </c>
      <c r="N5665">
        <f t="shared" si="358"/>
        <v>0</v>
      </c>
      <c r="O5665" t="str">
        <f t="shared" si="359"/>
        <v>Proposta Ok</v>
      </c>
    </row>
    <row r="5666" spans="12:15" x14ac:dyDescent="0.25">
      <c r="L5666">
        <f t="shared" si="356"/>
        <v>0</v>
      </c>
      <c r="M5666">
        <f t="shared" si="357"/>
        <v>1</v>
      </c>
      <c r="N5666">
        <f t="shared" si="358"/>
        <v>0</v>
      </c>
      <c r="O5666" t="str">
        <f t="shared" si="359"/>
        <v>Proposta Ok</v>
      </c>
    </row>
    <row r="5667" spans="12:15" x14ac:dyDescent="0.25">
      <c r="L5667">
        <f t="shared" si="356"/>
        <v>0</v>
      </c>
      <c r="M5667">
        <f t="shared" si="357"/>
        <v>1</v>
      </c>
      <c r="N5667">
        <f t="shared" si="358"/>
        <v>0</v>
      </c>
      <c r="O5667" t="str">
        <f t="shared" si="359"/>
        <v>Proposta Ok</v>
      </c>
    </row>
    <row r="5668" spans="12:15" x14ac:dyDescent="0.25">
      <c r="L5668">
        <f t="shared" si="356"/>
        <v>0</v>
      </c>
      <c r="M5668">
        <f t="shared" si="357"/>
        <v>1</v>
      </c>
      <c r="N5668">
        <f t="shared" si="358"/>
        <v>0</v>
      </c>
      <c r="O5668" t="str">
        <f t="shared" si="359"/>
        <v>Proposta Ok</v>
      </c>
    </row>
    <row r="5669" spans="12:15" x14ac:dyDescent="0.25">
      <c r="L5669">
        <f t="shared" si="356"/>
        <v>0</v>
      </c>
      <c r="M5669">
        <f t="shared" si="357"/>
        <v>1</v>
      </c>
      <c r="N5669">
        <f t="shared" si="358"/>
        <v>0</v>
      </c>
      <c r="O5669" t="str">
        <f t="shared" si="359"/>
        <v>Proposta Ok</v>
      </c>
    </row>
    <row r="5670" spans="12:15" x14ac:dyDescent="0.25">
      <c r="L5670">
        <f t="shared" si="356"/>
        <v>0</v>
      </c>
      <c r="M5670">
        <f t="shared" si="357"/>
        <v>1</v>
      </c>
      <c r="N5670">
        <f t="shared" si="358"/>
        <v>0</v>
      </c>
      <c r="O5670" t="str">
        <f t="shared" si="359"/>
        <v>Proposta Ok</v>
      </c>
    </row>
    <row r="5671" spans="12:15" x14ac:dyDescent="0.25">
      <c r="L5671">
        <f t="shared" si="356"/>
        <v>0</v>
      </c>
      <c r="M5671">
        <f t="shared" si="357"/>
        <v>1</v>
      </c>
      <c r="N5671">
        <f t="shared" si="358"/>
        <v>0</v>
      </c>
      <c r="O5671" t="str">
        <f t="shared" si="359"/>
        <v>Proposta Ok</v>
      </c>
    </row>
    <row r="5672" spans="12:15" x14ac:dyDescent="0.25">
      <c r="L5672">
        <f t="shared" si="356"/>
        <v>0</v>
      </c>
      <c r="M5672">
        <f t="shared" si="357"/>
        <v>1</v>
      </c>
      <c r="N5672">
        <f t="shared" si="358"/>
        <v>0</v>
      </c>
      <c r="O5672" t="str">
        <f t="shared" si="359"/>
        <v>Proposta Ok</v>
      </c>
    </row>
    <row r="5673" spans="12:15" x14ac:dyDescent="0.25">
      <c r="L5673">
        <f t="shared" si="356"/>
        <v>0</v>
      </c>
      <c r="M5673">
        <f t="shared" si="357"/>
        <v>1</v>
      </c>
      <c r="N5673">
        <f t="shared" si="358"/>
        <v>0</v>
      </c>
      <c r="O5673" t="str">
        <f t="shared" si="359"/>
        <v>Proposta Ok</v>
      </c>
    </row>
    <row r="5674" spans="12:15" x14ac:dyDescent="0.25">
      <c r="L5674">
        <f t="shared" si="356"/>
        <v>0</v>
      </c>
      <c r="M5674">
        <f t="shared" si="357"/>
        <v>1</v>
      </c>
      <c r="N5674">
        <f t="shared" si="358"/>
        <v>0</v>
      </c>
      <c r="O5674" t="str">
        <f t="shared" si="359"/>
        <v>Proposta Ok</v>
      </c>
    </row>
    <row r="5675" spans="12:15" x14ac:dyDescent="0.25">
      <c r="L5675">
        <f t="shared" si="356"/>
        <v>0</v>
      </c>
      <c r="M5675">
        <f t="shared" si="357"/>
        <v>1</v>
      </c>
      <c r="N5675">
        <f t="shared" si="358"/>
        <v>0</v>
      </c>
      <c r="O5675" t="str">
        <f t="shared" si="359"/>
        <v>Proposta Ok</v>
      </c>
    </row>
    <row r="5676" spans="12:15" x14ac:dyDescent="0.25">
      <c r="L5676">
        <f t="shared" si="356"/>
        <v>0</v>
      </c>
      <c r="M5676">
        <f t="shared" si="357"/>
        <v>1</v>
      </c>
      <c r="N5676">
        <f t="shared" si="358"/>
        <v>0</v>
      </c>
      <c r="O5676" t="str">
        <f t="shared" si="359"/>
        <v>Proposta Ok</v>
      </c>
    </row>
    <row r="5677" spans="12:15" x14ac:dyDescent="0.25">
      <c r="L5677">
        <f t="shared" si="356"/>
        <v>0</v>
      </c>
      <c r="M5677">
        <f t="shared" si="357"/>
        <v>1</v>
      </c>
      <c r="N5677">
        <f t="shared" si="358"/>
        <v>0</v>
      </c>
      <c r="O5677" t="str">
        <f t="shared" si="359"/>
        <v>Proposta Ok</v>
      </c>
    </row>
    <row r="5678" spans="12:15" x14ac:dyDescent="0.25">
      <c r="L5678">
        <f t="shared" si="356"/>
        <v>0</v>
      </c>
      <c r="M5678">
        <f t="shared" si="357"/>
        <v>1</v>
      </c>
      <c r="N5678">
        <f t="shared" si="358"/>
        <v>0</v>
      </c>
      <c r="O5678" t="str">
        <f t="shared" si="359"/>
        <v>Proposta Ok</v>
      </c>
    </row>
    <row r="5679" spans="12:15" x14ac:dyDescent="0.25">
      <c r="L5679">
        <f t="shared" si="356"/>
        <v>0</v>
      </c>
      <c r="M5679">
        <f t="shared" si="357"/>
        <v>1</v>
      </c>
      <c r="N5679">
        <f t="shared" si="358"/>
        <v>0</v>
      </c>
      <c r="O5679" t="str">
        <f t="shared" si="359"/>
        <v>Proposta Ok</v>
      </c>
    </row>
    <row r="5680" spans="12:15" x14ac:dyDescent="0.25">
      <c r="L5680">
        <f t="shared" si="356"/>
        <v>0</v>
      </c>
      <c r="M5680">
        <f t="shared" si="357"/>
        <v>1</v>
      </c>
      <c r="N5680">
        <f t="shared" si="358"/>
        <v>0</v>
      </c>
      <c r="O5680" t="str">
        <f t="shared" si="359"/>
        <v>Proposta Ok</v>
      </c>
    </row>
    <row r="5681" spans="12:15" x14ac:dyDescent="0.25">
      <c r="L5681">
        <f t="shared" si="356"/>
        <v>0</v>
      </c>
      <c r="M5681">
        <f t="shared" si="357"/>
        <v>1</v>
      </c>
      <c r="N5681">
        <f t="shared" si="358"/>
        <v>0</v>
      </c>
      <c r="O5681" t="str">
        <f t="shared" si="359"/>
        <v>Proposta Ok</v>
      </c>
    </row>
    <row r="5682" spans="12:15" x14ac:dyDescent="0.25">
      <c r="L5682">
        <f t="shared" si="356"/>
        <v>0</v>
      </c>
      <c r="M5682">
        <f t="shared" si="357"/>
        <v>1</v>
      </c>
      <c r="N5682">
        <f t="shared" si="358"/>
        <v>0</v>
      </c>
      <c r="O5682" t="str">
        <f t="shared" si="359"/>
        <v>Proposta Ok</v>
      </c>
    </row>
    <row r="5683" spans="12:15" x14ac:dyDescent="0.25">
      <c r="L5683">
        <f t="shared" si="356"/>
        <v>0</v>
      </c>
      <c r="M5683">
        <f t="shared" si="357"/>
        <v>1</v>
      </c>
      <c r="N5683">
        <f t="shared" si="358"/>
        <v>0</v>
      </c>
      <c r="O5683" t="str">
        <f t="shared" si="359"/>
        <v>Proposta Ok</v>
      </c>
    </row>
    <row r="5684" spans="12:15" x14ac:dyDescent="0.25">
      <c r="L5684">
        <f t="shared" si="356"/>
        <v>0</v>
      </c>
      <c r="M5684">
        <f t="shared" si="357"/>
        <v>1</v>
      </c>
      <c r="N5684">
        <f t="shared" si="358"/>
        <v>0</v>
      </c>
      <c r="O5684" t="str">
        <f t="shared" si="359"/>
        <v>Proposta Ok</v>
      </c>
    </row>
    <row r="5685" spans="12:15" x14ac:dyDescent="0.25">
      <c r="L5685">
        <f t="shared" si="356"/>
        <v>0</v>
      </c>
      <c r="M5685">
        <f t="shared" si="357"/>
        <v>1</v>
      </c>
      <c r="N5685">
        <f t="shared" si="358"/>
        <v>0</v>
      </c>
      <c r="O5685" t="str">
        <f t="shared" si="359"/>
        <v>Proposta Ok</v>
      </c>
    </row>
    <row r="5686" spans="12:15" x14ac:dyDescent="0.25">
      <c r="L5686">
        <f t="shared" si="356"/>
        <v>0</v>
      </c>
      <c r="M5686">
        <f t="shared" si="357"/>
        <v>1</v>
      </c>
      <c r="N5686">
        <f t="shared" si="358"/>
        <v>0</v>
      </c>
      <c r="O5686" t="str">
        <f t="shared" si="359"/>
        <v>Proposta Ok</v>
      </c>
    </row>
    <row r="5687" spans="12:15" x14ac:dyDescent="0.25">
      <c r="L5687">
        <f t="shared" si="356"/>
        <v>0</v>
      </c>
      <c r="M5687">
        <f t="shared" si="357"/>
        <v>1</v>
      </c>
      <c r="N5687">
        <f t="shared" si="358"/>
        <v>0</v>
      </c>
      <c r="O5687" t="str">
        <f t="shared" si="359"/>
        <v>Proposta Ok</v>
      </c>
    </row>
    <row r="5688" spans="12:15" x14ac:dyDescent="0.25">
      <c r="L5688">
        <f t="shared" si="356"/>
        <v>0</v>
      </c>
      <c r="M5688">
        <f t="shared" si="357"/>
        <v>1</v>
      </c>
      <c r="N5688">
        <f t="shared" si="358"/>
        <v>0</v>
      </c>
      <c r="O5688" t="str">
        <f t="shared" si="359"/>
        <v>Proposta Ok</v>
      </c>
    </row>
    <row r="5689" spans="12:15" x14ac:dyDescent="0.25">
      <c r="L5689">
        <f t="shared" si="356"/>
        <v>0</v>
      </c>
      <c r="M5689">
        <f t="shared" si="357"/>
        <v>1</v>
      </c>
      <c r="N5689">
        <f t="shared" si="358"/>
        <v>0</v>
      </c>
      <c r="O5689" t="str">
        <f t="shared" si="359"/>
        <v>Proposta Ok</v>
      </c>
    </row>
    <row r="5690" spans="12:15" x14ac:dyDescent="0.25">
      <c r="L5690">
        <f t="shared" si="356"/>
        <v>0</v>
      </c>
      <c r="M5690">
        <f t="shared" si="357"/>
        <v>1</v>
      </c>
      <c r="N5690">
        <f t="shared" si="358"/>
        <v>0</v>
      </c>
      <c r="O5690" t="str">
        <f t="shared" si="359"/>
        <v>Proposta Ok</v>
      </c>
    </row>
    <row r="5691" spans="12:15" x14ac:dyDescent="0.25">
      <c r="L5691">
        <f t="shared" si="356"/>
        <v>0</v>
      </c>
      <c r="M5691">
        <f t="shared" si="357"/>
        <v>1</v>
      </c>
      <c r="N5691">
        <f t="shared" si="358"/>
        <v>0</v>
      </c>
      <c r="O5691" t="str">
        <f t="shared" si="359"/>
        <v>Proposta Ok</v>
      </c>
    </row>
    <row r="5692" spans="12:15" x14ac:dyDescent="0.25">
      <c r="L5692">
        <f t="shared" si="356"/>
        <v>0</v>
      </c>
      <c r="M5692">
        <f t="shared" si="357"/>
        <v>1</v>
      </c>
      <c r="N5692">
        <f t="shared" si="358"/>
        <v>0</v>
      </c>
      <c r="O5692" t="str">
        <f t="shared" si="359"/>
        <v>Proposta Ok</v>
      </c>
    </row>
    <row r="5693" spans="12:15" x14ac:dyDescent="0.25">
      <c r="L5693">
        <f t="shared" si="356"/>
        <v>0</v>
      </c>
      <c r="M5693">
        <f t="shared" si="357"/>
        <v>1</v>
      </c>
      <c r="N5693">
        <f t="shared" si="358"/>
        <v>0</v>
      </c>
      <c r="O5693" t="str">
        <f t="shared" si="359"/>
        <v>Proposta Ok</v>
      </c>
    </row>
    <row r="5694" spans="12:15" x14ac:dyDescent="0.25">
      <c r="L5694">
        <f t="shared" si="356"/>
        <v>0</v>
      </c>
      <c r="M5694">
        <f t="shared" si="357"/>
        <v>1</v>
      </c>
      <c r="N5694">
        <f t="shared" si="358"/>
        <v>0</v>
      </c>
      <c r="O5694" t="str">
        <f t="shared" si="359"/>
        <v>Proposta Ok</v>
      </c>
    </row>
    <row r="5695" spans="12:15" x14ac:dyDescent="0.25">
      <c r="L5695">
        <f t="shared" si="356"/>
        <v>0</v>
      </c>
      <c r="M5695">
        <f t="shared" si="357"/>
        <v>1</v>
      </c>
      <c r="N5695">
        <f t="shared" si="358"/>
        <v>0</v>
      </c>
      <c r="O5695" t="str">
        <f t="shared" si="359"/>
        <v>Proposta Ok</v>
      </c>
    </row>
    <row r="5696" spans="12:15" x14ac:dyDescent="0.25">
      <c r="L5696">
        <f t="shared" si="356"/>
        <v>0</v>
      </c>
      <c r="M5696">
        <f t="shared" si="357"/>
        <v>1</v>
      </c>
      <c r="N5696">
        <f t="shared" si="358"/>
        <v>0</v>
      </c>
      <c r="O5696" t="str">
        <f t="shared" si="359"/>
        <v>Proposta Ok</v>
      </c>
    </row>
    <row r="5697" spans="12:15" x14ac:dyDescent="0.25">
      <c r="L5697">
        <f t="shared" si="356"/>
        <v>0</v>
      </c>
      <c r="M5697">
        <f t="shared" si="357"/>
        <v>1</v>
      </c>
      <c r="N5697">
        <f t="shared" si="358"/>
        <v>0</v>
      </c>
      <c r="O5697" t="str">
        <f t="shared" si="359"/>
        <v>Proposta Ok</v>
      </c>
    </row>
    <row r="5698" spans="12:15" x14ac:dyDescent="0.25">
      <c r="L5698">
        <f t="shared" si="356"/>
        <v>0</v>
      </c>
      <c r="M5698">
        <f t="shared" si="357"/>
        <v>1</v>
      </c>
      <c r="N5698">
        <f t="shared" si="358"/>
        <v>0</v>
      </c>
      <c r="O5698" t="str">
        <f t="shared" si="359"/>
        <v>Proposta Ok</v>
      </c>
    </row>
    <row r="5699" spans="12:15" x14ac:dyDescent="0.25">
      <c r="L5699">
        <f t="shared" si="356"/>
        <v>0</v>
      </c>
      <c r="M5699">
        <f t="shared" si="357"/>
        <v>1</v>
      </c>
      <c r="N5699">
        <f t="shared" si="358"/>
        <v>0</v>
      </c>
      <c r="O5699" t="str">
        <f t="shared" si="359"/>
        <v>Proposta Ok</v>
      </c>
    </row>
    <row r="5700" spans="12:15" x14ac:dyDescent="0.25">
      <c r="L5700">
        <f t="shared" si="356"/>
        <v>0</v>
      </c>
      <c r="M5700">
        <f t="shared" si="357"/>
        <v>1</v>
      </c>
      <c r="N5700">
        <f t="shared" si="358"/>
        <v>0</v>
      </c>
      <c r="O5700" t="str">
        <f t="shared" si="359"/>
        <v>Proposta Ok</v>
      </c>
    </row>
    <row r="5701" spans="12:15" x14ac:dyDescent="0.25">
      <c r="L5701">
        <f t="shared" si="356"/>
        <v>0</v>
      </c>
      <c r="M5701">
        <f t="shared" si="357"/>
        <v>1</v>
      </c>
      <c r="N5701">
        <f t="shared" si="358"/>
        <v>0</v>
      </c>
      <c r="O5701" t="str">
        <f t="shared" si="359"/>
        <v>Proposta Ok</v>
      </c>
    </row>
    <row r="5702" spans="12:15" x14ac:dyDescent="0.25">
      <c r="L5702">
        <f t="shared" si="356"/>
        <v>0</v>
      </c>
      <c r="M5702">
        <f t="shared" si="357"/>
        <v>1</v>
      </c>
      <c r="N5702">
        <f t="shared" si="358"/>
        <v>0</v>
      </c>
      <c r="O5702" t="str">
        <f t="shared" si="359"/>
        <v>Proposta Ok</v>
      </c>
    </row>
    <row r="5703" spans="12:15" x14ac:dyDescent="0.25">
      <c r="L5703">
        <f t="shared" si="356"/>
        <v>0</v>
      </c>
      <c r="M5703">
        <f t="shared" si="357"/>
        <v>1</v>
      </c>
      <c r="N5703">
        <f t="shared" si="358"/>
        <v>0</v>
      </c>
      <c r="O5703" t="str">
        <f t="shared" si="359"/>
        <v>Proposta Ok</v>
      </c>
    </row>
    <row r="5704" spans="12:15" x14ac:dyDescent="0.25">
      <c r="L5704">
        <f t="shared" si="356"/>
        <v>0</v>
      </c>
      <c r="M5704">
        <f t="shared" si="357"/>
        <v>1</v>
      </c>
      <c r="N5704">
        <f t="shared" si="358"/>
        <v>0</v>
      </c>
      <c r="O5704" t="str">
        <f t="shared" si="359"/>
        <v>Proposta Ok</v>
      </c>
    </row>
    <row r="5705" spans="12:15" x14ac:dyDescent="0.25">
      <c r="L5705">
        <f t="shared" si="356"/>
        <v>0</v>
      </c>
      <c r="M5705">
        <f t="shared" si="357"/>
        <v>1</v>
      </c>
      <c r="N5705">
        <f t="shared" si="358"/>
        <v>0</v>
      </c>
      <c r="O5705" t="str">
        <f t="shared" si="359"/>
        <v>Proposta Ok</v>
      </c>
    </row>
    <row r="5706" spans="12:15" x14ac:dyDescent="0.25">
      <c r="L5706">
        <f t="shared" si="356"/>
        <v>0</v>
      </c>
      <c r="M5706">
        <f t="shared" si="357"/>
        <v>1</v>
      </c>
      <c r="N5706">
        <f t="shared" si="358"/>
        <v>0</v>
      </c>
      <c r="O5706" t="str">
        <f t="shared" si="359"/>
        <v>Proposta Ok</v>
      </c>
    </row>
    <row r="5707" spans="12:15" x14ac:dyDescent="0.25">
      <c r="L5707">
        <f t="shared" si="356"/>
        <v>0</v>
      </c>
      <c r="M5707">
        <f t="shared" si="357"/>
        <v>1</v>
      </c>
      <c r="N5707">
        <f t="shared" si="358"/>
        <v>0</v>
      </c>
      <c r="O5707" t="str">
        <f t="shared" si="359"/>
        <v>Proposta Ok</v>
      </c>
    </row>
    <row r="5708" spans="12:15" x14ac:dyDescent="0.25">
      <c r="L5708">
        <f t="shared" si="356"/>
        <v>0</v>
      </c>
      <c r="M5708">
        <f t="shared" si="357"/>
        <v>1</v>
      </c>
      <c r="N5708">
        <f t="shared" si="358"/>
        <v>0</v>
      </c>
      <c r="O5708" t="str">
        <f t="shared" si="359"/>
        <v>Proposta Ok</v>
      </c>
    </row>
    <row r="5709" spans="12:15" x14ac:dyDescent="0.25">
      <c r="L5709">
        <f t="shared" si="356"/>
        <v>0</v>
      </c>
      <c r="M5709">
        <f t="shared" si="357"/>
        <v>1</v>
      </c>
      <c r="N5709">
        <f t="shared" si="358"/>
        <v>0</v>
      </c>
      <c r="O5709" t="str">
        <f t="shared" si="359"/>
        <v>Proposta Ok</v>
      </c>
    </row>
    <row r="5710" spans="12:15" x14ac:dyDescent="0.25">
      <c r="L5710">
        <f t="shared" si="356"/>
        <v>0</v>
      </c>
      <c r="M5710">
        <f t="shared" si="357"/>
        <v>1</v>
      </c>
      <c r="N5710">
        <f t="shared" si="358"/>
        <v>0</v>
      </c>
      <c r="O5710" t="str">
        <f t="shared" si="359"/>
        <v>Proposta Ok</v>
      </c>
    </row>
    <row r="5711" spans="12:15" x14ac:dyDescent="0.25">
      <c r="L5711">
        <f t="shared" si="356"/>
        <v>0</v>
      </c>
      <c r="M5711">
        <f t="shared" si="357"/>
        <v>1</v>
      </c>
      <c r="N5711">
        <f t="shared" si="358"/>
        <v>0</v>
      </c>
      <c r="O5711" t="str">
        <f t="shared" si="359"/>
        <v>Proposta Ok</v>
      </c>
    </row>
    <row r="5712" spans="12:15" x14ac:dyDescent="0.25">
      <c r="L5712">
        <f t="shared" si="356"/>
        <v>0</v>
      </c>
      <c r="M5712">
        <f t="shared" si="357"/>
        <v>1</v>
      </c>
      <c r="N5712">
        <f t="shared" si="358"/>
        <v>0</v>
      </c>
      <c r="O5712" t="str">
        <f t="shared" si="359"/>
        <v>Proposta Ok</v>
      </c>
    </row>
    <row r="5713" spans="12:15" x14ac:dyDescent="0.25">
      <c r="L5713">
        <f t="shared" si="356"/>
        <v>0</v>
      </c>
      <c r="M5713">
        <f t="shared" si="357"/>
        <v>1</v>
      </c>
      <c r="N5713">
        <f t="shared" si="358"/>
        <v>0</v>
      </c>
      <c r="O5713" t="str">
        <f t="shared" si="359"/>
        <v>Proposta Ok</v>
      </c>
    </row>
    <row r="5714" spans="12:15" x14ac:dyDescent="0.25">
      <c r="L5714">
        <f t="shared" si="356"/>
        <v>0</v>
      </c>
      <c r="M5714">
        <f t="shared" si="357"/>
        <v>1</v>
      </c>
      <c r="N5714">
        <f t="shared" si="358"/>
        <v>0</v>
      </c>
      <c r="O5714" t="str">
        <f t="shared" si="359"/>
        <v>Proposta Ok</v>
      </c>
    </row>
    <row r="5715" spans="12:15" x14ac:dyDescent="0.25">
      <c r="L5715">
        <f t="shared" si="356"/>
        <v>0</v>
      </c>
      <c r="M5715">
        <f t="shared" si="357"/>
        <v>1</v>
      </c>
      <c r="N5715">
        <f t="shared" si="358"/>
        <v>0</v>
      </c>
      <c r="O5715" t="str">
        <f t="shared" si="359"/>
        <v>Proposta Ok</v>
      </c>
    </row>
    <row r="5716" spans="12:15" x14ac:dyDescent="0.25">
      <c r="L5716">
        <f t="shared" si="356"/>
        <v>0</v>
      </c>
      <c r="M5716">
        <f t="shared" si="357"/>
        <v>1</v>
      </c>
      <c r="N5716">
        <f t="shared" si="358"/>
        <v>0</v>
      </c>
      <c r="O5716" t="str">
        <f t="shared" si="359"/>
        <v>Proposta Ok</v>
      </c>
    </row>
    <row r="5717" spans="12:15" x14ac:dyDescent="0.25">
      <c r="L5717">
        <f t="shared" si="356"/>
        <v>0</v>
      </c>
      <c r="M5717">
        <f t="shared" si="357"/>
        <v>1</v>
      </c>
      <c r="N5717">
        <f t="shared" si="358"/>
        <v>0</v>
      </c>
      <c r="O5717" t="str">
        <f t="shared" si="359"/>
        <v>Proposta Ok</v>
      </c>
    </row>
    <row r="5718" spans="12:15" x14ac:dyDescent="0.25">
      <c r="L5718">
        <f t="shared" si="356"/>
        <v>0</v>
      </c>
      <c r="M5718">
        <f t="shared" si="357"/>
        <v>1</v>
      </c>
      <c r="N5718">
        <f t="shared" si="358"/>
        <v>0</v>
      </c>
      <c r="O5718" t="str">
        <f t="shared" si="359"/>
        <v>Proposta Ok</v>
      </c>
    </row>
    <row r="5719" spans="12:15" x14ac:dyDescent="0.25">
      <c r="L5719">
        <f t="shared" si="356"/>
        <v>0</v>
      </c>
      <c r="M5719">
        <f t="shared" si="357"/>
        <v>1</v>
      </c>
      <c r="N5719">
        <f t="shared" si="358"/>
        <v>0</v>
      </c>
      <c r="O5719" t="str">
        <f t="shared" si="359"/>
        <v>Proposta Ok</v>
      </c>
    </row>
    <row r="5720" spans="12:15" x14ac:dyDescent="0.25">
      <c r="L5720">
        <f t="shared" si="356"/>
        <v>0</v>
      </c>
      <c r="M5720">
        <f t="shared" si="357"/>
        <v>1</v>
      </c>
      <c r="N5720">
        <f t="shared" si="358"/>
        <v>0</v>
      </c>
      <c r="O5720" t="str">
        <f t="shared" si="359"/>
        <v>Proposta Ok</v>
      </c>
    </row>
    <row r="5721" spans="12:15" x14ac:dyDescent="0.25">
      <c r="L5721">
        <f t="shared" si="356"/>
        <v>0</v>
      </c>
      <c r="M5721">
        <f t="shared" si="357"/>
        <v>1</v>
      </c>
      <c r="N5721">
        <f t="shared" si="358"/>
        <v>0</v>
      </c>
      <c r="O5721" t="str">
        <f t="shared" si="359"/>
        <v>Proposta Ok</v>
      </c>
    </row>
    <row r="5722" spans="12:15" x14ac:dyDescent="0.25">
      <c r="L5722">
        <f t="shared" si="356"/>
        <v>0</v>
      </c>
      <c r="M5722">
        <f t="shared" si="357"/>
        <v>1</v>
      </c>
      <c r="N5722">
        <f t="shared" si="358"/>
        <v>0</v>
      </c>
      <c r="O5722" t="str">
        <f t="shared" si="359"/>
        <v>Proposta Ok</v>
      </c>
    </row>
    <row r="5723" spans="12:15" x14ac:dyDescent="0.25">
      <c r="L5723">
        <f t="shared" ref="L5723:L5786" si="360">IF(OR(I5723="Termo OK (Exceção)",I5723="Termo OK"),1,0)</f>
        <v>0</v>
      </c>
      <c r="M5723">
        <f t="shared" ref="M5723:M5786" si="361">IF(OR(I5723="Termo OK (Exceção)",I5723="Termo OK"),0,1)</f>
        <v>1</v>
      </c>
      <c r="N5723">
        <f t="shared" ref="N5723:N5786" si="362">IF(J5723="SIM",1,0)</f>
        <v>0</v>
      </c>
      <c r="O5723" t="str">
        <f t="shared" ref="O5723:O5786" si="363">IF(SUMIFS(M:M,A:A,A5723)&gt;0,"Proposta não Ok","Proposta Ok")</f>
        <v>Proposta Ok</v>
      </c>
    </row>
    <row r="5724" spans="12:15" x14ac:dyDescent="0.25">
      <c r="L5724">
        <f t="shared" si="360"/>
        <v>0</v>
      </c>
      <c r="M5724">
        <f t="shared" si="361"/>
        <v>1</v>
      </c>
      <c r="N5724">
        <f t="shared" si="362"/>
        <v>0</v>
      </c>
      <c r="O5724" t="str">
        <f t="shared" si="363"/>
        <v>Proposta Ok</v>
      </c>
    </row>
    <row r="5725" spans="12:15" x14ac:dyDescent="0.25">
      <c r="L5725">
        <f t="shared" si="360"/>
        <v>0</v>
      </c>
      <c r="M5725">
        <f t="shared" si="361"/>
        <v>1</v>
      </c>
      <c r="N5725">
        <f t="shared" si="362"/>
        <v>0</v>
      </c>
      <c r="O5725" t="str">
        <f t="shared" si="363"/>
        <v>Proposta Ok</v>
      </c>
    </row>
    <row r="5726" spans="12:15" x14ac:dyDescent="0.25">
      <c r="L5726">
        <f t="shared" si="360"/>
        <v>0</v>
      </c>
      <c r="M5726">
        <f t="shared" si="361"/>
        <v>1</v>
      </c>
      <c r="N5726">
        <f t="shared" si="362"/>
        <v>0</v>
      </c>
      <c r="O5726" t="str">
        <f t="shared" si="363"/>
        <v>Proposta Ok</v>
      </c>
    </row>
    <row r="5727" spans="12:15" x14ac:dyDescent="0.25">
      <c r="L5727">
        <f t="shared" si="360"/>
        <v>0</v>
      </c>
      <c r="M5727">
        <f t="shared" si="361"/>
        <v>1</v>
      </c>
      <c r="N5727">
        <f t="shared" si="362"/>
        <v>0</v>
      </c>
      <c r="O5727" t="str">
        <f t="shared" si="363"/>
        <v>Proposta Ok</v>
      </c>
    </row>
    <row r="5728" spans="12:15" x14ac:dyDescent="0.25">
      <c r="L5728">
        <f t="shared" si="360"/>
        <v>0</v>
      </c>
      <c r="M5728">
        <f t="shared" si="361"/>
        <v>1</v>
      </c>
      <c r="N5728">
        <f t="shared" si="362"/>
        <v>0</v>
      </c>
      <c r="O5728" t="str">
        <f t="shared" si="363"/>
        <v>Proposta Ok</v>
      </c>
    </row>
    <row r="5729" spans="12:15" x14ac:dyDescent="0.25">
      <c r="L5729">
        <f t="shared" si="360"/>
        <v>0</v>
      </c>
      <c r="M5729">
        <f t="shared" si="361"/>
        <v>1</v>
      </c>
      <c r="N5729">
        <f t="shared" si="362"/>
        <v>0</v>
      </c>
      <c r="O5729" t="str">
        <f t="shared" si="363"/>
        <v>Proposta Ok</v>
      </c>
    </row>
    <row r="5730" spans="12:15" x14ac:dyDescent="0.25">
      <c r="L5730">
        <f t="shared" si="360"/>
        <v>0</v>
      </c>
      <c r="M5730">
        <f t="shared" si="361"/>
        <v>1</v>
      </c>
      <c r="N5730">
        <f t="shared" si="362"/>
        <v>0</v>
      </c>
      <c r="O5730" t="str">
        <f t="shared" si="363"/>
        <v>Proposta Ok</v>
      </c>
    </row>
    <row r="5731" spans="12:15" x14ac:dyDescent="0.25">
      <c r="L5731">
        <f t="shared" si="360"/>
        <v>0</v>
      </c>
      <c r="M5731">
        <f t="shared" si="361"/>
        <v>1</v>
      </c>
      <c r="N5731">
        <f t="shared" si="362"/>
        <v>0</v>
      </c>
      <c r="O5731" t="str">
        <f t="shared" si="363"/>
        <v>Proposta Ok</v>
      </c>
    </row>
    <row r="5732" spans="12:15" x14ac:dyDescent="0.25">
      <c r="L5732">
        <f t="shared" si="360"/>
        <v>0</v>
      </c>
      <c r="M5732">
        <f t="shared" si="361"/>
        <v>1</v>
      </c>
      <c r="N5732">
        <f t="shared" si="362"/>
        <v>0</v>
      </c>
      <c r="O5732" t="str">
        <f t="shared" si="363"/>
        <v>Proposta Ok</v>
      </c>
    </row>
    <row r="5733" spans="12:15" x14ac:dyDescent="0.25">
      <c r="L5733">
        <f t="shared" si="360"/>
        <v>0</v>
      </c>
      <c r="M5733">
        <f t="shared" si="361"/>
        <v>1</v>
      </c>
      <c r="N5733">
        <f t="shared" si="362"/>
        <v>0</v>
      </c>
      <c r="O5733" t="str">
        <f t="shared" si="363"/>
        <v>Proposta Ok</v>
      </c>
    </row>
    <row r="5734" spans="12:15" x14ac:dyDescent="0.25">
      <c r="L5734">
        <f t="shared" si="360"/>
        <v>0</v>
      </c>
      <c r="M5734">
        <f t="shared" si="361"/>
        <v>1</v>
      </c>
      <c r="N5734">
        <f t="shared" si="362"/>
        <v>0</v>
      </c>
      <c r="O5734" t="str">
        <f t="shared" si="363"/>
        <v>Proposta Ok</v>
      </c>
    </row>
    <row r="5735" spans="12:15" x14ac:dyDescent="0.25">
      <c r="L5735">
        <f t="shared" si="360"/>
        <v>0</v>
      </c>
      <c r="M5735">
        <f t="shared" si="361"/>
        <v>1</v>
      </c>
      <c r="N5735">
        <f t="shared" si="362"/>
        <v>0</v>
      </c>
      <c r="O5735" t="str">
        <f t="shared" si="363"/>
        <v>Proposta Ok</v>
      </c>
    </row>
    <row r="5736" spans="12:15" x14ac:dyDescent="0.25">
      <c r="L5736">
        <f t="shared" si="360"/>
        <v>0</v>
      </c>
      <c r="M5736">
        <f t="shared" si="361"/>
        <v>1</v>
      </c>
      <c r="N5736">
        <f t="shared" si="362"/>
        <v>0</v>
      </c>
      <c r="O5736" t="str">
        <f t="shared" si="363"/>
        <v>Proposta Ok</v>
      </c>
    </row>
    <row r="5737" spans="12:15" x14ac:dyDescent="0.25">
      <c r="L5737">
        <f t="shared" si="360"/>
        <v>0</v>
      </c>
      <c r="M5737">
        <f t="shared" si="361"/>
        <v>1</v>
      </c>
      <c r="N5737">
        <f t="shared" si="362"/>
        <v>0</v>
      </c>
      <c r="O5737" t="str">
        <f t="shared" si="363"/>
        <v>Proposta Ok</v>
      </c>
    </row>
    <row r="5738" spans="12:15" x14ac:dyDescent="0.25">
      <c r="L5738">
        <f t="shared" si="360"/>
        <v>0</v>
      </c>
      <c r="M5738">
        <f t="shared" si="361"/>
        <v>1</v>
      </c>
      <c r="N5738">
        <f t="shared" si="362"/>
        <v>0</v>
      </c>
      <c r="O5738" t="str">
        <f t="shared" si="363"/>
        <v>Proposta Ok</v>
      </c>
    </row>
    <row r="5739" spans="12:15" x14ac:dyDescent="0.25">
      <c r="L5739">
        <f t="shared" si="360"/>
        <v>0</v>
      </c>
      <c r="M5739">
        <f t="shared" si="361"/>
        <v>1</v>
      </c>
      <c r="N5739">
        <f t="shared" si="362"/>
        <v>0</v>
      </c>
      <c r="O5739" t="str">
        <f t="shared" si="363"/>
        <v>Proposta Ok</v>
      </c>
    </row>
    <row r="5740" spans="12:15" x14ac:dyDescent="0.25">
      <c r="L5740">
        <f t="shared" si="360"/>
        <v>0</v>
      </c>
      <c r="M5740">
        <f t="shared" si="361"/>
        <v>1</v>
      </c>
      <c r="N5740">
        <f t="shared" si="362"/>
        <v>0</v>
      </c>
      <c r="O5740" t="str">
        <f t="shared" si="363"/>
        <v>Proposta Ok</v>
      </c>
    </row>
    <row r="5741" spans="12:15" x14ac:dyDescent="0.25">
      <c r="L5741">
        <f t="shared" si="360"/>
        <v>0</v>
      </c>
      <c r="M5741">
        <f t="shared" si="361"/>
        <v>1</v>
      </c>
      <c r="N5741">
        <f t="shared" si="362"/>
        <v>0</v>
      </c>
      <c r="O5741" t="str">
        <f t="shared" si="363"/>
        <v>Proposta Ok</v>
      </c>
    </row>
    <row r="5742" spans="12:15" x14ac:dyDescent="0.25">
      <c r="L5742">
        <f t="shared" si="360"/>
        <v>0</v>
      </c>
      <c r="M5742">
        <f t="shared" si="361"/>
        <v>1</v>
      </c>
      <c r="N5742">
        <f t="shared" si="362"/>
        <v>0</v>
      </c>
      <c r="O5742" t="str">
        <f t="shared" si="363"/>
        <v>Proposta Ok</v>
      </c>
    </row>
    <row r="5743" spans="12:15" x14ac:dyDescent="0.25">
      <c r="L5743">
        <f t="shared" si="360"/>
        <v>0</v>
      </c>
      <c r="M5743">
        <f t="shared" si="361"/>
        <v>1</v>
      </c>
      <c r="N5743">
        <f t="shared" si="362"/>
        <v>0</v>
      </c>
      <c r="O5743" t="str">
        <f t="shared" si="363"/>
        <v>Proposta Ok</v>
      </c>
    </row>
    <row r="5744" spans="12:15" x14ac:dyDescent="0.25">
      <c r="L5744">
        <f t="shared" si="360"/>
        <v>0</v>
      </c>
      <c r="M5744">
        <f t="shared" si="361"/>
        <v>1</v>
      </c>
      <c r="N5744">
        <f t="shared" si="362"/>
        <v>0</v>
      </c>
      <c r="O5744" t="str">
        <f t="shared" si="363"/>
        <v>Proposta Ok</v>
      </c>
    </row>
    <row r="5745" spans="12:15" x14ac:dyDescent="0.25">
      <c r="L5745">
        <f t="shared" si="360"/>
        <v>0</v>
      </c>
      <c r="M5745">
        <f t="shared" si="361"/>
        <v>1</v>
      </c>
      <c r="N5745">
        <f t="shared" si="362"/>
        <v>0</v>
      </c>
      <c r="O5745" t="str">
        <f t="shared" si="363"/>
        <v>Proposta Ok</v>
      </c>
    </row>
    <row r="5746" spans="12:15" x14ac:dyDescent="0.25">
      <c r="L5746">
        <f t="shared" si="360"/>
        <v>0</v>
      </c>
      <c r="M5746">
        <f t="shared" si="361"/>
        <v>1</v>
      </c>
      <c r="N5746">
        <f t="shared" si="362"/>
        <v>0</v>
      </c>
      <c r="O5746" t="str">
        <f t="shared" si="363"/>
        <v>Proposta Ok</v>
      </c>
    </row>
    <row r="5747" spans="12:15" x14ac:dyDescent="0.25">
      <c r="L5747">
        <f t="shared" si="360"/>
        <v>0</v>
      </c>
      <c r="M5747">
        <f t="shared" si="361"/>
        <v>1</v>
      </c>
      <c r="N5747">
        <f t="shared" si="362"/>
        <v>0</v>
      </c>
      <c r="O5747" t="str">
        <f t="shared" si="363"/>
        <v>Proposta Ok</v>
      </c>
    </row>
    <row r="5748" spans="12:15" x14ac:dyDescent="0.25">
      <c r="L5748">
        <f t="shared" si="360"/>
        <v>0</v>
      </c>
      <c r="M5748">
        <f t="shared" si="361"/>
        <v>1</v>
      </c>
      <c r="N5748">
        <f t="shared" si="362"/>
        <v>0</v>
      </c>
      <c r="O5748" t="str">
        <f t="shared" si="363"/>
        <v>Proposta Ok</v>
      </c>
    </row>
    <row r="5749" spans="12:15" x14ac:dyDescent="0.25">
      <c r="L5749">
        <f t="shared" si="360"/>
        <v>0</v>
      </c>
      <c r="M5749">
        <f t="shared" si="361"/>
        <v>1</v>
      </c>
      <c r="N5749">
        <f t="shared" si="362"/>
        <v>0</v>
      </c>
      <c r="O5749" t="str">
        <f t="shared" si="363"/>
        <v>Proposta Ok</v>
      </c>
    </row>
    <row r="5750" spans="12:15" x14ac:dyDescent="0.25">
      <c r="L5750">
        <f t="shared" si="360"/>
        <v>0</v>
      </c>
      <c r="M5750">
        <f t="shared" si="361"/>
        <v>1</v>
      </c>
      <c r="N5750">
        <f t="shared" si="362"/>
        <v>0</v>
      </c>
      <c r="O5750" t="str">
        <f t="shared" si="363"/>
        <v>Proposta Ok</v>
      </c>
    </row>
    <row r="5751" spans="12:15" x14ac:dyDescent="0.25">
      <c r="L5751">
        <f t="shared" si="360"/>
        <v>0</v>
      </c>
      <c r="M5751">
        <f t="shared" si="361"/>
        <v>1</v>
      </c>
      <c r="N5751">
        <f t="shared" si="362"/>
        <v>0</v>
      </c>
      <c r="O5751" t="str">
        <f t="shared" si="363"/>
        <v>Proposta Ok</v>
      </c>
    </row>
    <row r="5752" spans="12:15" x14ac:dyDescent="0.25">
      <c r="L5752">
        <f t="shared" si="360"/>
        <v>0</v>
      </c>
      <c r="M5752">
        <f t="shared" si="361"/>
        <v>1</v>
      </c>
      <c r="N5752">
        <f t="shared" si="362"/>
        <v>0</v>
      </c>
      <c r="O5752" t="str">
        <f t="shared" si="363"/>
        <v>Proposta Ok</v>
      </c>
    </row>
    <row r="5753" spans="12:15" x14ac:dyDescent="0.25">
      <c r="L5753">
        <f t="shared" si="360"/>
        <v>0</v>
      </c>
      <c r="M5753">
        <f t="shared" si="361"/>
        <v>1</v>
      </c>
      <c r="N5753">
        <f t="shared" si="362"/>
        <v>0</v>
      </c>
      <c r="O5753" t="str">
        <f t="shared" si="363"/>
        <v>Proposta Ok</v>
      </c>
    </row>
    <row r="5754" spans="12:15" x14ac:dyDescent="0.25">
      <c r="L5754">
        <f t="shared" si="360"/>
        <v>0</v>
      </c>
      <c r="M5754">
        <f t="shared" si="361"/>
        <v>1</v>
      </c>
      <c r="N5754">
        <f t="shared" si="362"/>
        <v>0</v>
      </c>
      <c r="O5754" t="str">
        <f t="shared" si="363"/>
        <v>Proposta Ok</v>
      </c>
    </row>
    <row r="5755" spans="12:15" x14ac:dyDescent="0.25">
      <c r="L5755">
        <f t="shared" si="360"/>
        <v>0</v>
      </c>
      <c r="M5755">
        <f t="shared" si="361"/>
        <v>1</v>
      </c>
      <c r="N5755">
        <f t="shared" si="362"/>
        <v>0</v>
      </c>
      <c r="O5755" t="str">
        <f t="shared" si="363"/>
        <v>Proposta Ok</v>
      </c>
    </row>
    <row r="5756" spans="12:15" x14ac:dyDescent="0.25">
      <c r="L5756">
        <f t="shared" si="360"/>
        <v>0</v>
      </c>
      <c r="M5756">
        <f t="shared" si="361"/>
        <v>1</v>
      </c>
      <c r="N5756">
        <f t="shared" si="362"/>
        <v>0</v>
      </c>
      <c r="O5756" t="str">
        <f t="shared" si="363"/>
        <v>Proposta Ok</v>
      </c>
    </row>
    <row r="5757" spans="12:15" x14ac:dyDescent="0.25">
      <c r="L5757">
        <f t="shared" si="360"/>
        <v>0</v>
      </c>
      <c r="M5757">
        <f t="shared" si="361"/>
        <v>1</v>
      </c>
      <c r="N5757">
        <f t="shared" si="362"/>
        <v>0</v>
      </c>
      <c r="O5757" t="str">
        <f t="shared" si="363"/>
        <v>Proposta Ok</v>
      </c>
    </row>
    <row r="5758" spans="12:15" x14ac:dyDescent="0.25">
      <c r="L5758">
        <f t="shared" si="360"/>
        <v>0</v>
      </c>
      <c r="M5758">
        <f t="shared" si="361"/>
        <v>1</v>
      </c>
      <c r="N5758">
        <f t="shared" si="362"/>
        <v>0</v>
      </c>
      <c r="O5758" t="str">
        <f t="shared" si="363"/>
        <v>Proposta Ok</v>
      </c>
    </row>
    <row r="5759" spans="12:15" x14ac:dyDescent="0.25">
      <c r="L5759">
        <f t="shared" si="360"/>
        <v>0</v>
      </c>
      <c r="M5759">
        <f t="shared" si="361"/>
        <v>1</v>
      </c>
      <c r="N5759">
        <f t="shared" si="362"/>
        <v>0</v>
      </c>
      <c r="O5759" t="str">
        <f t="shared" si="363"/>
        <v>Proposta Ok</v>
      </c>
    </row>
    <row r="5760" spans="12:15" x14ac:dyDescent="0.25">
      <c r="L5760">
        <f t="shared" si="360"/>
        <v>0</v>
      </c>
      <c r="M5760">
        <f t="shared" si="361"/>
        <v>1</v>
      </c>
      <c r="N5760">
        <f t="shared" si="362"/>
        <v>0</v>
      </c>
      <c r="O5760" t="str">
        <f t="shared" si="363"/>
        <v>Proposta Ok</v>
      </c>
    </row>
    <row r="5761" spans="12:15" x14ac:dyDescent="0.25">
      <c r="L5761">
        <f t="shared" si="360"/>
        <v>0</v>
      </c>
      <c r="M5761">
        <f t="shared" si="361"/>
        <v>1</v>
      </c>
      <c r="N5761">
        <f t="shared" si="362"/>
        <v>0</v>
      </c>
      <c r="O5761" t="str">
        <f t="shared" si="363"/>
        <v>Proposta Ok</v>
      </c>
    </row>
    <row r="5762" spans="12:15" x14ac:dyDescent="0.25">
      <c r="L5762">
        <f t="shared" si="360"/>
        <v>0</v>
      </c>
      <c r="M5762">
        <f t="shared" si="361"/>
        <v>1</v>
      </c>
      <c r="N5762">
        <f t="shared" si="362"/>
        <v>0</v>
      </c>
      <c r="O5762" t="str">
        <f t="shared" si="363"/>
        <v>Proposta Ok</v>
      </c>
    </row>
    <row r="5763" spans="12:15" x14ac:dyDescent="0.25">
      <c r="L5763">
        <f t="shared" si="360"/>
        <v>0</v>
      </c>
      <c r="M5763">
        <f t="shared" si="361"/>
        <v>1</v>
      </c>
      <c r="N5763">
        <f t="shared" si="362"/>
        <v>0</v>
      </c>
      <c r="O5763" t="str">
        <f t="shared" si="363"/>
        <v>Proposta Ok</v>
      </c>
    </row>
    <row r="5764" spans="12:15" x14ac:dyDescent="0.25">
      <c r="L5764">
        <f t="shared" si="360"/>
        <v>0</v>
      </c>
      <c r="M5764">
        <f t="shared" si="361"/>
        <v>1</v>
      </c>
      <c r="N5764">
        <f t="shared" si="362"/>
        <v>0</v>
      </c>
      <c r="O5764" t="str">
        <f t="shared" si="363"/>
        <v>Proposta Ok</v>
      </c>
    </row>
    <row r="5765" spans="12:15" x14ac:dyDescent="0.25">
      <c r="L5765">
        <f t="shared" si="360"/>
        <v>0</v>
      </c>
      <c r="M5765">
        <f t="shared" si="361"/>
        <v>1</v>
      </c>
      <c r="N5765">
        <f t="shared" si="362"/>
        <v>0</v>
      </c>
      <c r="O5765" t="str">
        <f t="shared" si="363"/>
        <v>Proposta Ok</v>
      </c>
    </row>
    <row r="5766" spans="12:15" x14ac:dyDescent="0.25">
      <c r="L5766">
        <f t="shared" si="360"/>
        <v>0</v>
      </c>
      <c r="M5766">
        <f t="shared" si="361"/>
        <v>1</v>
      </c>
      <c r="N5766">
        <f t="shared" si="362"/>
        <v>0</v>
      </c>
      <c r="O5766" t="str">
        <f t="shared" si="363"/>
        <v>Proposta Ok</v>
      </c>
    </row>
    <row r="5767" spans="12:15" x14ac:dyDescent="0.25">
      <c r="L5767">
        <f t="shared" si="360"/>
        <v>0</v>
      </c>
      <c r="M5767">
        <f t="shared" si="361"/>
        <v>1</v>
      </c>
      <c r="N5767">
        <f t="shared" si="362"/>
        <v>0</v>
      </c>
      <c r="O5767" t="str">
        <f t="shared" si="363"/>
        <v>Proposta Ok</v>
      </c>
    </row>
    <row r="5768" spans="12:15" x14ac:dyDescent="0.25">
      <c r="L5768">
        <f t="shared" si="360"/>
        <v>0</v>
      </c>
      <c r="M5768">
        <f t="shared" si="361"/>
        <v>1</v>
      </c>
      <c r="N5768">
        <f t="shared" si="362"/>
        <v>0</v>
      </c>
      <c r="O5768" t="str">
        <f t="shared" si="363"/>
        <v>Proposta Ok</v>
      </c>
    </row>
    <row r="5769" spans="12:15" x14ac:dyDescent="0.25">
      <c r="L5769">
        <f t="shared" si="360"/>
        <v>0</v>
      </c>
      <c r="M5769">
        <f t="shared" si="361"/>
        <v>1</v>
      </c>
      <c r="N5769">
        <f t="shared" si="362"/>
        <v>0</v>
      </c>
      <c r="O5769" t="str">
        <f t="shared" si="363"/>
        <v>Proposta Ok</v>
      </c>
    </row>
    <row r="5770" spans="12:15" x14ac:dyDescent="0.25">
      <c r="L5770">
        <f t="shared" si="360"/>
        <v>0</v>
      </c>
      <c r="M5770">
        <f t="shared" si="361"/>
        <v>1</v>
      </c>
      <c r="N5770">
        <f t="shared" si="362"/>
        <v>0</v>
      </c>
      <c r="O5770" t="str">
        <f t="shared" si="363"/>
        <v>Proposta Ok</v>
      </c>
    </row>
    <row r="5771" spans="12:15" x14ac:dyDescent="0.25">
      <c r="L5771">
        <f t="shared" si="360"/>
        <v>0</v>
      </c>
      <c r="M5771">
        <f t="shared" si="361"/>
        <v>1</v>
      </c>
      <c r="N5771">
        <f t="shared" si="362"/>
        <v>0</v>
      </c>
      <c r="O5771" t="str">
        <f t="shared" si="363"/>
        <v>Proposta Ok</v>
      </c>
    </row>
    <row r="5772" spans="12:15" x14ac:dyDescent="0.25">
      <c r="L5772">
        <f t="shared" si="360"/>
        <v>0</v>
      </c>
      <c r="M5772">
        <f t="shared" si="361"/>
        <v>1</v>
      </c>
      <c r="N5772">
        <f t="shared" si="362"/>
        <v>0</v>
      </c>
      <c r="O5772" t="str">
        <f t="shared" si="363"/>
        <v>Proposta Ok</v>
      </c>
    </row>
    <row r="5773" spans="12:15" x14ac:dyDescent="0.25">
      <c r="L5773">
        <f t="shared" si="360"/>
        <v>0</v>
      </c>
      <c r="M5773">
        <f t="shared" si="361"/>
        <v>1</v>
      </c>
      <c r="N5773">
        <f t="shared" si="362"/>
        <v>0</v>
      </c>
      <c r="O5773" t="str">
        <f t="shared" si="363"/>
        <v>Proposta Ok</v>
      </c>
    </row>
    <row r="5774" spans="12:15" x14ac:dyDescent="0.25">
      <c r="L5774">
        <f t="shared" si="360"/>
        <v>0</v>
      </c>
      <c r="M5774">
        <f t="shared" si="361"/>
        <v>1</v>
      </c>
      <c r="N5774">
        <f t="shared" si="362"/>
        <v>0</v>
      </c>
      <c r="O5774" t="str">
        <f t="shared" si="363"/>
        <v>Proposta Ok</v>
      </c>
    </row>
    <row r="5775" spans="12:15" x14ac:dyDescent="0.25">
      <c r="L5775">
        <f t="shared" si="360"/>
        <v>0</v>
      </c>
      <c r="M5775">
        <f t="shared" si="361"/>
        <v>1</v>
      </c>
      <c r="N5775">
        <f t="shared" si="362"/>
        <v>0</v>
      </c>
      <c r="O5775" t="str">
        <f t="shared" si="363"/>
        <v>Proposta Ok</v>
      </c>
    </row>
    <row r="5776" spans="12:15" x14ac:dyDescent="0.25">
      <c r="L5776">
        <f t="shared" si="360"/>
        <v>0</v>
      </c>
      <c r="M5776">
        <f t="shared" si="361"/>
        <v>1</v>
      </c>
      <c r="N5776">
        <f t="shared" si="362"/>
        <v>0</v>
      </c>
      <c r="O5776" t="str">
        <f t="shared" si="363"/>
        <v>Proposta Ok</v>
      </c>
    </row>
    <row r="5777" spans="12:15" x14ac:dyDescent="0.25">
      <c r="L5777">
        <f t="shared" si="360"/>
        <v>0</v>
      </c>
      <c r="M5777">
        <f t="shared" si="361"/>
        <v>1</v>
      </c>
      <c r="N5777">
        <f t="shared" si="362"/>
        <v>0</v>
      </c>
      <c r="O5777" t="str">
        <f t="shared" si="363"/>
        <v>Proposta Ok</v>
      </c>
    </row>
    <row r="5778" spans="12:15" x14ac:dyDescent="0.25">
      <c r="L5778">
        <f t="shared" si="360"/>
        <v>0</v>
      </c>
      <c r="M5778">
        <f t="shared" si="361"/>
        <v>1</v>
      </c>
      <c r="N5778">
        <f t="shared" si="362"/>
        <v>0</v>
      </c>
      <c r="O5778" t="str">
        <f t="shared" si="363"/>
        <v>Proposta Ok</v>
      </c>
    </row>
    <row r="5779" spans="12:15" x14ac:dyDescent="0.25">
      <c r="L5779">
        <f t="shared" si="360"/>
        <v>0</v>
      </c>
      <c r="M5779">
        <f t="shared" si="361"/>
        <v>1</v>
      </c>
      <c r="N5779">
        <f t="shared" si="362"/>
        <v>0</v>
      </c>
      <c r="O5779" t="str">
        <f t="shared" si="363"/>
        <v>Proposta Ok</v>
      </c>
    </row>
    <row r="5780" spans="12:15" x14ac:dyDescent="0.25">
      <c r="L5780">
        <f t="shared" si="360"/>
        <v>0</v>
      </c>
      <c r="M5780">
        <f t="shared" si="361"/>
        <v>1</v>
      </c>
      <c r="N5780">
        <f t="shared" si="362"/>
        <v>0</v>
      </c>
      <c r="O5780" t="str">
        <f t="shared" si="363"/>
        <v>Proposta Ok</v>
      </c>
    </row>
    <row r="5781" spans="12:15" x14ac:dyDescent="0.25">
      <c r="L5781">
        <f t="shared" si="360"/>
        <v>0</v>
      </c>
      <c r="M5781">
        <f t="shared" si="361"/>
        <v>1</v>
      </c>
      <c r="N5781">
        <f t="shared" si="362"/>
        <v>0</v>
      </c>
      <c r="O5781" t="str">
        <f t="shared" si="363"/>
        <v>Proposta Ok</v>
      </c>
    </row>
    <row r="5782" spans="12:15" x14ac:dyDescent="0.25">
      <c r="L5782">
        <f t="shared" si="360"/>
        <v>0</v>
      </c>
      <c r="M5782">
        <f t="shared" si="361"/>
        <v>1</v>
      </c>
      <c r="N5782">
        <f t="shared" si="362"/>
        <v>0</v>
      </c>
      <c r="O5782" t="str">
        <f t="shared" si="363"/>
        <v>Proposta Ok</v>
      </c>
    </row>
    <row r="5783" spans="12:15" x14ac:dyDescent="0.25">
      <c r="L5783">
        <f t="shared" si="360"/>
        <v>0</v>
      </c>
      <c r="M5783">
        <f t="shared" si="361"/>
        <v>1</v>
      </c>
      <c r="N5783">
        <f t="shared" si="362"/>
        <v>0</v>
      </c>
      <c r="O5783" t="str">
        <f t="shared" si="363"/>
        <v>Proposta Ok</v>
      </c>
    </row>
    <row r="5784" spans="12:15" x14ac:dyDescent="0.25">
      <c r="L5784">
        <f t="shared" si="360"/>
        <v>0</v>
      </c>
      <c r="M5784">
        <f t="shared" si="361"/>
        <v>1</v>
      </c>
      <c r="N5784">
        <f t="shared" si="362"/>
        <v>0</v>
      </c>
      <c r="O5784" t="str">
        <f t="shared" si="363"/>
        <v>Proposta Ok</v>
      </c>
    </row>
    <row r="5785" spans="12:15" x14ac:dyDescent="0.25">
      <c r="L5785">
        <f t="shared" si="360"/>
        <v>0</v>
      </c>
      <c r="M5785">
        <f t="shared" si="361"/>
        <v>1</v>
      </c>
      <c r="N5785">
        <f t="shared" si="362"/>
        <v>0</v>
      </c>
      <c r="O5785" t="str">
        <f t="shared" si="363"/>
        <v>Proposta Ok</v>
      </c>
    </row>
    <row r="5786" spans="12:15" x14ac:dyDescent="0.25">
      <c r="L5786">
        <f t="shared" si="360"/>
        <v>0</v>
      </c>
      <c r="M5786">
        <f t="shared" si="361"/>
        <v>1</v>
      </c>
      <c r="N5786">
        <f t="shared" si="362"/>
        <v>0</v>
      </c>
      <c r="O5786" t="str">
        <f t="shared" si="363"/>
        <v>Proposta Ok</v>
      </c>
    </row>
    <row r="5787" spans="12:15" x14ac:dyDescent="0.25">
      <c r="L5787">
        <f t="shared" ref="L5787:L5790" si="364">IF(OR(I5787="Termo OK (Exceção)",I5787="Termo OK"),1,0)</f>
        <v>0</v>
      </c>
      <c r="M5787">
        <f t="shared" ref="M5787:M5790" si="365">IF(OR(I5787="Termo OK (Exceção)",I5787="Termo OK"),0,1)</f>
        <v>1</v>
      </c>
      <c r="N5787">
        <f t="shared" ref="N5787:N5790" si="366">IF(J5787="SIM",1,0)</f>
        <v>0</v>
      </c>
      <c r="O5787" t="str">
        <f t="shared" ref="O5787:O5790" si="367">IF(SUMIFS(M:M,A:A,A5787)&gt;0,"Proposta não Ok","Proposta Ok")</f>
        <v>Proposta Ok</v>
      </c>
    </row>
    <row r="5788" spans="12:15" x14ac:dyDescent="0.25">
      <c r="L5788">
        <f t="shared" si="364"/>
        <v>0</v>
      </c>
      <c r="M5788">
        <f t="shared" si="365"/>
        <v>1</v>
      </c>
      <c r="N5788">
        <f t="shared" si="366"/>
        <v>0</v>
      </c>
      <c r="O5788" t="str">
        <f t="shared" si="367"/>
        <v>Proposta Ok</v>
      </c>
    </row>
    <row r="5789" spans="12:15" x14ac:dyDescent="0.25">
      <c r="L5789">
        <f t="shared" si="364"/>
        <v>0</v>
      </c>
      <c r="M5789">
        <f t="shared" si="365"/>
        <v>1</v>
      </c>
      <c r="N5789">
        <f t="shared" si="366"/>
        <v>0</v>
      </c>
      <c r="O5789" t="str">
        <f t="shared" si="367"/>
        <v>Proposta Ok</v>
      </c>
    </row>
    <row r="5790" spans="12:15" x14ac:dyDescent="0.25">
      <c r="L5790">
        <f t="shared" si="364"/>
        <v>0</v>
      </c>
      <c r="M5790">
        <f t="shared" si="365"/>
        <v>1</v>
      </c>
      <c r="N5790">
        <f t="shared" si="366"/>
        <v>0</v>
      </c>
      <c r="O5790" t="str">
        <f t="shared" si="367"/>
        <v>Proposta Ok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Matrix</vt:lpstr>
      <vt:lpstr>Inclusão</vt:lpstr>
      <vt:lpstr>Base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Cossete Alves Pereira</dc:creator>
  <cp:lastModifiedBy>Daniel de Oliviera Mendes</cp:lastModifiedBy>
  <dcterms:created xsi:type="dcterms:W3CDTF">2018-09-19T12:39:58Z</dcterms:created>
  <dcterms:modified xsi:type="dcterms:W3CDTF">2018-11-14T13:02:17Z</dcterms:modified>
</cp:coreProperties>
</file>